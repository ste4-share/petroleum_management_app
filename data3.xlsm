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6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bc_nxt" sheetId="10" r:id="rId6"/>
    <sheet name="bc_ttxd_xe_may_tau" sheetId="13" r:id="rId7"/>
    <sheet name="title" sheetId="12" r:id="rId8"/>
    <sheet name="tructhuoc" sheetId="7" r:id="rId9"/>
    <sheet name="nguonnx_tructhuoc" sheetId="8" r:id="rId10"/>
  </sheets>
  <definedNames>
    <definedName name="_xlcn.WorksheetConnection_data3.xlsmtb_loaixd2" hidden="1">tb_loaixd2[]</definedName>
    <definedName name="_xlcn.WorksheetConnection_data3.xlsmtb_nguon_nx" hidden="1">tb_nguon_nx[]</definedName>
    <definedName name="_xlcn.WorksheetConnection_data3.xlsmtb_nguonnx_tructhuoc" hidden="1">tb_nguonnx_tructhuoc[]</definedName>
    <definedName name="_xlcn.WorksheetConnection_data3.xlsmtb_socai" hidden="1">tb_socai[]</definedName>
    <definedName name="_xlcn.WorksheetConnection_data3.xlsmtb_tructhuoc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9" hidden="1">nguonnx_tructhuoc!$A$1:$C$31</definedName>
    <definedName name="postgres_nxt_reporter" localSheetId="7" hidden="1">title!$D$20:$J$21</definedName>
    <definedName name="postgres_tructhuoc" localSheetId="8" hidden="1">tructhuoc!$A$1:$G$15</definedName>
  </definedNames>
  <calcPr calcId="162913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7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8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9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"/>
        </x15:connection>
      </ext>
    </extLst>
  </connection>
  <connection id="11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"/>
        </x15:connection>
      </ext>
    </extLst>
  </connection>
  <connection id="12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"/>
        </x15:connection>
      </ext>
    </extLst>
  </connection>
  <connection id="13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"/>
        </x15:connection>
      </ext>
    </extLst>
  </connection>
  <connection id="14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"/>
        </x15:connection>
      </ext>
    </extLst>
  </connection>
</connections>
</file>

<file path=xl/sharedStrings.xml><?xml version="1.0" encoding="utf-8"?>
<sst xmlns="http://schemas.openxmlformats.org/spreadsheetml/2006/main" count="834" uniqueCount="293">
  <si>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</si>
  <si>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</si>
  <si>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</si>
  <si>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</si>
  <si>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</si>
  <si>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</si>
  <si>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</si>
  <si>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</si>
  <si>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</si>
  <si>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</si>
  <si>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</si>
  <si>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</si>
  <si>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</si>
  <si>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</si>
  <si>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</si>
  <si>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</si>
  <si>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</si>
  <si>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</si>
  <si>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</si>
  <si>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</si>
  <si>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</si>
  <si>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</si>
  <si>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</si>
  <si>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</si>
  <si>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</si>
  <si>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</si>
  <si>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</si>
  <si>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</si>
  <si>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</si>
  <si>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</si>
  <si>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</si>
  <si>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</si>
  <si>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</si>
  <si>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</si>
  <si>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</si>
  <si>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</si>
  <si>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</si>
  <si>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</si>
  <si>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</si>
  <si>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</si>
  <si>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</si>
  <si>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</si>
  <si>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</si>
  <si>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</si>
  <si>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</si>
  <si>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</si>
  <si>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</si>
  <si>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</si>
  <si>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</si>
  <si>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</si>
  <si>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</si>
  <si>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</si>
  <si>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</si>
  <si>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</si>
  <si>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</si>
  <si>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</si>
  <si>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</si>
  <si>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</si>
  <si>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</si>
  <si>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</si>
  <si>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</si>
  <si>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</si>
  <si>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</si>
  <si>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</si>
  <si>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</si>
  <si>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</si>
  <si>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</si>
  <si>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</si>
  <si>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</si>
  <si>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</si>
  <si>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</si>
  <si>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</si>
  <si>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</si>
  <si>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</si>
  <si>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</si>
  <si>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</si>
  <si>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</si>
  <si>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</si>
  <si>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</si>
  <si>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</si>
  <si>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</si>
  <si>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</si>
  <si>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</si>
  <si>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</si>
  <si>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</si>
  <si>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</si>
  <si>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</si>
  <si>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</si>
  <si>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</si>
  <si>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</si>
  <si>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</si>
  <si>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</si>
  <si>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</si>
  <si>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</si>
  <si>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</si>
  <si>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</si>
  <si>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</si>
  <si>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</si>
  <si>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</si>
  <si>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</si>
  <si>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</si>
  <si>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</si>
  <si>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</si>
  <si>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</si>
  <si>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</si>
  <si>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</si>
  <si>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</si>
  <si>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</si>
  <si>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</si>
  <si>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</si>
  <si>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</si>
  <si>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</si>
  <si>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</si>
  <si>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</si>
  <si>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</si>
  <si>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</si>
  <si>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</si>
  <si>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</si>
  <si>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</si>
  <si>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</si>
  <si>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</si>
  <si>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</si>
  <si>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</si>
  <si>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</si>
  <si>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</si>
  <si>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</si>
  <si>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</si>
  <si>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</si>
  <si>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</si>
  <si>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</si>
  <si>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</si>
  <si>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</si>
  <si>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</si>
  <si>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</si>
  <si>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</si>
  <si>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</si>
  <si>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</si>
  <si>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</si>
  <si>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</si>
  <si>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</si>
  <si>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</si>
  <si>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</si>
  <si>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</si>
  <si>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</si>
  <si>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</si>
  <si>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</si>
  <si>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</si>
  <si>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</si>
  <si>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</si>
  <si>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</si>
  <si>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</si>
  <si>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</si>
  <si>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</si>
  <si>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</si>
  <si>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</si>
  <si>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</si>
  <si>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</si>
  <si>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</si>
  <si>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</si>
  <si>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</si>
  <si>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</si>
  <si>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</si>
  <si>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</si>
  <si>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</si>
  <si>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</si>
  <si>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</si>
  <si>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</si>
  <si>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</si>
  <si>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</si>
  <si>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</si>
  <si>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</si>
  <si>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</si>
  <si>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</si>
  <si>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</si>
  <si>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</si>
  <si>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</si>
  <si>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</si>
  <si>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</si>
  <si>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</si>
  <si>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</si>
  <si>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</si>
  <si>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</si>
  <si>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</si>
  <si>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</si>
  <si>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</si>
  <si>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</si>
  <si>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</si>
  <si>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</si>
  <si>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</si>
  <si>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</si>
  <si>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</si>
  <si>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</si>
  <si>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</si>
  <si>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</si>
  <si>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</si>
  <si>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</si>
  <si>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</si>
  <si>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</si>
  <si>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</si>
  <si>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</si>
  <si>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</si>
  <si>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</si>
  <si>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</si>
  <si>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</si>
  <si>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</si>
  <si>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</si>
  <si>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</si>
  <si>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</si>
  <si>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</si>
  <si>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</si>
  <si>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</si>
  <si>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</si>
  <si>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</si>
  <si>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</si>
  <si>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</si>
  <si>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</si>
  <si>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</si>
  <si>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</si>
  <si>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</si>
  <si>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</si>
  <si>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</si>
  <si>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</si>
  <si>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</si>
  <si>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</si>
  <si>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</si>
  <si>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</si>
  <si>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</si>
  <si>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</si>
  <si>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</si>
  <si>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</si>
  <si>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</si>
  <si>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</si>
  <si>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</si>
  <si>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</si>
  <si>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</si>
  <si>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</si>
  <si>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</si>
  <si>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</si>
  <si>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</si>
  <si>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</si>
  <si>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</si>
  <si>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</si>
  <si>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</si>
  <si>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</si>
  <si>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</si>
  <si>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</si>
  <si>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</si>
  <si>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</si>
  <si>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</si>
  <si>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</si>
  <si>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</si>
  <si>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</si>
  <si>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</si>
  <si>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</si>
  <si>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</si>
  <si>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</si>
  <si>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</si>
  <si>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</si>
  <si>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</si>
  <si>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</si>
  <si>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</si>
  <si>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</si>
  <si>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</si>
  <si>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</si>
  <si>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</si>
  <si>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</si>
  <si>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</si>
  <si>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</si>
  <si>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</si>
  <si>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</si>
  <si>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</si>
  <si>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</si>
  <si>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</si>
  <si>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</si>
  <si>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</si>
  <si>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</si>
  <si>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</si>
  <si>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</si>
  <si>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</si>
  <si>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</si>
  <si>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</si>
  <si>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</si>
  <si>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</si>
  <si>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</si>
  <si>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</si>
  <si>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</si>
  <si>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</si>
  <si>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</si>
  <si>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</si>
  <si>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</si>
  <si>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</si>
  <si>
    <t>f nội bộ</t>
  </si>
  <si>
    <t>F nội bộ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</si>
</sst>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9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97.731577314815" createdVersion="6" refreshedVersion="6" minRefreshableVersion="3" recordCount="918">
  <cacheSource type="external" connectionId="2"/>
  <cacheFields count="13">
    <cacheField name="id" numFmtId="0" sqlType="4">
      <sharedItems containsSemiMixedTypes="0" containsString="0" containsNumber="1" containsInteger="1" minValue="57330" maxValue="58247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74200"/>
    </cacheField>
    <cacheField name="title_lv1" numFmtId="0" sqlType="-10">
      <sharedItems count="14">
        <s v="Khác"/>
        <s v="Tổn thất"/>
        <s v="F nội bộ"/>
        <s v="DT cho NV đột xuất"/>
        <s v="DT SSCD"/>
        <s v="Hao hụt"/>
        <s v="Ngoài QC"/>
        <s v="Trong QC"/>
        <s v="CXD"/>
        <s v="QC"/>
        <s v="Mua P/cấp"/>
        <s v="BQ"/>
        <s v="TT Xe máy"/>
        <s v="Nội bộ f" u="1"/>
      </sharedItems>
    </cacheField>
    <cacheField name="title_lv2" numFmtId="0" sqlType="-10">
      <sharedItems containsBlank="1" count="15">
        <s v="Khác"/>
        <s v="Tổn thất"/>
        <s v="f nội bộ"/>
        <s v="DT cho NV đột xuất"/>
        <s v="DT SSCD"/>
        <s v="Hao hụt"/>
        <s v="Xuất khác"/>
        <s v="Nhập khác"/>
        <s v="CXD"/>
        <s v="QC"/>
        <s v="Mua P/cấp"/>
        <s v="BQ"/>
        <s v="TT Xe máy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4"/>
        <n v="56"/>
        <n v="59"/>
        <n v="1"/>
        <n v="2"/>
        <n v="10"/>
        <n v="12"/>
        <n v="52"/>
        <n v="60"/>
        <n v="61"/>
        <n v="4"/>
        <n v="5"/>
        <n v="55"/>
        <n v="9"/>
        <n v="16"/>
        <n v="53"/>
        <n v="8"/>
        <n v="15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57332"/>
    <x v="0"/>
    <n v="9400"/>
    <x v="0"/>
    <x v="0"/>
    <x v="0"/>
    <x v="0"/>
    <x v="0"/>
    <x v="0"/>
    <n v="20"/>
    <x v="0"/>
    <x v="0"/>
  </r>
  <r>
    <n v="57334"/>
    <x v="0"/>
    <n v="0"/>
    <x v="1"/>
    <x v="1"/>
    <x v="1"/>
    <x v="0"/>
    <x v="0"/>
    <x v="0"/>
    <n v="20"/>
    <x v="1"/>
    <x v="0"/>
  </r>
  <r>
    <n v="57335"/>
    <x v="0"/>
    <n v="0"/>
    <x v="2"/>
    <x v="2"/>
    <x v="1"/>
    <x v="0"/>
    <x v="0"/>
    <x v="0"/>
    <n v="20"/>
    <x v="2"/>
    <x v="0"/>
  </r>
  <r>
    <n v="57338"/>
    <x v="0"/>
    <n v="20000"/>
    <x v="3"/>
    <x v="3"/>
    <x v="2"/>
    <x v="0"/>
    <x v="0"/>
    <x v="0"/>
    <n v="20"/>
    <x v="3"/>
    <x v="0"/>
  </r>
  <r>
    <n v="57339"/>
    <x v="0"/>
    <n v="20000"/>
    <x v="4"/>
    <x v="4"/>
    <x v="2"/>
    <x v="0"/>
    <x v="0"/>
    <x v="0"/>
    <n v="20"/>
    <x v="4"/>
    <x v="0"/>
  </r>
  <r>
    <n v="57344"/>
    <x v="0"/>
    <n v="0"/>
    <x v="5"/>
    <x v="5"/>
    <x v="1"/>
    <x v="0"/>
    <x v="0"/>
    <x v="0"/>
    <n v="20"/>
    <x v="5"/>
    <x v="0"/>
  </r>
  <r>
    <n v="57345"/>
    <x v="0"/>
    <n v="0"/>
    <x v="6"/>
    <x v="6"/>
    <x v="1"/>
    <x v="0"/>
    <x v="0"/>
    <x v="0"/>
    <n v="20"/>
    <x v="6"/>
    <x v="0"/>
  </r>
  <r>
    <n v="57348"/>
    <x v="1"/>
    <n v="394"/>
    <x v="7"/>
    <x v="7"/>
    <x v="0"/>
    <x v="0"/>
    <x v="0"/>
    <x v="0"/>
    <n v="21"/>
    <x v="7"/>
    <x v="0"/>
  </r>
  <r>
    <n v="57350"/>
    <x v="1"/>
    <n v="4000"/>
    <x v="0"/>
    <x v="0"/>
    <x v="0"/>
    <x v="0"/>
    <x v="0"/>
    <x v="0"/>
    <n v="21"/>
    <x v="0"/>
    <x v="0"/>
  </r>
  <r>
    <n v="57353"/>
    <x v="1"/>
    <n v="0"/>
    <x v="2"/>
    <x v="2"/>
    <x v="1"/>
    <x v="0"/>
    <x v="0"/>
    <x v="0"/>
    <n v="21"/>
    <x v="2"/>
    <x v="0"/>
  </r>
  <r>
    <n v="57354"/>
    <x v="1"/>
    <n v="3000"/>
    <x v="8"/>
    <x v="8"/>
    <x v="0"/>
    <x v="0"/>
    <x v="0"/>
    <x v="0"/>
    <n v="21"/>
    <x v="8"/>
    <x v="0"/>
  </r>
  <r>
    <n v="57355"/>
    <x v="1"/>
    <n v="0"/>
    <x v="8"/>
    <x v="8"/>
    <x v="1"/>
    <x v="0"/>
    <x v="0"/>
    <x v="0"/>
    <n v="21"/>
    <x v="9"/>
    <x v="0"/>
  </r>
  <r>
    <n v="57356"/>
    <x v="1"/>
    <n v="20000"/>
    <x v="3"/>
    <x v="3"/>
    <x v="2"/>
    <x v="0"/>
    <x v="0"/>
    <x v="0"/>
    <n v="21"/>
    <x v="3"/>
    <x v="0"/>
  </r>
  <r>
    <n v="57357"/>
    <x v="1"/>
    <n v="20000"/>
    <x v="4"/>
    <x v="4"/>
    <x v="2"/>
    <x v="0"/>
    <x v="0"/>
    <x v="0"/>
    <n v="21"/>
    <x v="4"/>
    <x v="0"/>
  </r>
  <r>
    <n v="57358"/>
    <x v="1"/>
    <n v="300"/>
    <x v="9"/>
    <x v="9"/>
    <x v="0"/>
    <x v="0"/>
    <x v="0"/>
    <x v="0"/>
    <n v="21"/>
    <x v="10"/>
    <x v="0"/>
  </r>
  <r>
    <n v="57359"/>
    <x v="1"/>
    <n v="5000"/>
    <x v="10"/>
    <x v="10"/>
    <x v="0"/>
    <x v="0"/>
    <x v="0"/>
    <x v="0"/>
    <n v="21"/>
    <x v="11"/>
    <x v="0"/>
  </r>
  <r>
    <n v="57362"/>
    <x v="1"/>
    <n v="0"/>
    <x v="5"/>
    <x v="5"/>
    <x v="1"/>
    <x v="0"/>
    <x v="0"/>
    <x v="0"/>
    <n v="21"/>
    <x v="5"/>
    <x v="0"/>
  </r>
  <r>
    <n v="57363"/>
    <x v="1"/>
    <n v="0"/>
    <x v="6"/>
    <x v="6"/>
    <x v="1"/>
    <x v="0"/>
    <x v="0"/>
    <x v="0"/>
    <n v="21"/>
    <x v="6"/>
    <x v="0"/>
  </r>
  <r>
    <n v="57366"/>
    <x v="2"/>
    <n v="500"/>
    <x v="7"/>
    <x v="7"/>
    <x v="0"/>
    <x v="1"/>
    <x v="1"/>
    <x v="0"/>
    <n v="22"/>
    <x v="7"/>
    <x v="0"/>
  </r>
  <r>
    <n v="57368"/>
    <x v="2"/>
    <n v="0"/>
    <x v="0"/>
    <x v="0"/>
    <x v="0"/>
    <x v="1"/>
    <x v="1"/>
    <x v="0"/>
    <n v="22"/>
    <x v="0"/>
    <x v="0"/>
  </r>
  <r>
    <n v="57369"/>
    <x v="2"/>
    <n v="0"/>
    <x v="0"/>
    <x v="0"/>
    <x v="1"/>
    <x v="1"/>
    <x v="1"/>
    <x v="0"/>
    <n v="22"/>
    <x v="12"/>
    <x v="0"/>
  </r>
  <r>
    <n v="57370"/>
    <x v="2"/>
    <n v="0"/>
    <x v="1"/>
    <x v="1"/>
    <x v="1"/>
    <x v="1"/>
    <x v="1"/>
    <x v="0"/>
    <n v="22"/>
    <x v="1"/>
    <x v="0"/>
  </r>
  <r>
    <n v="57371"/>
    <x v="2"/>
    <n v="0"/>
    <x v="2"/>
    <x v="2"/>
    <x v="1"/>
    <x v="1"/>
    <x v="1"/>
    <x v="0"/>
    <n v="22"/>
    <x v="2"/>
    <x v="0"/>
  </r>
  <r>
    <n v="57372"/>
    <x v="2"/>
    <n v="3000"/>
    <x v="8"/>
    <x v="8"/>
    <x v="0"/>
    <x v="1"/>
    <x v="1"/>
    <x v="0"/>
    <n v="22"/>
    <x v="8"/>
    <x v="0"/>
  </r>
  <r>
    <n v="57373"/>
    <x v="2"/>
    <n v="0"/>
    <x v="8"/>
    <x v="8"/>
    <x v="1"/>
    <x v="1"/>
    <x v="1"/>
    <x v="0"/>
    <n v="22"/>
    <x v="9"/>
    <x v="0"/>
  </r>
  <r>
    <n v="57374"/>
    <x v="2"/>
    <n v="20000"/>
    <x v="3"/>
    <x v="3"/>
    <x v="2"/>
    <x v="1"/>
    <x v="1"/>
    <x v="0"/>
    <n v="22"/>
    <x v="3"/>
    <x v="0"/>
  </r>
  <r>
    <n v="57375"/>
    <x v="2"/>
    <n v="20000"/>
    <x v="4"/>
    <x v="4"/>
    <x v="2"/>
    <x v="1"/>
    <x v="1"/>
    <x v="0"/>
    <n v="22"/>
    <x v="4"/>
    <x v="0"/>
  </r>
  <r>
    <n v="57376"/>
    <x v="2"/>
    <n v="3000"/>
    <x v="9"/>
    <x v="9"/>
    <x v="0"/>
    <x v="1"/>
    <x v="1"/>
    <x v="0"/>
    <n v="22"/>
    <x v="10"/>
    <x v="0"/>
  </r>
  <r>
    <n v="57377"/>
    <x v="2"/>
    <n v="1211"/>
    <x v="10"/>
    <x v="10"/>
    <x v="0"/>
    <x v="1"/>
    <x v="1"/>
    <x v="0"/>
    <n v="22"/>
    <x v="11"/>
    <x v="0"/>
  </r>
  <r>
    <n v="57380"/>
    <x v="2"/>
    <n v="0"/>
    <x v="5"/>
    <x v="5"/>
    <x v="1"/>
    <x v="1"/>
    <x v="1"/>
    <x v="0"/>
    <n v="22"/>
    <x v="5"/>
    <x v="0"/>
  </r>
  <r>
    <n v="57381"/>
    <x v="2"/>
    <n v="0"/>
    <x v="6"/>
    <x v="6"/>
    <x v="1"/>
    <x v="1"/>
    <x v="1"/>
    <x v="0"/>
    <n v="22"/>
    <x v="6"/>
    <x v="0"/>
  </r>
  <r>
    <n v="57384"/>
    <x v="3"/>
    <n v="9000"/>
    <x v="7"/>
    <x v="7"/>
    <x v="0"/>
    <x v="2"/>
    <x v="2"/>
    <x v="0"/>
    <n v="23"/>
    <x v="7"/>
    <x v="0"/>
  </r>
  <r>
    <n v="57341"/>
    <x v="0"/>
    <n v="2300"/>
    <x v="10"/>
    <x v="10"/>
    <x v="0"/>
    <x v="0"/>
    <x v="0"/>
    <x v="0"/>
    <n v="20"/>
    <x v="11"/>
    <x v="0"/>
  </r>
  <r>
    <n v="57337"/>
    <x v="0"/>
    <n v="2300"/>
    <x v="8"/>
    <x v="8"/>
    <x v="1"/>
    <x v="0"/>
    <x v="0"/>
    <x v="0"/>
    <n v="20"/>
    <x v="9"/>
    <x v="0"/>
  </r>
  <r>
    <n v="57343"/>
    <x v="0"/>
    <n v="500"/>
    <x v="11"/>
    <x v="11"/>
    <x v="1"/>
    <x v="0"/>
    <x v="0"/>
    <x v="0"/>
    <n v="20"/>
    <x v="13"/>
    <x v="0"/>
  </r>
  <r>
    <n v="57333"/>
    <x v="0"/>
    <n v="200"/>
    <x v="0"/>
    <x v="0"/>
    <x v="1"/>
    <x v="0"/>
    <x v="0"/>
    <x v="0"/>
    <n v="20"/>
    <x v="12"/>
    <x v="0"/>
  </r>
  <r>
    <n v="57365"/>
    <x v="1"/>
    <n v="20000"/>
    <x v="4"/>
    <x v="4"/>
    <x v="3"/>
    <x v="0"/>
    <x v="0"/>
    <x v="0"/>
    <n v="21"/>
    <x v="14"/>
    <x v="0"/>
  </r>
  <r>
    <n v="57352"/>
    <x v="1"/>
    <n v="2500"/>
    <x v="1"/>
    <x v="1"/>
    <x v="1"/>
    <x v="0"/>
    <x v="0"/>
    <x v="0"/>
    <n v="21"/>
    <x v="1"/>
    <x v="0"/>
  </r>
  <r>
    <n v="57361"/>
    <x v="1"/>
    <n v="200"/>
    <x v="11"/>
    <x v="11"/>
    <x v="1"/>
    <x v="0"/>
    <x v="0"/>
    <x v="0"/>
    <n v="21"/>
    <x v="13"/>
    <x v="0"/>
  </r>
  <r>
    <n v="57367"/>
    <x v="2"/>
    <n v="0"/>
    <x v="7"/>
    <x v="7"/>
    <x v="1"/>
    <x v="1"/>
    <x v="1"/>
    <x v="0"/>
    <n v="22"/>
    <x v="15"/>
    <x v="0"/>
  </r>
  <r>
    <n v="57378"/>
    <x v="2"/>
    <n v="10000"/>
    <x v="12"/>
    <x v="12"/>
    <x v="1"/>
    <x v="1"/>
    <x v="1"/>
    <x v="0"/>
    <n v="22"/>
    <x v="16"/>
    <x v="0"/>
  </r>
  <r>
    <n v="57379"/>
    <x v="2"/>
    <n v="9000"/>
    <x v="11"/>
    <x v="11"/>
    <x v="1"/>
    <x v="1"/>
    <x v="1"/>
    <x v="0"/>
    <n v="22"/>
    <x v="13"/>
    <x v="0"/>
  </r>
  <r>
    <n v="57351"/>
    <x v="1"/>
    <n v="3000"/>
    <x v="0"/>
    <x v="0"/>
    <x v="1"/>
    <x v="0"/>
    <x v="0"/>
    <x v="0"/>
    <n v="21"/>
    <x v="12"/>
    <x v="0"/>
  </r>
  <r>
    <n v="57383"/>
    <x v="2"/>
    <n v="20000"/>
    <x v="4"/>
    <x v="4"/>
    <x v="3"/>
    <x v="1"/>
    <x v="1"/>
    <x v="0"/>
    <n v="22"/>
    <x v="14"/>
    <x v="0"/>
  </r>
  <r>
    <n v="57349"/>
    <x v="1"/>
    <n v="400"/>
    <x v="7"/>
    <x v="7"/>
    <x v="1"/>
    <x v="0"/>
    <x v="0"/>
    <x v="0"/>
    <n v="21"/>
    <x v="15"/>
    <x v="0"/>
  </r>
  <r>
    <n v="57382"/>
    <x v="2"/>
    <n v="15711"/>
    <x v="3"/>
    <x v="3"/>
    <x v="3"/>
    <x v="1"/>
    <x v="1"/>
    <x v="0"/>
    <n v="22"/>
    <x v="17"/>
    <x v="0"/>
  </r>
  <r>
    <n v="57331"/>
    <x v="0"/>
    <n v="3700"/>
    <x v="7"/>
    <x v="7"/>
    <x v="1"/>
    <x v="0"/>
    <x v="0"/>
    <x v="0"/>
    <n v="20"/>
    <x v="15"/>
    <x v="0"/>
  </r>
  <r>
    <n v="57385"/>
    <x v="3"/>
    <n v="4000"/>
    <x v="7"/>
    <x v="7"/>
    <x v="1"/>
    <x v="2"/>
    <x v="2"/>
    <x v="0"/>
    <n v="23"/>
    <x v="15"/>
    <x v="0"/>
  </r>
  <r>
    <n v="57342"/>
    <x v="0"/>
    <n v="2000"/>
    <x v="12"/>
    <x v="12"/>
    <x v="1"/>
    <x v="0"/>
    <x v="0"/>
    <x v="0"/>
    <n v="20"/>
    <x v="16"/>
    <x v="0"/>
  </r>
  <r>
    <n v="57336"/>
    <x v="0"/>
    <n v="5000"/>
    <x v="8"/>
    <x v="8"/>
    <x v="0"/>
    <x v="0"/>
    <x v="0"/>
    <x v="0"/>
    <n v="20"/>
    <x v="8"/>
    <x v="0"/>
  </r>
  <r>
    <n v="57360"/>
    <x v="1"/>
    <n v="5500"/>
    <x v="12"/>
    <x v="12"/>
    <x v="1"/>
    <x v="0"/>
    <x v="0"/>
    <x v="0"/>
    <n v="21"/>
    <x v="16"/>
    <x v="0"/>
  </r>
  <r>
    <n v="57340"/>
    <x v="0"/>
    <n v="20400"/>
    <x v="9"/>
    <x v="9"/>
    <x v="0"/>
    <x v="0"/>
    <x v="0"/>
    <x v="0"/>
    <n v="20"/>
    <x v="10"/>
    <x v="0"/>
  </r>
  <r>
    <n v="57330"/>
    <x v="0"/>
    <n v="25800"/>
    <x v="7"/>
    <x v="7"/>
    <x v="0"/>
    <x v="0"/>
    <x v="0"/>
    <x v="0"/>
    <n v="20"/>
    <x v="7"/>
    <x v="0"/>
  </r>
  <r>
    <n v="57347"/>
    <x v="0"/>
    <n v="20000"/>
    <x v="4"/>
    <x v="4"/>
    <x v="3"/>
    <x v="0"/>
    <x v="0"/>
    <x v="0"/>
    <n v="20"/>
    <x v="14"/>
    <x v="0"/>
  </r>
  <r>
    <n v="57386"/>
    <x v="3"/>
    <n v="0"/>
    <x v="0"/>
    <x v="0"/>
    <x v="0"/>
    <x v="2"/>
    <x v="2"/>
    <x v="0"/>
    <n v="23"/>
    <x v="0"/>
    <x v="0"/>
  </r>
  <r>
    <n v="57387"/>
    <x v="3"/>
    <n v="0"/>
    <x v="0"/>
    <x v="0"/>
    <x v="1"/>
    <x v="2"/>
    <x v="2"/>
    <x v="0"/>
    <n v="23"/>
    <x v="12"/>
    <x v="0"/>
  </r>
  <r>
    <n v="57388"/>
    <x v="3"/>
    <n v="0"/>
    <x v="1"/>
    <x v="1"/>
    <x v="1"/>
    <x v="2"/>
    <x v="2"/>
    <x v="0"/>
    <n v="23"/>
    <x v="1"/>
    <x v="0"/>
  </r>
  <r>
    <n v="57389"/>
    <x v="3"/>
    <n v="0"/>
    <x v="2"/>
    <x v="2"/>
    <x v="1"/>
    <x v="2"/>
    <x v="2"/>
    <x v="0"/>
    <n v="23"/>
    <x v="2"/>
    <x v="0"/>
  </r>
  <r>
    <n v="57390"/>
    <x v="3"/>
    <n v="2000"/>
    <x v="8"/>
    <x v="8"/>
    <x v="0"/>
    <x v="2"/>
    <x v="2"/>
    <x v="0"/>
    <n v="23"/>
    <x v="8"/>
    <x v="0"/>
  </r>
  <r>
    <n v="57391"/>
    <x v="3"/>
    <n v="0"/>
    <x v="8"/>
    <x v="8"/>
    <x v="1"/>
    <x v="2"/>
    <x v="2"/>
    <x v="0"/>
    <n v="23"/>
    <x v="9"/>
    <x v="0"/>
  </r>
  <r>
    <n v="57392"/>
    <x v="3"/>
    <n v="20000"/>
    <x v="3"/>
    <x v="3"/>
    <x v="2"/>
    <x v="2"/>
    <x v="2"/>
    <x v="0"/>
    <n v="23"/>
    <x v="3"/>
    <x v="0"/>
  </r>
  <r>
    <n v="57393"/>
    <x v="3"/>
    <n v="20000"/>
    <x v="4"/>
    <x v="4"/>
    <x v="2"/>
    <x v="2"/>
    <x v="2"/>
    <x v="0"/>
    <n v="23"/>
    <x v="4"/>
    <x v="0"/>
  </r>
  <r>
    <n v="57394"/>
    <x v="3"/>
    <n v="4000"/>
    <x v="9"/>
    <x v="9"/>
    <x v="0"/>
    <x v="2"/>
    <x v="2"/>
    <x v="0"/>
    <n v="23"/>
    <x v="10"/>
    <x v="0"/>
  </r>
  <r>
    <n v="57395"/>
    <x v="3"/>
    <n v="7600"/>
    <x v="10"/>
    <x v="10"/>
    <x v="0"/>
    <x v="2"/>
    <x v="2"/>
    <x v="0"/>
    <n v="23"/>
    <x v="11"/>
    <x v="0"/>
  </r>
  <r>
    <n v="57397"/>
    <x v="3"/>
    <n v="0"/>
    <x v="11"/>
    <x v="11"/>
    <x v="1"/>
    <x v="2"/>
    <x v="2"/>
    <x v="0"/>
    <n v="23"/>
    <x v="13"/>
    <x v="0"/>
  </r>
  <r>
    <n v="57398"/>
    <x v="3"/>
    <n v="0"/>
    <x v="5"/>
    <x v="5"/>
    <x v="1"/>
    <x v="2"/>
    <x v="2"/>
    <x v="0"/>
    <n v="23"/>
    <x v="5"/>
    <x v="0"/>
  </r>
  <r>
    <n v="57399"/>
    <x v="3"/>
    <n v="0"/>
    <x v="6"/>
    <x v="6"/>
    <x v="1"/>
    <x v="2"/>
    <x v="2"/>
    <x v="0"/>
    <n v="23"/>
    <x v="6"/>
    <x v="0"/>
  </r>
  <r>
    <n v="57402"/>
    <x v="4"/>
    <n v="0"/>
    <x v="7"/>
    <x v="7"/>
    <x v="0"/>
    <x v="2"/>
    <x v="2"/>
    <x v="0"/>
    <n v="24"/>
    <x v="7"/>
    <x v="0"/>
  </r>
  <r>
    <n v="57404"/>
    <x v="4"/>
    <n v="0"/>
    <x v="0"/>
    <x v="0"/>
    <x v="0"/>
    <x v="2"/>
    <x v="2"/>
    <x v="0"/>
    <n v="24"/>
    <x v="0"/>
    <x v="0"/>
  </r>
  <r>
    <n v="57405"/>
    <x v="4"/>
    <n v="0"/>
    <x v="0"/>
    <x v="0"/>
    <x v="1"/>
    <x v="2"/>
    <x v="2"/>
    <x v="0"/>
    <n v="24"/>
    <x v="12"/>
    <x v="0"/>
  </r>
  <r>
    <n v="57407"/>
    <x v="4"/>
    <n v="0"/>
    <x v="2"/>
    <x v="2"/>
    <x v="1"/>
    <x v="2"/>
    <x v="2"/>
    <x v="0"/>
    <n v="24"/>
    <x v="2"/>
    <x v="0"/>
  </r>
  <r>
    <n v="57408"/>
    <x v="4"/>
    <n v="3999"/>
    <x v="8"/>
    <x v="8"/>
    <x v="0"/>
    <x v="2"/>
    <x v="2"/>
    <x v="0"/>
    <n v="24"/>
    <x v="8"/>
    <x v="0"/>
  </r>
  <r>
    <n v="57409"/>
    <x v="4"/>
    <n v="0"/>
    <x v="8"/>
    <x v="8"/>
    <x v="1"/>
    <x v="2"/>
    <x v="2"/>
    <x v="0"/>
    <n v="24"/>
    <x v="9"/>
    <x v="0"/>
  </r>
  <r>
    <n v="57410"/>
    <x v="4"/>
    <n v="20000"/>
    <x v="3"/>
    <x v="3"/>
    <x v="2"/>
    <x v="2"/>
    <x v="2"/>
    <x v="0"/>
    <n v="24"/>
    <x v="3"/>
    <x v="0"/>
  </r>
  <r>
    <n v="57411"/>
    <x v="4"/>
    <n v="20000"/>
    <x v="4"/>
    <x v="4"/>
    <x v="2"/>
    <x v="2"/>
    <x v="2"/>
    <x v="0"/>
    <n v="24"/>
    <x v="4"/>
    <x v="0"/>
  </r>
  <r>
    <n v="57412"/>
    <x v="4"/>
    <n v="5000"/>
    <x v="9"/>
    <x v="9"/>
    <x v="0"/>
    <x v="2"/>
    <x v="2"/>
    <x v="0"/>
    <n v="24"/>
    <x v="10"/>
    <x v="0"/>
  </r>
  <r>
    <n v="57413"/>
    <x v="4"/>
    <n v="0"/>
    <x v="10"/>
    <x v="10"/>
    <x v="0"/>
    <x v="2"/>
    <x v="2"/>
    <x v="0"/>
    <n v="24"/>
    <x v="11"/>
    <x v="0"/>
  </r>
  <r>
    <n v="57415"/>
    <x v="4"/>
    <n v="0"/>
    <x v="11"/>
    <x v="11"/>
    <x v="1"/>
    <x v="2"/>
    <x v="2"/>
    <x v="0"/>
    <n v="24"/>
    <x v="13"/>
    <x v="0"/>
  </r>
  <r>
    <n v="57417"/>
    <x v="4"/>
    <n v="0"/>
    <x v="6"/>
    <x v="6"/>
    <x v="1"/>
    <x v="2"/>
    <x v="2"/>
    <x v="0"/>
    <n v="24"/>
    <x v="6"/>
    <x v="0"/>
  </r>
  <r>
    <n v="57420"/>
    <x v="5"/>
    <n v="2222"/>
    <x v="7"/>
    <x v="7"/>
    <x v="0"/>
    <x v="3"/>
    <x v="3"/>
    <x v="0"/>
    <n v="36"/>
    <x v="7"/>
    <x v="0"/>
  </r>
  <r>
    <n v="57421"/>
    <x v="5"/>
    <n v="0"/>
    <x v="7"/>
    <x v="7"/>
    <x v="1"/>
    <x v="3"/>
    <x v="3"/>
    <x v="0"/>
    <n v="36"/>
    <x v="15"/>
    <x v="0"/>
  </r>
  <r>
    <n v="57422"/>
    <x v="5"/>
    <n v="0"/>
    <x v="0"/>
    <x v="0"/>
    <x v="0"/>
    <x v="3"/>
    <x v="3"/>
    <x v="0"/>
    <n v="36"/>
    <x v="0"/>
    <x v="0"/>
  </r>
  <r>
    <n v="57423"/>
    <x v="5"/>
    <n v="0"/>
    <x v="0"/>
    <x v="0"/>
    <x v="1"/>
    <x v="3"/>
    <x v="3"/>
    <x v="0"/>
    <n v="36"/>
    <x v="12"/>
    <x v="0"/>
  </r>
  <r>
    <n v="57424"/>
    <x v="5"/>
    <n v="0"/>
    <x v="1"/>
    <x v="1"/>
    <x v="1"/>
    <x v="3"/>
    <x v="3"/>
    <x v="0"/>
    <n v="36"/>
    <x v="1"/>
    <x v="0"/>
  </r>
  <r>
    <n v="57425"/>
    <x v="5"/>
    <n v="0"/>
    <x v="2"/>
    <x v="2"/>
    <x v="1"/>
    <x v="3"/>
    <x v="3"/>
    <x v="0"/>
    <n v="36"/>
    <x v="2"/>
    <x v="0"/>
  </r>
  <r>
    <n v="57426"/>
    <x v="5"/>
    <n v="8400"/>
    <x v="8"/>
    <x v="8"/>
    <x v="0"/>
    <x v="3"/>
    <x v="3"/>
    <x v="0"/>
    <n v="36"/>
    <x v="8"/>
    <x v="0"/>
  </r>
  <r>
    <n v="57427"/>
    <x v="5"/>
    <n v="0"/>
    <x v="8"/>
    <x v="8"/>
    <x v="1"/>
    <x v="3"/>
    <x v="3"/>
    <x v="0"/>
    <n v="36"/>
    <x v="9"/>
    <x v="0"/>
  </r>
  <r>
    <n v="57428"/>
    <x v="5"/>
    <n v="20000"/>
    <x v="3"/>
    <x v="3"/>
    <x v="2"/>
    <x v="3"/>
    <x v="3"/>
    <x v="0"/>
    <n v="36"/>
    <x v="3"/>
    <x v="0"/>
  </r>
  <r>
    <n v="57429"/>
    <x v="5"/>
    <n v="20000"/>
    <x v="4"/>
    <x v="4"/>
    <x v="2"/>
    <x v="3"/>
    <x v="3"/>
    <x v="0"/>
    <n v="36"/>
    <x v="4"/>
    <x v="0"/>
  </r>
  <r>
    <n v="57430"/>
    <x v="5"/>
    <n v="9000"/>
    <x v="9"/>
    <x v="9"/>
    <x v="0"/>
    <x v="3"/>
    <x v="3"/>
    <x v="0"/>
    <n v="36"/>
    <x v="10"/>
    <x v="0"/>
  </r>
  <r>
    <n v="57431"/>
    <x v="5"/>
    <n v="0"/>
    <x v="10"/>
    <x v="10"/>
    <x v="0"/>
    <x v="3"/>
    <x v="3"/>
    <x v="0"/>
    <n v="36"/>
    <x v="11"/>
    <x v="0"/>
  </r>
  <r>
    <n v="57433"/>
    <x v="5"/>
    <n v="0"/>
    <x v="11"/>
    <x v="11"/>
    <x v="1"/>
    <x v="3"/>
    <x v="3"/>
    <x v="0"/>
    <n v="36"/>
    <x v="13"/>
    <x v="0"/>
  </r>
  <r>
    <n v="57434"/>
    <x v="5"/>
    <n v="0"/>
    <x v="5"/>
    <x v="5"/>
    <x v="1"/>
    <x v="3"/>
    <x v="3"/>
    <x v="0"/>
    <n v="36"/>
    <x v="5"/>
    <x v="0"/>
  </r>
  <r>
    <n v="57435"/>
    <x v="5"/>
    <n v="0"/>
    <x v="6"/>
    <x v="6"/>
    <x v="1"/>
    <x v="3"/>
    <x v="3"/>
    <x v="0"/>
    <n v="36"/>
    <x v="6"/>
    <x v="0"/>
  </r>
  <r>
    <n v="57438"/>
    <x v="3"/>
    <n v="123"/>
    <x v="7"/>
    <x v="7"/>
    <x v="0"/>
    <x v="3"/>
    <x v="3"/>
    <x v="0"/>
    <n v="37"/>
    <x v="7"/>
    <x v="0"/>
  </r>
  <r>
    <n v="57416"/>
    <x v="4"/>
    <n v="6000"/>
    <x v="5"/>
    <x v="5"/>
    <x v="1"/>
    <x v="2"/>
    <x v="2"/>
    <x v="0"/>
    <n v="24"/>
    <x v="5"/>
    <x v="0"/>
  </r>
  <r>
    <n v="57403"/>
    <x v="4"/>
    <n v="3999"/>
    <x v="7"/>
    <x v="7"/>
    <x v="1"/>
    <x v="2"/>
    <x v="2"/>
    <x v="0"/>
    <n v="24"/>
    <x v="15"/>
    <x v="0"/>
  </r>
  <r>
    <n v="57406"/>
    <x v="4"/>
    <n v="1200"/>
    <x v="1"/>
    <x v="1"/>
    <x v="1"/>
    <x v="2"/>
    <x v="2"/>
    <x v="0"/>
    <n v="24"/>
    <x v="1"/>
    <x v="0"/>
  </r>
  <r>
    <n v="57419"/>
    <x v="4"/>
    <n v="20000"/>
    <x v="4"/>
    <x v="4"/>
    <x v="3"/>
    <x v="2"/>
    <x v="2"/>
    <x v="0"/>
    <n v="24"/>
    <x v="14"/>
    <x v="0"/>
  </r>
  <r>
    <n v="57437"/>
    <x v="5"/>
    <n v="20000"/>
    <x v="4"/>
    <x v="4"/>
    <x v="3"/>
    <x v="3"/>
    <x v="3"/>
    <x v="0"/>
    <n v="36"/>
    <x v="14"/>
    <x v="0"/>
  </r>
  <r>
    <n v="57432"/>
    <x v="5"/>
    <n v="6233"/>
    <x v="12"/>
    <x v="12"/>
    <x v="1"/>
    <x v="3"/>
    <x v="3"/>
    <x v="0"/>
    <n v="36"/>
    <x v="16"/>
    <x v="0"/>
  </r>
  <r>
    <n v="57401"/>
    <x v="3"/>
    <n v="20000"/>
    <x v="4"/>
    <x v="4"/>
    <x v="3"/>
    <x v="2"/>
    <x v="2"/>
    <x v="0"/>
    <n v="23"/>
    <x v="14"/>
    <x v="0"/>
  </r>
  <r>
    <n v="57414"/>
    <x v="4"/>
    <n v="402"/>
    <x v="12"/>
    <x v="12"/>
    <x v="1"/>
    <x v="2"/>
    <x v="2"/>
    <x v="0"/>
    <n v="24"/>
    <x v="16"/>
    <x v="0"/>
  </r>
  <r>
    <n v="57396"/>
    <x v="3"/>
    <n v="2333"/>
    <x v="12"/>
    <x v="12"/>
    <x v="1"/>
    <x v="2"/>
    <x v="2"/>
    <x v="0"/>
    <n v="23"/>
    <x v="16"/>
    <x v="0"/>
  </r>
  <r>
    <n v="57400"/>
    <x v="3"/>
    <n v="36267"/>
    <x v="3"/>
    <x v="3"/>
    <x v="3"/>
    <x v="2"/>
    <x v="2"/>
    <x v="0"/>
    <n v="23"/>
    <x v="17"/>
    <x v="0"/>
  </r>
  <r>
    <n v="57439"/>
    <x v="3"/>
    <n v="0"/>
    <x v="7"/>
    <x v="7"/>
    <x v="1"/>
    <x v="3"/>
    <x v="3"/>
    <x v="0"/>
    <n v="37"/>
    <x v="15"/>
    <x v="0"/>
  </r>
  <r>
    <n v="57440"/>
    <x v="3"/>
    <n v="0"/>
    <x v="0"/>
    <x v="0"/>
    <x v="0"/>
    <x v="3"/>
    <x v="3"/>
    <x v="0"/>
    <n v="37"/>
    <x v="0"/>
    <x v="0"/>
  </r>
  <r>
    <n v="57441"/>
    <x v="3"/>
    <n v="0"/>
    <x v="0"/>
    <x v="0"/>
    <x v="1"/>
    <x v="3"/>
    <x v="3"/>
    <x v="0"/>
    <n v="37"/>
    <x v="12"/>
    <x v="0"/>
  </r>
  <r>
    <n v="57442"/>
    <x v="3"/>
    <n v="0"/>
    <x v="1"/>
    <x v="1"/>
    <x v="1"/>
    <x v="3"/>
    <x v="3"/>
    <x v="0"/>
    <n v="37"/>
    <x v="1"/>
    <x v="0"/>
  </r>
  <r>
    <n v="57443"/>
    <x v="3"/>
    <n v="0"/>
    <x v="2"/>
    <x v="2"/>
    <x v="1"/>
    <x v="3"/>
    <x v="3"/>
    <x v="0"/>
    <n v="37"/>
    <x v="2"/>
    <x v="0"/>
  </r>
  <r>
    <n v="57444"/>
    <x v="3"/>
    <n v="0"/>
    <x v="8"/>
    <x v="8"/>
    <x v="0"/>
    <x v="3"/>
    <x v="3"/>
    <x v="0"/>
    <n v="37"/>
    <x v="8"/>
    <x v="0"/>
  </r>
  <r>
    <n v="57445"/>
    <x v="3"/>
    <n v="0"/>
    <x v="8"/>
    <x v="8"/>
    <x v="1"/>
    <x v="3"/>
    <x v="3"/>
    <x v="0"/>
    <n v="37"/>
    <x v="9"/>
    <x v="0"/>
  </r>
  <r>
    <n v="57446"/>
    <x v="3"/>
    <n v="20000"/>
    <x v="3"/>
    <x v="3"/>
    <x v="2"/>
    <x v="3"/>
    <x v="3"/>
    <x v="0"/>
    <n v="37"/>
    <x v="3"/>
    <x v="0"/>
  </r>
  <r>
    <n v="57447"/>
    <x v="3"/>
    <n v="20000"/>
    <x v="4"/>
    <x v="4"/>
    <x v="2"/>
    <x v="3"/>
    <x v="3"/>
    <x v="0"/>
    <n v="37"/>
    <x v="4"/>
    <x v="0"/>
  </r>
  <r>
    <n v="57448"/>
    <x v="3"/>
    <n v="10000"/>
    <x v="9"/>
    <x v="9"/>
    <x v="0"/>
    <x v="3"/>
    <x v="3"/>
    <x v="0"/>
    <n v="37"/>
    <x v="10"/>
    <x v="0"/>
  </r>
  <r>
    <n v="57449"/>
    <x v="3"/>
    <n v="0"/>
    <x v="10"/>
    <x v="10"/>
    <x v="0"/>
    <x v="3"/>
    <x v="3"/>
    <x v="0"/>
    <n v="37"/>
    <x v="11"/>
    <x v="0"/>
  </r>
  <r>
    <n v="57451"/>
    <x v="3"/>
    <n v="0"/>
    <x v="11"/>
    <x v="11"/>
    <x v="1"/>
    <x v="3"/>
    <x v="3"/>
    <x v="0"/>
    <n v="37"/>
    <x v="13"/>
    <x v="0"/>
  </r>
  <r>
    <n v="57452"/>
    <x v="3"/>
    <n v="0"/>
    <x v="5"/>
    <x v="5"/>
    <x v="1"/>
    <x v="3"/>
    <x v="3"/>
    <x v="0"/>
    <n v="37"/>
    <x v="5"/>
    <x v="0"/>
  </r>
  <r>
    <n v="57453"/>
    <x v="3"/>
    <n v="0"/>
    <x v="6"/>
    <x v="6"/>
    <x v="1"/>
    <x v="3"/>
    <x v="3"/>
    <x v="0"/>
    <n v="37"/>
    <x v="6"/>
    <x v="0"/>
  </r>
  <r>
    <n v="57456"/>
    <x v="4"/>
    <n v="2323"/>
    <x v="7"/>
    <x v="7"/>
    <x v="0"/>
    <x v="3"/>
    <x v="3"/>
    <x v="0"/>
    <n v="38"/>
    <x v="7"/>
    <x v="0"/>
  </r>
  <r>
    <n v="57457"/>
    <x v="4"/>
    <n v="0"/>
    <x v="7"/>
    <x v="7"/>
    <x v="1"/>
    <x v="3"/>
    <x v="3"/>
    <x v="0"/>
    <n v="38"/>
    <x v="15"/>
    <x v="0"/>
  </r>
  <r>
    <n v="57458"/>
    <x v="4"/>
    <n v="0"/>
    <x v="0"/>
    <x v="0"/>
    <x v="0"/>
    <x v="3"/>
    <x v="3"/>
    <x v="0"/>
    <n v="38"/>
    <x v="0"/>
    <x v="0"/>
  </r>
  <r>
    <n v="57459"/>
    <x v="4"/>
    <n v="0"/>
    <x v="0"/>
    <x v="0"/>
    <x v="1"/>
    <x v="3"/>
    <x v="3"/>
    <x v="0"/>
    <n v="38"/>
    <x v="12"/>
    <x v="0"/>
  </r>
  <r>
    <n v="57460"/>
    <x v="4"/>
    <n v="0"/>
    <x v="1"/>
    <x v="1"/>
    <x v="1"/>
    <x v="3"/>
    <x v="3"/>
    <x v="0"/>
    <n v="38"/>
    <x v="1"/>
    <x v="0"/>
  </r>
  <r>
    <n v="57461"/>
    <x v="4"/>
    <n v="0"/>
    <x v="2"/>
    <x v="2"/>
    <x v="1"/>
    <x v="3"/>
    <x v="3"/>
    <x v="0"/>
    <n v="38"/>
    <x v="2"/>
    <x v="0"/>
  </r>
  <r>
    <n v="57462"/>
    <x v="4"/>
    <n v="0"/>
    <x v="8"/>
    <x v="8"/>
    <x v="0"/>
    <x v="3"/>
    <x v="3"/>
    <x v="0"/>
    <n v="38"/>
    <x v="8"/>
    <x v="0"/>
  </r>
  <r>
    <n v="57463"/>
    <x v="4"/>
    <n v="0"/>
    <x v="8"/>
    <x v="8"/>
    <x v="1"/>
    <x v="3"/>
    <x v="3"/>
    <x v="0"/>
    <n v="38"/>
    <x v="9"/>
    <x v="0"/>
  </r>
  <r>
    <n v="57464"/>
    <x v="4"/>
    <n v="20000"/>
    <x v="3"/>
    <x v="3"/>
    <x v="2"/>
    <x v="3"/>
    <x v="3"/>
    <x v="0"/>
    <n v="38"/>
    <x v="3"/>
    <x v="0"/>
  </r>
  <r>
    <n v="57465"/>
    <x v="4"/>
    <n v="20000"/>
    <x v="4"/>
    <x v="4"/>
    <x v="2"/>
    <x v="3"/>
    <x v="3"/>
    <x v="0"/>
    <n v="38"/>
    <x v="4"/>
    <x v="0"/>
  </r>
  <r>
    <n v="57466"/>
    <x v="4"/>
    <n v="4500"/>
    <x v="9"/>
    <x v="9"/>
    <x v="0"/>
    <x v="3"/>
    <x v="3"/>
    <x v="0"/>
    <n v="38"/>
    <x v="10"/>
    <x v="0"/>
  </r>
  <r>
    <n v="57467"/>
    <x v="4"/>
    <n v="0"/>
    <x v="10"/>
    <x v="10"/>
    <x v="0"/>
    <x v="3"/>
    <x v="3"/>
    <x v="0"/>
    <n v="38"/>
    <x v="11"/>
    <x v="0"/>
  </r>
  <r>
    <n v="57469"/>
    <x v="4"/>
    <n v="0"/>
    <x v="11"/>
    <x v="11"/>
    <x v="1"/>
    <x v="3"/>
    <x v="3"/>
    <x v="0"/>
    <n v="38"/>
    <x v="13"/>
    <x v="0"/>
  </r>
  <r>
    <n v="57470"/>
    <x v="4"/>
    <n v="0"/>
    <x v="5"/>
    <x v="5"/>
    <x v="1"/>
    <x v="3"/>
    <x v="3"/>
    <x v="0"/>
    <n v="38"/>
    <x v="5"/>
    <x v="0"/>
  </r>
  <r>
    <n v="57471"/>
    <x v="4"/>
    <n v="0"/>
    <x v="6"/>
    <x v="6"/>
    <x v="1"/>
    <x v="3"/>
    <x v="3"/>
    <x v="0"/>
    <n v="38"/>
    <x v="6"/>
    <x v="0"/>
  </r>
  <r>
    <n v="57474"/>
    <x v="6"/>
    <n v="0"/>
    <x v="7"/>
    <x v="7"/>
    <x v="0"/>
    <x v="4"/>
    <x v="4"/>
    <x v="1"/>
    <n v="25"/>
    <x v="7"/>
    <x v="0"/>
  </r>
  <r>
    <n v="57475"/>
    <x v="6"/>
    <n v="0"/>
    <x v="7"/>
    <x v="7"/>
    <x v="1"/>
    <x v="4"/>
    <x v="4"/>
    <x v="1"/>
    <n v="25"/>
    <x v="15"/>
    <x v="0"/>
  </r>
  <r>
    <n v="57476"/>
    <x v="6"/>
    <n v="0"/>
    <x v="0"/>
    <x v="0"/>
    <x v="0"/>
    <x v="4"/>
    <x v="4"/>
    <x v="1"/>
    <n v="25"/>
    <x v="0"/>
    <x v="0"/>
  </r>
  <r>
    <n v="57477"/>
    <x v="6"/>
    <n v="0"/>
    <x v="0"/>
    <x v="0"/>
    <x v="1"/>
    <x v="4"/>
    <x v="4"/>
    <x v="1"/>
    <n v="25"/>
    <x v="12"/>
    <x v="0"/>
  </r>
  <r>
    <n v="57478"/>
    <x v="6"/>
    <n v="0"/>
    <x v="1"/>
    <x v="1"/>
    <x v="1"/>
    <x v="4"/>
    <x v="4"/>
    <x v="1"/>
    <n v="25"/>
    <x v="1"/>
    <x v="0"/>
  </r>
  <r>
    <n v="57479"/>
    <x v="6"/>
    <n v="0"/>
    <x v="2"/>
    <x v="2"/>
    <x v="1"/>
    <x v="4"/>
    <x v="4"/>
    <x v="1"/>
    <n v="25"/>
    <x v="2"/>
    <x v="0"/>
  </r>
  <r>
    <n v="57480"/>
    <x v="6"/>
    <n v="0"/>
    <x v="8"/>
    <x v="8"/>
    <x v="0"/>
    <x v="4"/>
    <x v="4"/>
    <x v="1"/>
    <n v="25"/>
    <x v="8"/>
    <x v="0"/>
  </r>
  <r>
    <n v="57481"/>
    <x v="6"/>
    <n v="0"/>
    <x v="8"/>
    <x v="8"/>
    <x v="1"/>
    <x v="4"/>
    <x v="4"/>
    <x v="1"/>
    <n v="25"/>
    <x v="9"/>
    <x v="0"/>
  </r>
  <r>
    <n v="57482"/>
    <x v="6"/>
    <n v="20000"/>
    <x v="3"/>
    <x v="3"/>
    <x v="2"/>
    <x v="4"/>
    <x v="4"/>
    <x v="1"/>
    <n v="25"/>
    <x v="3"/>
    <x v="0"/>
  </r>
  <r>
    <n v="57483"/>
    <x v="6"/>
    <n v="20000"/>
    <x v="4"/>
    <x v="4"/>
    <x v="2"/>
    <x v="4"/>
    <x v="4"/>
    <x v="1"/>
    <n v="25"/>
    <x v="4"/>
    <x v="0"/>
  </r>
  <r>
    <n v="57484"/>
    <x v="6"/>
    <n v="7000"/>
    <x v="9"/>
    <x v="9"/>
    <x v="0"/>
    <x v="4"/>
    <x v="4"/>
    <x v="1"/>
    <n v="25"/>
    <x v="10"/>
    <x v="0"/>
  </r>
  <r>
    <n v="57485"/>
    <x v="6"/>
    <n v="0"/>
    <x v="10"/>
    <x v="10"/>
    <x v="0"/>
    <x v="4"/>
    <x v="4"/>
    <x v="1"/>
    <n v="25"/>
    <x v="11"/>
    <x v="0"/>
  </r>
  <r>
    <n v="57486"/>
    <x v="6"/>
    <n v="0"/>
    <x v="12"/>
    <x v="12"/>
    <x v="1"/>
    <x v="4"/>
    <x v="4"/>
    <x v="1"/>
    <n v="25"/>
    <x v="16"/>
    <x v="0"/>
  </r>
  <r>
    <n v="57487"/>
    <x v="6"/>
    <n v="0"/>
    <x v="11"/>
    <x v="11"/>
    <x v="1"/>
    <x v="4"/>
    <x v="4"/>
    <x v="1"/>
    <n v="25"/>
    <x v="13"/>
    <x v="0"/>
  </r>
  <r>
    <n v="57489"/>
    <x v="6"/>
    <n v="0"/>
    <x v="6"/>
    <x v="6"/>
    <x v="1"/>
    <x v="4"/>
    <x v="4"/>
    <x v="1"/>
    <n v="25"/>
    <x v="6"/>
    <x v="0"/>
  </r>
  <r>
    <n v="57492"/>
    <x v="7"/>
    <n v="0"/>
    <x v="7"/>
    <x v="7"/>
    <x v="0"/>
    <x v="4"/>
    <x v="4"/>
    <x v="1"/>
    <n v="26"/>
    <x v="7"/>
    <x v="0"/>
  </r>
  <r>
    <n v="57493"/>
    <x v="7"/>
    <n v="0"/>
    <x v="7"/>
    <x v="7"/>
    <x v="1"/>
    <x v="4"/>
    <x v="4"/>
    <x v="1"/>
    <n v="26"/>
    <x v="15"/>
    <x v="0"/>
  </r>
  <r>
    <n v="57491"/>
    <x v="6"/>
    <n v="20000"/>
    <x v="4"/>
    <x v="4"/>
    <x v="3"/>
    <x v="4"/>
    <x v="4"/>
    <x v="1"/>
    <n v="25"/>
    <x v="14"/>
    <x v="0"/>
  </r>
  <r>
    <n v="57488"/>
    <x v="6"/>
    <n v="2000"/>
    <x v="5"/>
    <x v="5"/>
    <x v="1"/>
    <x v="4"/>
    <x v="4"/>
    <x v="1"/>
    <n v="25"/>
    <x v="5"/>
    <x v="0"/>
  </r>
  <r>
    <n v="57454"/>
    <x v="3"/>
    <n v="26912"/>
    <x v="3"/>
    <x v="3"/>
    <x v="3"/>
    <x v="3"/>
    <x v="3"/>
    <x v="0"/>
    <n v="37"/>
    <x v="17"/>
    <x v="0"/>
  </r>
  <r>
    <n v="57473"/>
    <x v="4"/>
    <n v="20000"/>
    <x v="4"/>
    <x v="4"/>
    <x v="3"/>
    <x v="3"/>
    <x v="3"/>
    <x v="0"/>
    <n v="38"/>
    <x v="14"/>
    <x v="0"/>
  </r>
  <r>
    <n v="57468"/>
    <x v="4"/>
    <n v="3400"/>
    <x v="12"/>
    <x v="12"/>
    <x v="1"/>
    <x v="3"/>
    <x v="3"/>
    <x v="0"/>
    <n v="38"/>
    <x v="16"/>
    <x v="0"/>
  </r>
  <r>
    <n v="57455"/>
    <x v="3"/>
    <n v="20000"/>
    <x v="4"/>
    <x v="4"/>
    <x v="3"/>
    <x v="3"/>
    <x v="3"/>
    <x v="0"/>
    <n v="37"/>
    <x v="14"/>
    <x v="0"/>
  </r>
  <r>
    <n v="57450"/>
    <x v="3"/>
    <n v="3211"/>
    <x v="12"/>
    <x v="12"/>
    <x v="1"/>
    <x v="3"/>
    <x v="3"/>
    <x v="0"/>
    <n v="37"/>
    <x v="16"/>
    <x v="0"/>
  </r>
  <r>
    <n v="57494"/>
    <x v="7"/>
    <n v="0"/>
    <x v="0"/>
    <x v="0"/>
    <x v="0"/>
    <x v="4"/>
    <x v="4"/>
    <x v="1"/>
    <n v="26"/>
    <x v="0"/>
    <x v="0"/>
  </r>
  <r>
    <n v="57495"/>
    <x v="7"/>
    <n v="0"/>
    <x v="0"/>
    <x v="0"/>
    <x v="1"/>
    <x v="4"/>
    <x v="4"/>
    <x v="1"/>
    <n v="26"/>
    <x v="12"/>
    <x v="0"/>
  </r>
  <r>
    <n v="57496"/>
    <x v="7"/>
    <n v="0"/>
    <x v="1"/>
    <x v="1"/>
    <x v="1"/>
    <x v="4"/>
    <x v="4"/>
    <x v="1"/>
    <n v="26"/>
    <x v="1"/>
    <x v="0"/>
  </r>
  <r>
    <n v="57497"/>
    <x v="7"/>
    <n v="0"/>
    <x v="2"/>
    <x v="2"/>
    <x v="1"/>
    <x v="4"/>
    <x v="4"/>
    <x v="1"/>
    <n v="26"/>
    <x v="2"/>
    <x v="0"/>
  </r>
  <r>
    <n v="57498"/>
    <x v="7"/>
    <n v="0"/>
    <x v="8"/>
    <x v="8"/>
    <x v="0"/>
    <x v="4"/>
    <x v="4"/>
    <x v="1"/>
    <n v="26"/>
    <x v="8"/>
    <x v="0"/>
  </r>
  <r>
    <n v="57499"/>
    <x v="7"/>
    <n v="0"/>
    <x v="8"/>
    <x v="8"/>
    <x v="1"/>
    <x v="4"/>
    <x v="4"/>
    <x v="1"/>
    <n v="26"/>
    <x v="9"/>
    <x v="0"/>
  </r>
  <r>
    <n v="57500"/>
    <x v="7"/>
    <n v="20000"/>
    <x v="3"/>
    <x v="3"/>
    <x v="2"/>
    <x v="4"/>
    <x v="4"/>
    <x v="1"/>
    <n v="26"/>
    <x v="3"/>
    <x v="0"/>
  </r>
  <r>
    <n v="57501"/>
    <x v="7"/>
    <n v="20000"/>
    <x v="4"/>
    <x v="4"/>
    <x v="2"/>
    <x v="4"/>
    <x v="4"/>
    <x v="1"/>
    <n v="26"/>
    <x v="4"/>
    <x v="0"/>
  </r>
  <r>
    <n v="57502"/>
    <x v="7"/>
    <n v="0"/>
    <x v="9"/>
    <x v="9"/>
    <x v="0"/>
    <x v="4"/>
    <x v="4"/>
    <x v="1"/>
    <n v="26"/>
    <x v="10"/>
    <x v="0"/>
  </r>
  <r>
    <n v="57503"/>
    <x v="7"/>
    <n v="0"/>
    <x v="10"/>
    <x v="10"/>
    <x v="0"/>
    <x v="4"/>
    <x v="4"/>
    <x v="1"/>
    <n v="26"/>
    <x v="11"/>
    <x v="0"/>
  </r>
  <r>
    <n v="57504"/>
    <x v="7"/>
    <n v="0"/>
    <x v="12"/>
    <x v="12"/>
    <x v="1"/>
    <x v="4"/>
    <x v="4"/>
    <x v="1"/>
    <n v="26"/>
    <x v="16"/>
    <x v="0"/>
  </r>
  <r>
    <n v="57505"/>
    <x v="7"/>
    <n v="0"/>
    <x v="11"/>
    <x v="11"/>
    <x v="1"/>
    <x v="4"/>
    <x v="4"/>
    <x v="1"/>
    <n v="26"/>
    <x v="13"/>
    <x v="0"/>
  </r>
  <r>
    <n v="57506"/>
    <x v="7"/>
    <n v="0"/>
    <x v="5"/>
    <x v="5"/>
    <x v="1"/>
    <x v="4"/>
    <x v="4"/>
    <x v="1"/>
    <n v="26"/>
    <x v="5"/>
    <x v="0"/>
  </r>
  <r>
    <n v="57507"/>
    <x v="7"/>
    <n v="0"/>
    <x v="6"/>
    <x v="6"/>
    <x v="1"/>
    <x v="4"/>
    <x v="4"/>
    <x v="1"/>
    <n v="26"/>
    <x v="6"/>
    <x v="0"/>
  </r>
  <r>
    <n v="57508"/>
    <x v="7"/>
    <n v="20000"/>
    <x v="3"/>
    <x v="3"/>
    <x v="3"/>
    <x v="4"/>
    <x v="4"/>
    <x v="1"/>
    <n v="26"/>
    <x v="17"/>
    <x v="0"/>
  </r>
  <r>
    <n v="57509"/>
    <x v="7"/>
    <n v="20000"/>
    <x v="4"/>
    <x v="4"/>
    <x v="3"/>
    <x v="4"/>
    <x v="4"/>
    <x v="1"/>
    <n v="26"/>
    <x v="14"/>
    <x v="0"/>
  </r>
  <r>
    <n v="57510"/>
    <x v="8"/>
    <n v="0"/>
    <x v="7"/>
    <x v="7"/>
    <x v="0"/>
    <x v="4"/>
    <x v="4"/>
    <x v="1"/>
    <n v="27"/>
    <x v="7"/>
    <x v="0"/>
  </r>
  <r>
    <n v="57511"/>
    <x v="8"/>
    <n v="0"/>
    <x v="7"/>
    <x v="7"/>
    <x v="1"/>
    <x v="4"/>
    <x v="4"/>
    <x v="1"/>
    <n v="27"/>
    <x v="15"/>
    <x v="0"/>
  </r>
  <r>
    <n v="57512"/>
    <x v="8"/>
    <n v="0"/>
    <x v="0"/>
    <x v="0"/>
    <x v="0"/>
    <x v="4"/>
    <x v="4"/>
    <x v="1"/>
    <n v="27"/>
    <x v="0"/>
    <x v="0"/>
  </r>
  <r>
    <n v="57514"/>
    <x v="8"/>
    <n v="0"/>
    <x v="1"/>
    <x v="1"/>
    <x v="1"/>
    <x v="4"/>
    <x v="4"/>
    <x v="1"/>
    <n v="27"/>
    <x v="1"/>
    <x v="0"/>
  </r>
  <r>
    <n v="57515"/>
    <x v="8"/>
    <n v="0"/>
    <x v="2"/>
    <x v="2"/>
    <x v="1"/>
    <x v="4"/>
    <x v="4"/>
    <x v="1"/>
    <n v="27"/>
    <x v="2"/>
    <x v="0"/>
  </r>
  <r>
    <n v="57516"/>
    <x v="8"/>
    <n v="0"/>
    <x v="8"/>
    <x v="8"/>
    <x v="0"/>
    <x v="4"/>
    <x v="4"/>
    <x v="1"/>
    <n v="27"/>
    <x v="8"/>
    <x v="0"/>
  </r>
  <r>
    <n v="57517"/>
    <x v="8"/>
    <n v="0"/>
    <x v="8"/>
    <x v="8"/>
    <x v="1"/>
    <x v="4"/>
    <x v="4"/>
    <x v="1"/>
    <n v="27"/>
    <x v="9"/>
    <x v="0"/>
  </r>
  <r>
    <n v="57518"/>
    <x v="8"/>
    <n v="20000"/>
    <x v="3"/>
    <x v="3"/>
    <x v="2"/>
    <x v="4"/>
    <x v="4"/>
    <x v="1"/>
    <n v="27"/>
    <x v="3"/>
    <x v="0"/>
  </r>
  <r>
    <n v="57519"/>
    <x v="8"/>
    <n v="20000"/>
    <x v="4"/>
    <x v="4"/>
    <x v="2"/>
    <x v="4"/>
    <x v="4"/>
    <x v="1"/>
    <n v="27"/>
    <x v="4"/>
    <x v="0"/>
  </r>
  <r>
    <n v="57520"/>
    <x v="8"/>
    <n v="0"/>
    <x v="9"/>
    <x v="9"/>
    <x v="0"/>
    <x v="4"/>
    <x v="4"/>
    <x v="1"/>
    <n v="27"/>
    <x v="10"/>
    <x v="0"/>
  </r>
  <r>
    <n v="57521"/>
    <x v="8"/>
    <n v="0"/>
    <x v="10"/>
    <x v="10"/>
    <x v="0"/>
    <x v="4"/>
    <x v="4"/>
    <x v="1"/>
    <n v="27"/>
    <x v="11"/>
    <x v="0"/>
  </r>
  <r>
    <n v="57522"/>
    <x v="8"/>
    <n v="0"/>
    <x v="12"/>
    <x v="12"/>
    <x v="1"/>
    <x v="4"/>
    <x v="4"/>
    <x v="1"/>
    <n v="27"/>
    <x v="16"/>
    <x v="0"/>
  </r>
  <r>
    <n v="57523"/>
    <x v="8"/>
    <n v="0"/>
    <x v="11"/>
    <x v="11"/>
    <x v="1"/>
    <x v="4"/>
    <x v="4"/>
    <x v="1"/>
    <n v="27"/>
    <x v="13"/>
    <x v="0"/>
  </r>
  <r>
    <n v="57524"/>
    <x v="8"/>
    <n v="0"/>
    <x v="5"/>
    <x v="5"/>
    <x v="1"/>
    <x v="4"/>
    <x v="4"/>
    <x v="1"/>
    <n v="27"/>
    <x v="5"/>
    <x v="0"/>
  </r>
  <r>
    <n v="57525"/>
    <x v="8"/>
    <n v="0"/>
    <x v="6"/>
    <x v="6"/>
    <x v="1"/>
    <x v="4"/>
    <x v="4"/>
    <x v="1"/>
    <n v="27"/>
    <x v="6"/>
    <x v="0"/>
  </r>
  <r>
    <n v="57528"/>
    <x v="9"/>
    <n v="0"/>
    <x v="7"/>
    <x v="7"/>
    <x v="0"/>
    <x v="4"/>
    <x v="4"/>
    <x v="1"/>
    <n v="28"/>
    <x v="7"/>
    <x v="0"/>
  </r>
  <r>
    <n v="57530"/>
    <x v="9"/>
    <n v="0"/>
    <x v="0"/>
    <x v="0"/>
    <x v="0"/>
    <x v="4"/>
    <x v="4"/>
    <x v="1"/>
    <n v="28"/>
    <x v="0"/>
    <x v="0"/>
  </r>
  <r>
    <n v="57531"/>
    <x v="9"/>
    <n v="0"/>
    <x v="0"/>
    <x v="0"/>
    <x v="1"/>
    <x v="4"/>
    <x v="4"/>
    <x v="1"/>
    <n v="28"/>
    <x v="12"/>
    <x v="0"/>
  </r>
  <r>
    <n v="57532"/>
    <x v="9"/>
    <n v="0"/>
    <x v="1"/>
    <x v="1"/>
    <x v="1"/>
    <x v="4"/>
    <x v="4"/>
    <x v="1"/>
    <n v="28"/>
    <x v="1"/>
    <x v="0"/>
  </r>
  <r>
    <n v="57533"/>
    <x v="9"/>
    <n v="0"/>
    <x v="2"/>
    <x v="2"/>
    <x v="1"/>
    <x v="4"/>
    <x v="4"/>
    <x v="1"/>
    <n v="28"/>
    <x v="2"/>
    <x v="0"/>
  </r>
  <r>
    <n v="57534"/>
    <x v="9"/>
    <n v="0"/>
    <x v="8"/>
    <x v="8"/>
    <x v="0"/>
    <x v="4"/>
    <x v="4"/>
    <x v="1"/>
    <n v="28"/>
    <x v="8"/>
    <x v="0"/>
  </r>
  <r>
    <n v="57535"/>
    <x v="9"/>
    <n v="0"/>
    <x v="8"/>
    <x v="8"/>
    <x v="1"/>
    <x v="4"/>
    <x v="4"/>
    <x v="1"/>
    <n v="28"/>
    <x v="9"/>
    <x v="0"/>
  </r>
  <r>
    <n v="57536"/>
    <x v="9"/>
    <n v="20000"/>
    <x v="3"/>
    <x v="3"/>
    <x v="2"/>
    <x v="4"/>
    <x v="4"/>
    <x v="1"/>
    <n v="28"/>
    <x v="3"/>
    <x v="0"/>
  </r>
  <r>
    <n v="57537"/>
    <x v="9"/>
    <n v="20000"/>
    <x v="4"/>
    <x v="4"/>
    <x v="2"/>
    <x v="4"/>
    <x v="4"/>
    <x v="1"/>
    <n v="28"/>
    <x v="4"/>
    <x v="0"/>
  </r>
  <r>
    <n v="57538"/>
    <x v="9"/>
    <n v="0"/>
    <x v="9"/>
    <x v="9"/>
    <x v="0"/>
    <x v="4"/>
    <x v="4"/>
    <x v="1"/>
    <n v="28"/>
    <x v="10"/>
    <x v="0"/>
  </r>
  <r>
    <n v="57539"/>
    <x v="9"/>
    <n v="0"/>
    <x v="10"/>
    <x v="10"/>
    <x v="0"/>
    <x v="4"/>
    <x v="4"/>
    <x v="1"/>
    <n v="28"/>
    <x v="11"/>
    <x v="0"/>
  </r>
  <r>
    <n v="57540"/>
    <x v="9"/>
    <n v="0"/>
    <x v="12"/>
    <x v="12"/>
    <x v="1"/>
    <x v="4"/>
    <x v="4"/>
    <x v="1"/>
    <n v="28"/>
    <x v="16"/>
    <x v="0"/>
  </r>
  <r>
    <n v="57541"/>
    <x v="9"/>
    <n v="0"/>
    <x v="11"/>
    <x v="11"/>
    <x v="1"/>
    <x v="4"/>
    <x v="4"/>
    <x v="1"/>
    <n v="28"/>
    <x v="13"/>
    <x v="0"/>
  </r>
  <r>
    <n v="57542"/>
    <x v="9"/>
    <n v="0"/>
    <x v="5"/>
    <x v="5"/>
    <x v="1"/>
    <x v="4"/>
    <x v="4"/>
    <x v="1"/>
    <n v="28"/>
    <x v="5"/>
    <x v="0"/>
  </r>
  <r>
    <n v="57543"/>
    <x v="9"/>
    <n v="0"/>
    <x v="6"/>
    <x v="6"/>
    <x v="1"/>
    <x v="4"/>
    <x v="4"/>
    <x v="1"/>
    <n v="28"/>
    <x v="6"/>
    <x v="0"/>
  </r>
  <r>
    <n v="57545"/>
    <x v="9"/>
    <n v="20000"/>
    <x v="4"/>
    <x v="4"/>
    <x v="3"/>
    <x v="4"/>
    <x v="4"/>
    <x v="1"/>
    <n v="28"/>
    <x v="14"/>
    <x v="0"/>
  </r>
  <r>
    <n v="57529"/>
    <x v="9"/>
    <n v="10000"/>
    <x v="7"/>
    <x v="7"/>
    <x v="1"/>
    <x v="4"/>
    <x v="4"/>
    <x v="1"/>
    <n v="28"/>
    <x v="15"/>
    <x v="0"/>
  </r>
  <r>
    <n v="57526"/>
    <x v="8"/>
    <n v="17000"/>
    <x v="3"/>
    <x v="3"/>
    <x v="3"/>
    <x v="4"/>
    <x v="4"/>
    <x v="1"/>
    <n v="27"/>
    <x v="17"/>
    <x v="0"/>
  </r>
  <r>
    <n v="57527"/>
    <x v="8"/>
    <n v="20000"/>
    <x v="4"/>
    <x v="4"/>
    <x v="3"/>
    <x v="4"/>
    <x v="4"/>
    <x v="1"/>
    <n v="27"/>
    <x v="14"/>
    <x v="0"/>
  </r>
  <r>
    <n v="57513"/>
    <x v="8"/>
    <n v="3000"/>
    <x v="0"/>
    <x v="0"/>
    <x v="1"/>
    <x v="4"/>
    <x v="4"/>
    <x v="1"/>
    <n v="27"/>
    <x v="12"/>
    <x v="0"/>
  </r>
  <r>
    <n v="57546"/>
    <x v="10"/>
    <n v="0"/>
    <x v="7"/>
    <x v="7"/>
    <x v="0"/>
    <x v="4"/>
    <x v="4"/>
    <x v="1"/>
    <n v="29"/>
    <x v="7"/>
    <x v="0"/>
  </r>
  <r>
    <n v="57547"/>
    <x v="10"/>
    <n v="0"/>
    <x v="7"/>
    <x v="7"/>
    <x v="1"/>
    <x v="4"/>
    <x v="4"/>
    <x v="1"/>
    <n v="29"/>
    <x v="15"/>
    <x v="0"/>
  </r>
  <r>
    <n v="57549"/>
    <x v="10"/>
    <n v="0"/>
    <x v="0"/>
    <x v="0"/>
    <x v="1"/>
    <x v="4"/>
    <x v="4"/>
    <x v="1"/>
    <n v="29"/>
    <x v="12"/>
    <x v="0"/>
  </r>
  <r>
    <n v="57550"/>
    <x v="10"/>
    <n v="0"/>
    <x v="1"/>
    <x v="1"/>
    <x v="1"/>
    <x v="4"/>
    <x v="4"/>
    <x v="1"/>
    <n v="29"/>
    <x v="1"/>
    <x v="0"/>
  </r>
  <r>
    <n v="57551"/>
    <x v="10"/>
    <n v="0"/>
    <x v="2"/>
    <x v="2"/>
    <x v="1"/>
    <x v="4"/>
    <x v="4"/>
    <x v="1"/>
    <n v="29"/>
    <x v="2"/>
    <x v="0"/>
  </r>
  <r>
    <n v="57552"/>
    <x v="10"/>
    <n v="0"/>
    <x v="8"/>
    <x v="8"/>
    <x v="0"/>
    <x v="4"/>
    <x v="4"/>
    <x v="1"/>
    <n v="29"/>
    <x v="8"/>
    <x v="0"/>
  </r>
  <r>
    <n v="57553"/>
    <x v="10"/>
    <n v="0"/>
    <x v="8"/>
    <x v="8"/>
    <x v="1"/>
    <x v="4"/>
    <x v="4"/>
    <x v="1"/>
    <n v="29"/>
    <x v="9"/>
    <x v="0"/>
  </r>
  <r>
    <n v="57554"/>
    <x v="10"/>
    <n v="20000"/>
    <x v="3"/>
    <x v="3"/>
    <x v="2"/>
    <x v="4"/>
    <x v="4"/>
    <x v="1"/>
    <n v="29"/>
    <x v="3"/>
    <x v="0"/>
  </r>
  <r>
    <n v="57555"/>
    <x v="10"/>
    <n v="20000"/>
    <x v="4"/>
    <x v="4"/>
    <x v="2"/>
    <x v="4"/>
    <x v="4"/>
    <x v="1"/>
    <n v="29"/>
    <x v="4"/>
    <x v="0"/>
  </r>
  <r>
    <n v="57556"/>
    <x v="10"/>
    <n v="0"/>
    <x v="9"/>
    <x v="9"/>
    <x v="0"/>
    <x v="4"/>
    <x v="4"/>
    <x v="1"/>
    <n v="29"/>
    <x v="10"/>
    <x v="0"/>
  </r>
  <r>
    <n v="57557"/>
    <x v="10"/>
    <n v="0"/>
    <x v="10"/>
    <x v="10"/>
    <x v="0"/>
    <x v="4"/>
    <x v="4"/>
    <x v="1"/>
    <n v="29"/>
    <x v="11"/>
    <x v="0"/>
  </r>
  <r>
    <n v="57558"/>
    <x v="10"/>
    <n v="0"/>
    <x v="12"/>
    <x v="12"/>
    <x v="1"/>
    <x v="4"/>
    <x v="4"/>
    <x v="1"/>
    <n v="29"/>
    <x v="16"/>
    <x v="0"/>
  </r>
  <r>
    <n v="57559"/>
    <x v="10"/>
    <n v="0"/>
    <x v="11"/>
    <x v="11"/>
    <x v="1"/>
    <x v="4"/>
    <x v="4"/>
    <x v="1"/>
    <n v="29"/>
    <x v="13"/>
    <x v="0"/>
  </r>
  <r>
    <n v="57560"/>
    <x v="10"/>
    <n v="0"/>
    <x v="5"/>
    <x v="5"/>
    <x v="1"/>
    <x v="4"/>
    <x v="4"/>
    <x v="1"/>
    <n v="29"/>
    <x v="5"/>
    <x v="0"/>
  </r>
  <r>
    <n v="57561"/>
    <x v="10"/>
    <n v="0"/>
    <x v="6"/>
    <x v="6"/>
    <x v="1"/>
    <x v="4"/>
    <x v="4"/>
    <x v="1"/>
    <n v="29"/>
    <x v="6"/>
    <x v="0"/>
  </r>
  <r>
    <n v="57564"/>
    <x v="11"/>
    <n v="0"/>
    <x v="7"/>
    <x v="7"/>
    <x v="0"/>
    <x v="4"/>
    <x v="4"/>
    <x v="1"/>
    <n v="30"/>
    <x v="7"/>
    <x v="0"/>
  </r>
  <r>
    <n v="57565"/>
    <x v="11"/>
    <n v="0"/>
    <x v="7"/>
    <x v="7"/>
    <x v="1"/>
    <x v="4"/>
    <x v="4"/>
    <x v="1"/>
    <n v="30"/>
    <x v="15"/>
    <x v="0"/>
  </r>
  <r>
    <n v="57566"/>
    <x v="11"/>
    <n v="0"/>
    <x v="0"/>
    <x v="0"/>
    <x v="0"/>
    <x v="4"/>
    <x v="4"/>
    <x v="1"/>
    <n v="30"/>
    <x v="0"/>
    <x v="0"/>
  </r>
  <r>
    <n v="57567"/>
    <x v="11"/>
    <n v="0"/>
    <x v="0"/>
    <x v="0"/>
    <x v="1"/>
    <x v="4"/>
    <x v="4"/>
    <x v="1"/>
    <n v="30"/>
    <x v="12"/>
    <x v="0"/>
  </r>
  <r>
    <n v="57568"/>
    <x v="11"/>
    <n v="0"/>
    <x v="1"/>
    <x v="1"/>
    <x v="1"/>
    <x v="4"/>
    <x v="4"/>
    <x v="1"/>
    <n v="30"/>
    <x v="1"/>
    <x v="0"/>
  </r>
  <r>
    <n v="57569"/>
    <x v="11"/>
    <n v="0"/>
    <x v="2"/>
    <x v="2"/>
    <x v="1"/>
    <x v="4"/>
    <x v="4"/>
    <x v="1"/>
    <n v="30"/>
    <x v="2"/>
    <x v="0"/>
  </r>
  <r>
    <n v="57570"/>
    <x v="11"/>
    <n v="0"/>
    <x v="8"/>
    <x v="8"/>
    <x v="0"/>
    <x v="4"/>
    <x v="4"/>
    <x v="1"/>
    <n v="30"/>
    <x v="8"/>
    <x v="0"/>
  </r>
  <r>
    <n v="57571"/>
    <x v="11"/>
    <n v="0"/>
    <x v="8"/>
    <x v="8"/>
    <x v="1"/>
    <x v="4"/>
    <x v="4"/>
    <x v="1"/>
    <n v="30"/>
    <x v="9"/>
    <x v="0"/>
  </r>
  <r>
    <n v="57572"/>
    <x v="11"/>
    <n v="20000"/>
    <x v="3"/>
    <x v="3"/>
    <x v="2"/>
    <x v="4"/>
    <x v="4"/>
    <x v="1"/>
    <n v="30"/>
    <x v="3"/>
    <x v="0"/>
  </r>
  <r>
    <n v="57573"/>
    <x v="11"/>
    <n v="20000"/>
    <x v="4"/>
    <x v="4"/>
    <x v="2"/>
    <x v="4"/>
    <x v="4"/>
    <x v="1"/>
    <n v="30"/>
    <x v="4"/>
    <x v="0"/>
  </r>
  <r>
    <n v="57574"/>
    <x v="11"/>
    <n v="0"/>
    <x v="9"/>
    <x v="9"/>
    <x v="0"/>
    <x v="4"/>
    <x v="4"/>
    <x v="1"/>
    <n v="30"/>
    <x v="10"/>
    <x v="0"/>
  </r>
  <r>
    <n v="57575"/>
    <x v="11"/>
    <n v="0"/>
    <x v="10"/>
    <x v="10"/>
    <x v="0"/>
    <x v="4"/>
    <x v="4"/>
    <x v="1"/>
    <n v="30"/>
    <x v="11"/>
    <x v="0"/>
  </r>
  <r>
    <n v="57576"/>
    <x v="11"/>
    <n v="0"/>
    <x v="12"/>
    <x v="12"/>
    <x v="1"/>
    <x v="4"/>
    <x v="4"/>
    <x v="1"/>
    <n v="30"/>
    <x v="16"/>
    <x v="0"/>
  </r>
  <r>
    <n v="57577"/>
    <x v="11"/>
    <n v="0"/>
    <x v="11"/>
    <x v="11"/>
    <x v="1"/>
    <x v="4"/>
    <x v="4"/>
    <x v="1"/>
    <n v="30"/>
    <x v="13"/>
    <x v="0"/>
  </r>
  <r>
    <n v="57578"/>
    <x v="11"/>
    <n v="0"/>
    <x v="5"/>
    <x v="5"/>
    <x v="1"/>
    <x v="4"/>
    <x v="4"/>
    <x v="1"/>
    <n v="30"/>
    <x v="5"/>
    <x v="0"/>
  </r>
  <r>
    <n v="57579"/>
    <x v="11"/>
    <n v="0"/>
    <x v="6"/>
    <x v="6"/>
    <x v="1"/>
    <x v="4"/>
    <x v="4"/>
    <x v="1"/>
    <n v="30"/>
    <x v="6"/>
    <x v="0"/>
  </r>
  <r>
    <n v="57580"/>
    <x v="11"/>
    <n v="20000"/>
    <x v="3"/>
    <x v="3"/>
    <x v="3"/>
    <x v="4"/>
    <x v="4"/>
    <x v="1"/>
    <n v="30"/>
    <x v="17"/>
    <x v="0"/>
  </r>
  <r>
    <n v="57581"/>
    <x v="11"/>
    <n v="20000"/>
    <x v="4"/>
    <x v="4"/>
    <x v="3"/>
    <x v="4"/>
    <x v="4"/>
    <x v="1"/>
    <n v="30"/>
    <x v="14"/>
    <x v="0"/>
  </r>
  <r>
    <n v="57582"/>
    <x v="12"/>
    <n v="0"/>
    <x v="7"/>
    <x v="7"/>
    <x v="0"/>
    <x v="4"/>
    <x v="4"/>
    <x v="1"/>
    <n v="31"/>
    <x v="7"/>
    <x v="0"/>
  </r>
  <r>
    <n v="57583"/>
    <x v="12"/>
    <n v="0"/>
    <x v="7"/>
    <x v="7"/>
    <x v="1"/>
    <x v="4"/>
    <x v="4"/>
    <x v="1"/>
    <n v="31"/>
    <x v="15"/>
    <x v="0"/>
  </r>
  <r>
    <n v="57584"/>
    <x v="12"/>
    <n v="0"/>
    <x v="0"/>
    <x v="0"/>
    <x v="0"/>
    <x v="4"/>
    <x v="4"/>
    <x v="1"/>
    <n v="31"/>
    <x v="0"/>
    <x v="0"/>
  </r>
  <r>
    <n v="57585"/>
    <x v="12"/>
    <n v="0"/>
    <x v="0"/>
    <x v="0"/>
    <x v="1"/>
    <x v="4"/>
    <x v="4"/>
    <x v="1"/>
    <n v="31"/>
    <x v="12"/>
    <x v="0"/>
  </r>
  <r>
    <n v="57586"/>
    <x v="12"/>
    <n v="0"/>
    <x v="1"/>
    <x v="1"/>
    <x v="1"/>
    <x v="4"/>
    <x v="4"/>
    <x v="1"/>
    <n v="31"/>
    <x v="1"/>
    <x v="0"/>
  </r>
  <r>
    <n v="57587"/>
    <x v="12"/>
    <n v="0"/>
    <x v="2"/>
    <x v="2"/>
    <x v="1"/>
    <x v="4"/>
    <x v="4"/>
    <x v="1"/>
    <n v="31"/>
    <x v="2"/>
    <x v="0"/>
  </r>
  <r>
    <n v="57588"/>
    <x v="12"/>
    <n v="0"/>
    <x v="8"/>
    <x v="8"/>
    <x v="0"/>
    <x v="4"/>
    <x v="4"/>
    <x v="1"/>
    <n v="31"/>
    <x v="8"/>
    <x v="0"/>
  </r>
  <r>
    <n v="57589"/>
    <x v="12"/>
    <n v="0"/>
    <x v="8"/>
    <x v="8"/>
    <x v="1"/>
    <x v="4"/>
    <x v="4"/>
    <x v="1"/>
    <n v="31"/>
    <x v="9"/>
    <x v="0"/>
  </r>
  <r>
    <n v="57590"/>
    <x v="12"/>
    <n v="20000"/>
    <x v="3"/>
    <x v="3"/>
    <x v="2"/>
    <x v="4"/>
    <x v="4"/>
    <x v="1"/>
    <n v="31"/>
    <x v="3"/>
    <x v="0"/>
  </r>
  <r>
    <n v="57591"/>
    <x v="12"/>
    <n v="20000"/>
    <x v="4"/>
    <x v="4"/>
    <x v="2"/>
    <x v="4"/>
    <x v="4"/>
    <x v="1"/>
    <n v="31"/>
    <x v="4"/>
    <x v="0"/>
  </r>
  <r>
    <n v="57592"/>
    <x v="12"/>
    <n v="0"/>
    <x v="9"/>
    <x v="9"/>
    <x v="0"/>
    <x v="4"/>
    <x v="4"/>
    <x v="1"/>
    <n v="31"/>
    <x v="10"/>
    <x v="0"/>
  </r>
  <r>
    <n v="57593"/>
    <x v="12"/>
    <n v="0"/>
    <x v="10"/>
    <x v="10"/>
    <x v="0"/>
    <x v="4"/>
    <x v="4"/>
    <x v="1"/>
    <n v="31"/>
    <x v="11"/>
    <x v="0"/>
  </r>
  <r>
    <n v="57594"/>
    <x v="12"/>
    <n v="0"/>
    <x v="12"/>
    <x v="12"/>
    <x v="1"/>
    <x v="4"/>
    <x v="4"/>
    <x v="1"/>
    <n v="31"/>
    <x v="16"/>
    <x v="0"/>
  </r>
  <r>
    <n v="57595"/>
    <x v="12"/>
    <n v="0"/>
    <x v="11"/>
    <x v="11"/>
    <x v="1"/>
    <x v="4"/>
    <x v="4"/>
    <x v="1"/>
    <n v="31"/>
    <x v="13"/>
    <x v="0"/>
  </r>
  <r>
    <n v="57596"/>
    <x v="12"/>
    <n v="0"/>
    <x v="5"/>
    <x v="5"/>
    <x v="1"/>
    <x v="4"/>
    <x v="4"/>
    <x v="1"/>
    <n v="31"/>
    <x v="5"/>
    <x v="0"/>
  </r>
  <r>
    <n v="57597"/>
    <x v="12"/>
    <n v="0"/>
    <x v="6"/>
    <x v="6"/>
    <x v="1"/>
    <x v="4"/>
    <x v="4"/>
    <x v="1"/>
    <n v="31"/>
    <x v="6"/>
    <x v="0"/>
  </r>
  <r>
    <n v="57598"/>
    <x v="12"/>
    <n v="20000"/>
    <x v="3"/>
    <x v="3"/>
    <x v="3"/>
    <x v="4"/>
    <x v="4"/>
    <x v="1"/>
    <n v="31"/>
    <x v="17"/>
    <x v="0"/>
  </r>
  <r>
    <n v="57563"/>
    <x v="10"/>
    <n v="20000"/>
    <x v="4"/>
    <x v="4"/>
    <x v="3"/>
    <x v="4"/>
    <x v="4"/>
    <x v="1"/>
    <n v="29"/>
    <x v="14"/>
    <x v="0"/>
  </r>
  <r>
    <n v="57548"/>
    <x v="10"/>
    <n v="6000"/>
    <x v="0"/>
    <x v="0"/>
    <x v="0"/>
    <x v="4"/>
    <x v="4"/>
    <x v="1"/>
    <n v="29"/>
    <x v="0"/>
    <x v="0"/>
  </r>
  <r>
    <n v="57599"/>
    <x v="12"/>
    <n v="20000"/>
    <x v="4"/>
    <x v="4"/>
    <x v="3"/>
    <x v="4"/>
    <x v="4"/>
    <x v="1"/>
    <n v="31"/>
    <x v="14"/>
    <x v="0"/>
  </r>
  <r>
    <n v="57600"/>
    <x v="13"/>
    <n v="0"/>
    <x v="7"/>
    <x v="7"/>
    <x v="0"/>
    <x v="4"/>
    <x v="4"/>
    <x v="1"/>
    <n v="32"/>
    <x v="7"/>
    <x v="0"/>
  </r>
  <r>
    <n v="57602"/>
    <x v="13"/>
    <n v="0"/>
    <x v="0"/>
    <x v="0"/>
    <x v="0"/>
    <x v="4"/>
    <x v="4"/>
    <x v="1"/>
    <n v="32"/>
    <x v="0"/>
    <x v="0"/>
  </r>
  <r>
    <n v="57603"/>
    <x v="13"/>
    <n v="0"/>
    <x v="0"/>
    <x v="0"/>
    <x v="1"/>
    <x v="4"/>
    <x v="4"/>
    <x v="1"/>
    <n v="32"/>
    <x v="12"/>
    <x v="0"/>
  </r>
  <r>
    <n v="57604"/>
    <x v="13"/>
    <n v="0"/>
    <x v="1"/>
    <x v="1"/>
    <x v="1"/>
    <x v="4"/>
    <x v="4"/>
    <x v="1"/>
    <n v="32"/>
    <x v="1"/>
    <x v="0"/>
  </r>
  <r>
    <n v="57605"/>
    <x v="13"/>
    <n v="0"/>
    <x v="2"/>
    <x v="2"/>
    <x v="1"/>
    <x v="4"/>
    <x v="4"/>
    <x v="1"/>
    <n v="32"/>
    <x v="2"/>
    <x v="0"/>
  </r>
  <r>
    <n v="57606"/>
    <x v="13"/>
    <n v="0"/>
    <x v="8"/>
    <x v="8"/>
    <x v="0"/>
    <x v="4"/>
    <x v="4"/>
    <x v="1"/>
    <n v="32"/>
    <x v="8"/>
    <x v="0"/>
  </r>
  <r>
    <n v="57607"/>
    <x v="13"/>
    <n v="0"/>
    <x v="8"/>
    <x v="8"/>
    <x v="1"/>
    <x v="4"/>
    <x v="4"/>
    <x v="1"/>
    <n v="32"/>
    <x v="9"/>
    <x v="0"/>
  </r>
  <r>
    <n v="57608"/>
    <x v="13"/>
    <n v="20000"/>
    <x v="3"/>
    <x v="3"/>
    <x v="2"/>
    <x v="4"/>
    <x v="4"/>
    <x v="1"/>
    <n v="32"/>
    <x v="3"/>
    <x v="0"/>
  </r>
  <r>
    <n v="57609"/>
    <x v="13"/>
    <n v="20000"/>
    <x v="4"/>
    <x v="4"/>
    <x v="2"/>
    <x v="4"/>
    <x v="4"/>
    <x v="1"/>
    <n v="32"/>
    <x v="4"/>
    <x v="0"/>
  </r>
  <r>
    <n v="57610"/>
    <x v="13"/>
    <n v="0"/>
    <x v="9"/>
    <x v="9"/>
    <x v="0"/>
    <x v="4"/>
    <x v="4"/>
    <x v="1"/>
    <n v="32"/>
    <x v="10"/>
    <x v="0"/>
  </r>
  <r>
    <n v="57611"/>
    <x v="13"/>
    <n v="0"/>
    <x v="10"/>
    <x v="10"/>
    <x v="0"/>
    <x v="4"/>
    <x v="4"/>
    <x v="1"/>
    <n v="32"/>
    <x v="11"/>
    <x v="0"/>
  </r>
  <r>
    <n v="57612"/>
    <x v="13"/>
    <n v="0"/>
    <x v="12"/>
    <x v="12"/>
    <x v="1"/>
    <x v="4"/>
    <x v="4"/>
    <x v="1"/>
    <n v="32"/>
    <x v="16"/>
    <x v="0"/>
  </r>
  <r>
    <n v="57613"/>
    <x v="13"/>
    <n v="0"/>
    <x v="11"/>
    <x v="11"/>
    <x v="1"/>
    <x v="4"/>
    <x v="4"/>
    <x v="1"/>
    <n v="32"/>
    <x v="13"/>
    <x v="0"/>
  </r>
  <r>
    <n v="57614"/>
    <x v="13"/>
    <n v="0"/>
    <x v="5"/>
    <x v="5"/>
    <x v="1"/>
    <x v="4"/>
    <x v="4"/>
    <x v="1"/>
    <n v="32"/>
    <x v="5"/>
    <x v="0"/>
  </r>
  <r>
    <n v="57615"/>
    <x v="13"/>
    <n v="0"/>
    <x v="6"/>
    <x v="6"/>
    <x v="1"/>
    <x v="4"/>
    <x v="4"/>
    <x v="1"/>
    <n v="32"/>
    <x v="6"/>
    <x v="0"/>
  </r>
  <r>
    <n v="57618"/>
    <x v="14"/>
    <n v="0"/>
    <x v="7"/>
    <x v="7"/>
    <x v="0"/>
    <x v="4"/>
    <x v="4"/>
    <x v="1"/>
    <n v="33"/>
    <x v="7"/>
    <x v="0"/>
  </r>
  <r>
    <n v="57619"/>
    <x v="14"/>
    <n v="0"/>
    <x v="7"/>
    <x v="7"/>
    <x v="1"/>
    <x v="4"/>
    <x v="4"/>
    <x v="1"/>
    <n v="33"/>
    <x v="15"/>
    <x v="0"/>
  </r>
  <r>
    <n v="57620"/>
    <x v="14"/>
    <n v="0"/>
    <x v="0"/>
    <x v="0"/>
    <x v="0"/>
    <x v="4"/>
    <x v="4"/>
    <x v="1"/>
    <n v="33"/>
    <x v="0"/>
    <x v="0"/>
  </r>
  <r>
    <n v="57621"/>
    <x v="14"/>
    <n v="0"/>
    <x v="0"/>
    <x v="0"/>
    <x v="1"/>
    <x v="4"/>
    <x v="4"/>
    <x v="1"/>
    <n v="33"/>
    <x v="12"/>
    <x v="0"/>
  </r>
  <r>
    <n v="57622"/>
    <x v="14"/>
    <n v="0"/>
    <x v="1"/>
    <x v="1"/>
    <x v="1"/>
    <x v="4"/>
    <x v="4"/>
    <x v="1"/>
    <n v="33"/>
    <x v="1"/>
    <x v="0"/>
  </r>
  <r>
    <n v="57623"/>
    <x v="14"/>
    <n v="0"/>
    <x v="2"/>
    <x v="2"/>
    <x v="1"/>
    <x v="4"/>
    <x v="4"/>
    <x v="1"/>
    <n v="33"/>
    <x v="2"/>
    <x v="0"/>
  </r>
  <r>
    <n v="57624"/>
    <x v="14"/>
    <n v="0"/>
    <x v="8"/>
    <x v="8"/>
    <x v="0"/>
    <x v="4"/>
    <x v="4"/>
    <x v="1"/>
    <n v="33"/>
    <x v="8"/>
    <x v="0"/>
  </r>
  <r>
    <n v="57625"/>
    <x v="14"/>
    <n v="0"/>
    <x v="8"/>
    <x v="8"/>
    <x v="1"/>
    <x v="4"/>
    <x v="4"/>
    <x v="1"/>
    <n v="33"/>
    <x v="9"/>
    <x v="0"/>
  </r>
  <r>
    <n v="57626"/>
    <x v="14"/>
    <n v="20000"/>
    <x v="3"/>
    <x v="3"/>
    <x v="2"/>
    <x v="4"/>
    <x v="4"/>
    <x v="1"/>
    <n v="33"/>
    <x v="3"/>
    <x v="0"/>
  </r>
  <r>
    <n v="57627"/>
    <x v="14"/>
    <n v="20000"/>
    <x v="4"/>
    <x v="4"/>
    <x v="2"/>
    <x v="4"/>
    <x v="4"/>
    <x v="1"/>
    <n v="33"/>
    <x v="4"/>
    <x v="0"/>
  </r>
  <r>
    <n v="57628"/>
    <x v="14"/>
    <n v="0"/>
    <x v="9"/>
    <x v="9"/>
    <x v="0"/>
    <x v="4"/>
    <x v="4"/>
    <x v="1"/>
    <n v="33"/>
    <x v="10"/>
    <x v="0"/>
  </r>
  <r>
    <n v="57629"/>
    <x v="14"/>
    <n v="0"/>
    <x v="10"/>
    <x v="10"/>
    <x v="0"/>
    <x v="4"/>
    <x v="4"/>
    <x v="1"/>
    <n v="33"/>
    <x v="11"/>
    <x v="0"/>
  </r>
  <r>
    <n v="57630"/>
    <x v="14"/>
    <n v="0"/>
    <x v="12"/>
    <x v="12"/>
    <x v="1"/>
    <x v="4"/>
    <x v="4"/>
    <x v="1"/>
    <n v="33"/>
    <x v="16"/>
    <x v="0"/>
  </r>
  <r>
    <n v="57631"/>
    <x v="14"/>
    <n v="0"/>
    <x v="11"/>
    <x v="11"/>
    <x v="1"/>
    <x v="4"/>
    <x v="4"/>
    <x v="1"/>
    <n v="33"/>
    <x v="13"/>
    <x v="0"/>
  </r>
  <r>
    <n v="57632"/>
    <x v="14"/>
    <n v="0"/>
    <x v="5"/>
    <x v="5"/>
    <x v="1"/>
    <x v="4"/>
    <x v="4"/>
    <x v="1"/>
    <n v="33"/>
    <x v="5"/>
    <x v="0"/>
  </r>
  <r>
    <n v="57633"/>
    <x v="14"/>
    <n v="0"/>
    <x v="6"/>
    <x v="6"/>
    <x v="1"/>
    <x v="4"/>
    <x v="4"/>
    <x v="1"/>
    <n v="33"/>
    <x v="6"/>
    <x v="0"/>
  </r>
  <r>
    <n v="57634"/>
    <x v="14"/>
    <n v="20000"/>
    <x v="3"/>
    <x v="3"/>
    <x v="3"/>
    <x v="4"/>
    <x v="4"/>
    <x v="1"/>
    <n v="33"/>
    <x v="17"/>
    <x v="0"/>
  </r>
  <r>
    <n v="57635"/>
    <x v="14"/>
    <n v="20000"/>
    <x v="4"/>
    <x v="4"/>
    <x v="3"/>
    <x v="4"/>
    <x v="4"/>
    <x v="1"/>
    <n v="33"/>
    <x v="14"/>
    <x v="0"/>
  </r>
  <r>
    <n v="57636"/>
    <x v="15"/>
    <n v="0"/>
    <x v="7"/>
    <x v="7"/>
    <x v="0"/>
    <x v="4"/>
    <x v="4"/>
    <x v="1"/>
    <n v="34"/>
    <x v="7"/>
    <x v="0"/>
  </r>
  <r>
    <n v="57637"/>
    <x v="15"/>
    <n v="0"/>
    <x v="7"/>
    <x v="7"/>
    <x v="1"/>
    <x v="4"/>
    <x v="4"/>
    <x v="1"/>
    <n v="34"/>
    <x v="15"/>
    <x v="0"/>
  </r>
  <r>
    <n v="57638"/>
    <x v="15"/>
    <n v="0"/>
    <x v="0"/>
    <x v="0"/>
    <x v="0"/>
    <x v="4"/>
    <x v="4"/>
    <x v="1"/>
    <n v="34"/>
    <x v="0"/>
    <x v="0"/>
  </r>
  <r>
    <n v="57639"/>
    <x v="15"/>
    <n v="0"/>
    <x v="0"/>
    <x v="0"/>
    <x v="1"/>
    <x v="4"/>
    <x v="4"/>
    <x v="1"/>
    <n v="34"/>
    <x v="12"/>
    <x v="0"/>
  </r>
  <r>
    <n v="57640"/>
    <x v="15"/>
    <n v="0"/>
    <x v="1"/>
    <x v="1"/>
    <x v="1"/>
    <x v="4"/>
    <x v="4"/>
    <x v="1"/>
    <n v="34"/>
    <x v="1"/>
    <x v="0"/>
  </r>
  <r>
    <n v="57641"/>
    <x v="15"/>
    <n v="0"/>
    <x v="2"/>
    <x v="2"/>
    <x v="1"/>
    <x v="4"/>
    <x v="4"/>
    <x v="1"/>
    <n v="34"/>
    <x v="2"/>
    <x v="0"/>
  </r>
  <r>
    <n v="57642"/>
    <x v="15"/>
    <n v="0"/>
    <x v="8"/>
    <x v="8"/>
    <x v="0"/>
    <x v="4"/>
    <x v="4"/>
    <x v="1"/>
    <n v="34"/>
    <x v="8"/>
    <x v="0"/>
  </r>
  <r>
    <n v="57643"/>
    <x v="15"/>
    <n v="0"/>
    <x v="8"/>
    <x v="8"/>
    <x v="1"/>
    <x v="4"/>
    <x v="4"/>
    <x v="1"/>
    <n v="34"/>
    <x v="9"/>
    <x v="0"/>
  </r>
  <r>
    <n v="57644"/>
    <x v="15"/>
    <n v="20000"/>
    <x v="3"/>
    <x v="3"/>
    <x v="2"/>
    <x v="4"/>
    <x v="4"/>
    <x v="1"/>
    <n v="34"/>
    <x v="3"/>
    <x v="0"/>
  </r>
  <r>
    <n v="57645"/>
    <x v="15"/>
    <n v="20000"/>
    <x v="4"/>
    <x v="4"/>
    <x v="2"/>
    <x v="4"/>
    <x v="4"/>
    <x v="1"/>
    <n v="34"/>
    <x v="4"/>
    <x v="0"/>
  </r>
  <r>
    <n v="57646"/>
    <x v="15"/>
    <n v="0"/>
    <x v="9"/>
    <x v="9"/>
    <x v="0"/>
    <x v="4"/>
    <x v="4"/>
    <x v="1"/>
    <n v="34"/>
    <x v="10"/>
    <x v="0"/>
  </r>
  <r>
    <n v="57647"/>
    <x v="15"/>
    <n v="0"/>
    <x v="10"/>
    <x v="10"/>
    <x v="0"/>
    <x v="4"/>
    <x v="4"/>
    <x v="1"/>
    <n v="34"/>
    <x v="11"/>
    <x v="0"/>
  </r>
  <r>
    <n v="57648"/>
    <x v="15"/>
    <n v="0"/>
    <x v="12"/>
    <x v="12"/>
    <x v="1"/>
    <x v="4"/>
    <x v="4"/>
    <x v="1"/>
    <n v="34"/>
    <x v="16"/>
    <x v="0"/>
  </r>
  <r>
    <n v="57649"/>
    <x v="15"/>
    <n v="0"/>
    <x v="11"/>
    <x v="11"/>
    <x v="1"/>
    <x v="4"/>
    <x v="4"/>
    <x v="1"/>
    <n v="34"/>
    <x v="13"/>
    <x v="0"/>
  </r>
  <r>
    <n v="57650"/>
    <x v="15"/>
    <n v="0"/>
    <x v="5"/>
    <x v="5"/>
    <x v="1"/>
    <x v="4"/>
    <x v="4"/>
    <x v="1"/>
    <n v="34"/>
    <x v="5"/>
    <x v="0"/>
  </r>
  <r>
    <n v="57617"/>
    <x v="13"/>
    <n v="20000"/>
    <x v="4"/>
    <x v="4"/>
    <x v="3"/>
    <x v="4"/>
    <x v="4"/>
    <x v="1"/>
    <n v="32"/>
    <x v="14"/>
    <x v="0"/>
  </r>
  <r>
    <n v="57601"/>
    <x v="13"/>
    <n v="10000"/>
    <x v="7"/>
    <x v="7"/>
    <x v="1"/>
    <x v="4"/>
    <x v="4"/>
    <x v="1"/>
    <n v="32"/>
    <x v="15"/>
    <x v="0"/>
  </r>
  <r>
    <n v="57651"/>
    <x v="15"/>
    <n v="0"/>
    <x v="6"/>
    <x v="6"/>
    <x v="1"/>
    <x v="4"/>
    <x v="4"/>
    <x v="1"/>
    <n v="34"/>
    <x v="6"/>
    <x v="0"/>
  </r>
  <r>
    <n v="57652"/>
    <x v="15"/>
    <n v="20000"/>
    <x v="3"/>
    <x v="3"/>
    <x v="3"/>
    <x v="4"/>
    <x v="4"/>
    <x v="1"/>
    <n v="34"/>
    <x v="17"/>
    <x v="0"/>
  </r>
  <r>
    <n v="57653"/>
    <x v="15"/>
    <n v="20000"/>
    <x v="4"/>
    <x v="4"/>
    <x v="3"/>
    <x v="4"/>
    <x v="4"/>
    <x v="1"/>
    <n v="34"/>
    <x v="14"/>
    <x v="0"/>
  </r>
  <r>
    <n v="57654"/>
    <x v="16"/>
    <n v="0"/>
    <x v="7"/>
    <x v="7"/>
    <x v="0"/>
    <x v="5"/>
    <x v="4"/>
    <x v="1"/>
    <n v="35"/>
    <x v="7"/>
    <x v="0"/>
  </r>
  <r>
    <n v="57655"/>
    <x v="16"/>
    <n v="0"/>
    <x v="7"/>
    <x v="7"/>
    <x v="1"/>
    <x v="5"/>
    <x v="4"/>
    <x v="1"/>
    <n v="35"/>
    <x v="15"/>
    <x v="0"/>
  </r>
  <r>
    <n v="57656"/>
    <x v="16"/>
    <n v="0"/>
    <x v="0"/>
    <x v="0"/>
    <x v="0"/>
    <x v="5"/>
    <x v="4"/>
    <x v="1"/>
    <n v="35"/>
    <x v="0"/>
    <x v="0"/>
  </r>
  <r>
    <n v="57657"/>
    <x v="16"/>
    <n v="0"/>
    <x v="0"/>
    <x v="0"/>
    <x v="1"/>
    <x v="5"/>
    <x v="4"/>
    <x v="1"/>
    <n v="35"/>
    <x v="12"/>
    <x v="0"/>
  </r>
  <r>
    <n v="57658"/>
    <x v="16"/>
    <n v="0"/>
    <x v="1"/>
    <x v="1"/>
    <x v="1"/>
    <x v="5"/>
    <x v="4"/>
    <x v="1"/>
    <n v="35"/>
    <x v="1"/>
    <x v="0"/>
  </r>
  <r>
    <n v="57659"/>
    <x v="16"/>
    <n v="0"/>
    <x v="2"/>
    <x v="2"/>
    <x v="1"/>
    <x v="5"/>
    <x v="4"/>
    <x v="1"/>
    <n v="35"/>
    <x v="2"/>
    <x v="0"/>
  </r>
  <r>
    <n v="57660"/>
    <x v="16"/>
    <n v="0"/>
    <x v="8"/>
    <x v="8"/>
    <x v="0"/>
    <x v="5"/>
    <x v="4"/>
    <x v="1"/>
    <n v="35"/>
    <x v="8"/>
    <x v="0"/>
  </r>
  <r>
    <n v="57661"/>
    <x v="16"/>
    <n v="0"/>
    <x v="8"/>
    <x v="8"/>
    <x v="1"/>
    <x v="5"/>
    <x v="4"/>
    <x v="1"/>
    <n v="35"/>
    <x v="9"/>
    <x v="0"/>
  </r>
  <r>
    <n v="57662"/>
    <x v="16"/>
    <n v="20000"/>
    <x v="3"/>
    <x v="3"/>
    <x v="2"/>
    <x v="5"/>
    <x v="4"/>
    <x v="1"/>
    <n v="35"/>
    <x v="3"/>
    <x v="0"/>
  </r>
  <r>
    <n v="57663"/>
    <x v="16"/>
    <n v="20000"/>
    <x v="4"/>
    <x v="4"/>
    <x v="2"/>
    <x v="5"/>
    <x v="4"/>
    <x v="1"/>
    <n v="35"/>
    <x v="4"/>
    <x v="0"/>
  </r>
  <r>
    <n v="57664"/>
    <x v="16"/>
    <n v="0"/>
    <x v="9"/>
    <x v="9"/>
    <x v="0"/>
    <x v="5"/>
    <x v="4"/>
    <x v="1"/>
    <n v="35"/>
    <x v="10"/>
    <x v="0"/>
  </r>
  <r>
    <n v="57665"/>
    <x v="16"/>
    <n v="0"/>
    <x v="10"/>
    <x v="10"/>
    <x v="0"/>
    <x v="5"/>
    <x v="4"/>
    <x v="1"/>
    <n v="35"/>
    <x v="11"/>
    <x v="0"/>
  </r>
  <r>
    <n v="57666"/>
    <x v="16"/>
    <n v="0"/>
    <x v="12"/>
    <x v="12"/>
    <x v="1"/>
    <x v="5"/>
    <x v="4"/>
    <x v="1"/>
    <n v="35"/>
    <x v="16"/>
    <x v="0"/>
  </r>
  <r>
    <n v="57667"/>
    <x v="16"/>
    <n v="0"/>
    <x v="11"/>
    <x v="11"/>
    <x v="1"/>
    <x v="5"/>
    <x v="4"/>
    <x v="1"/>
    <n v="35"/>
    <x v="13"/>
    <x v="0"/>
  </r>
  <r>
    <n v="57668"/>
    <x v="16"/>
    <n v="0"/>
    <x v="5"/>
    <x v="5"/>
    <x v="1"/>
    <x v="5"/>
    <x v="4"/>
    <x v="1"/>
    <n v="35"/>
    <x v="5"/>
    <x v="0"/>
  </r>
  <r>
    <n v="57669"/>
    <x v="16"/>
    <n v="0"/>
    <x v="6"/>
    <x v="6"/>
    <x v="1"/>
    <x v="5"/>
    <x v="4"/>
    <x v="1"/>
    <n v="35"/>
    <x v="6"/>
    <x v="0"/>
  </r>
  <r>
    <n v="57670"/>
    <x v="16"/>
    <n v="20000"/>
    <x v="3"/>
    <x v="3"/>
    <x v="3"/>
    <x v="5"/>
    <x v="4"/>
    <x v="1"/>
    <n v="35"/>
    <x v="17"/>
    <x v="0"/>
  </r>
  <r>
    <n v="57671"/>
    <x v="16"/>
    <n v="20000"/>
    <x v="4"/>
    <x v="4"/>
    <x v="3"/>
    <x v="5"/>
    <x v="4"/>
    <x v="1"/>
    <n v="35"/>
    <x v="14"/>
    <x v="0"/>
  </r>
  <r>
    <n v="57672"/>
    <x v="17"/>
    <n v="0"/>
    <x v="7"/>
    <x v="7"/>
    <x v="0"/>
    <x v="5"/>
    <x v="4"/>
    <x v="1"/>
    <n v="39"/>
    <x v="7"/>
    <x v="0"/>
  </r>
  <r>
    <n v="57674"/>
    <x v="17"/>
    <n v="0"/>
    <x v="0"/>
    <x v="0"/>
    <x v="0"/>
    <x v="5"/>
    <x v="4"/>
    <x v="1"/>
    <n v="39"/>
    <x v="0"/>
    <x v="0"/>
  </r>
  <r>
    <n v="57675"/>
    <x v="17"/>
    <n v="0"/>
    <x v="0"/>
    <x v="0"/>
    <x v="1"/>
    <x v="5"/>
    <x v="4"/>
    <x v="1"/>
    <n v="39"/>
    <x v="12"/>
    <x v="0"/>
  </r>
  <r>
    <n v="57676"/>
    <x v="17"/>
    <n v="0"/>
    <x v="1"/>
    <x v="1"/>
    <x v="1"/>
    <x v="5"/>
    <x v="4"/>
    <x v="1"/>
    <n v="39"/>
    <x v="1"/>
    <x v="0"/>
  </r>
  <r>
    <n v="57677"/>
    <x v="17"/>
    <n v="0"/>
    <x v="2"/>
    <x v="2"/>
    <x v="1"/>
    <x v="5"/>
    <x v="4"/>
    <x v="1"/>
    <n v="39"/>
    <x v="2"/>
    <x v="0"/>
  </r>
  <r>
    <n v="57678"/>
    <x v="17"/>
    <n v="0"/>
    <x v="8"/>
    <x v="8"/>
    <x v="0"/>
    <x v="5"/>
    <x v="4"/>
    <x v="1"/>
    <n v="39"/>
    <x v="8"/>
    <x v="0"/>
  </r>
  <r>
    <n v="57679"/>
    <x v="17"/>
    <n v="0"/>
    <x v="8"/>
    <x v="8"/>
    <x v="1"/>
    <x v="5"/>
    <x v="4"/>
    <x v="1"/>
    <n v="39"/>
    <x v="9"/>
    <x v="0"/>
  </r>
  <r>
    <n v="57680"/>
    <x v="17"/>
    <n v="20000"/>
    <x v="3"/>
    <x v="3"/>
    <x v="2"/>
    <x v="5"/>
    <x v="4"/>
    <x v="1"/>
    <n v="39"/>
    <x v="3"/>
    <x v="0"/>
  </r>
  <r>
    <n v="57681"/>
    <x v="17"/>
    <n v="20000"/>
    <x v="4"/>
    <x v="4"/>
    <x v="2"/>
    <x v="5"/>
    <x v="4"/>
    <x v="1"/>
    <n v="39"/>
    <x v="4"/>
    <x v="0"/>
  </r>
  <r>
    <n v="57682"/>
    <x v="17"/>
    <n v="0"/>
    <x v="9"/>
    <x v="9"/>
    <x v="0"/>
    <x v="5"/>
    <x v="4"/>
    <x v="1"/>
    <n v="39"/>
    <x v="10"/>
    <x v="0"/>
  </r>
  <r>
    <n v="57683"/>
    <x v="17"/>
    <n v="0"/>
    <x v="10"/>
    <x v="10"/>
    <x v="0"/>
    <x v="5"/>
    <x v="4"/>
    <x v="1"/>
    <n v="39"/>
    <x v="11"/>
    <x v="0"/>
  </r>
  <r>
    <n v="57684"/>
    <x v="17"/>
    <n v="0"/>
    <x v="12"/>
    <x v="12"/>
    <x v="1"/>
    <x v="5"/>
    <x v="4"/>
    <x v="1"/>
    <n v="39"/>
    <x v="16"/>
    <x v="0"/>
  </r>
  <r>
    <n v="57685"/>
    <x v="17"/>
    <n v="0"/>
    <x v="11"/>
    <x v="11"/>
    <x v="1"/>
    <x v="5"/>
    <x v="4"/>
    <x v="1"/>
    <n v="39"/>
    <x v="13"/>
    <x v="0"/>
  </r>
  <r>
    <n v="57686"/>
    <x v="17"/>
    <n v="0"/>
    <x v="5"/>
    <x v="5"/>
    <x v="1"/>
    <x v="5"/>
    <x v="4"/>
    <x v="1"/>
    <n v="39"/>
    <x v="5"/>
    <x v="0"/>
  </r>
  <r>
    <n v="57687"/>
    <x v="17"/>
    <n v="0"/>
    <x v="6"/>
    <x v="6"/>
    <x v="1"/>
    <x v="5"/>
    <x v="4"/>
    <x v="1"/>
    <n v="39"/>
    <x v="6"/>
    <x v="0"/>
  </r>
  <r>
    <n v="57690"/>
    <x v="18"/>
    <n v="0"/>
    <x v="7"/>
    <x v="7"/>
    <x v="0"/>
    <x v="5"/>
    <x v="4"/>
    <x v="1"/>
    <n v="40"/>
    <x v="7"/>
    <x v="0"/>
  </r>
  <r>
    <n v="57691"/>
    <x v="18"/>
    <n v="0"/>
    <x v="7"/>
    <x v="7"/>
    <x v="1"/>
    <x v="5"/>
    <x v="4"/>
    <x v="1"/>
    <n v="40"/>
    <x v="15"/>
    <x v="0"/>
  </r>
  <r>
    <n v="57692"/>
    <x v="18"/>
    <n v="0"/>
    <x v="0"/>
    <x v="0"/>
    <x v="0"/>
    <x v="5"/>
    <x v="4"/>
    <x v="1"/>
    <n v="40"/>
    <x v="0"/>
    <x v="0"/>
  </r>
  <r>
    <n v="57693"/>
    <x v="18"/>
    <n v="0"/>
    <x v="0"/>
    <x v="0"/>
    <x v="1"/>
    <x v="5"/>
    <x v="4"/>
    <x v="1"/>
    <n v="40"/>
    <x v="12"/>
    <x v="0"/>
  </r>
  <r>
    <n v="57694"/>
    <x v="18"/>
    <n v="0"/>
    <x v="1"/>
    <x v="1"/>
    <x v="1"/>
    <x v="5"/>
    <x v="4"/>
    <x v="1"/>
    <n v="40"/>
    <x v="1"/>
    <x v="0"/>
  </r>
  <r>
    <n v="57695"/>
    <x v="18"/>
    <n v="0"/>
    <x v="2"/>
    <x v="2"/>
    <x v="1"/>
    <x v="5"/>
    <x v="4"/>
    <x v="1"/>
    <n v="40"/>
    <x v="2"/>
    <x v="0"/>
  </r>
  <r>
    <n v="57696"/>
    <x v="18"/>
    <n v="0"/>
    <x v="8"/>
    <x v="8"/>
    <x v="0"/>
    <x v="5"/>
    <x v="4"/>
    <x v="1"/>
    <n v="40"/>
    <x v="8"/>
    <x v="0"/>
  </r>
  <r>
    <n v="57697"/>
    <x v="18"/>
    <n v="0"/>
    <x v="8"/>
    <x v="8"/>
    <x v="1"/>
    <x v="5"/>
    <x v="4"/>
    <x v="1"/>
    <n v="40"/>
    <x v="9"/>
    <x v="0"/>
  </r>
  <r>
    <n v="57698"/>
    <x v="18"/>
    <n v="20000"/>
    <x v="3"/>
    <x v="3"/>
    <x v="2"/>
    <x v="5"/>
    <x v="4"/>
    <x v="1"/>
    <n v="40"/>
    <x v="3"/>
    <x v="0"/>
  </r>
  <r>
    <n v="57699"/>
    <x v="18"/>
    <n v="20000"/>
    <x v="4"/>
    <x v="4"/>
    <x v="2"/>
    <x v="5"/>
    <x v="4"/>
    <x v="1"/>
    <n v="40"/>
    <x v="4"/>
    <x v="0"/>
  </r>
  <r>
    <n v="57700"/>
    <x v="18"/>
    <n v="0"/>
    <x v="9"/>
    <x v="9"/>
    <x v="0"/>
    <x v="5"/>
    <x v="4"/>
    <x v="1"/>
    <n v="40"/>
    <x v="10"/>
    <x v="0"/>
  </r>
  <r>
    <n v="57701"/>
    <x v="18"/>
    <n v="0"/>
    <x v="10"/>
    <x v="10"/>
    <x v="0"/>
    <x v="5"/>
    <x v="4"/>
    <x v="1"/>
    <n v="40"/>
    <x v="11"/>
    <x v="0"/>
  </r>
  <r>
    <n v="57689"/>
    <x v="17"/>
    <n v="20000"/>
    <x v="4"/>
    <x v="4"/>
    <x v="3"/>
    <x v="5"/>
    <x v="4"/>
    <x v="1"/>
    <n v="39"/>
    <x v="14"/>
    <x v="0"/>
  </r>
  <r>
    <n v="57673"/>
    <x v="17"/>
    <n v="3333"/>
    <x v="7"/>
    <x v="7"/>
    <x v="1"/>
    <x v="5"/>
    <x v="4"/>
    <x v="1"/>
    <n v="39"/>
    <x v="15"/>
    <x v="0"/>
  </r>
  <r>
    <n v="57702"/>
    <x v="18"/>
    <n v="0"/>
    <x v="12"/>
    <x v="12"/>
    <x v="1"/>
    <x v="5"/>
    <x v="4"/>
    <x v="1"/>
    <n v="40"/>
    <x v="16"/>
    <x v="0"/>
  </r>
  <r>
    <n v="57703"/>
    <x v="18"/>
    <n v="0"/>
    <x v="11"/>
    <x v="11"/>
    <x v="1"/>
    <x v="5"/>
    <x v="4"/>
    <x v="1"/>
    <n v="40"/>
    <x v="13"/>
    <x v="0"/>
  </r>
  <r>
    <n v="57704"/>
    <x v="18"/>
    <n v="0"/>
    <x v="5"/>
    <x v="5"/>
    <x v="1"/>
    <x v="5"/>
    <x v="4"/>
    <x v="1"/>
    <n v="40"/>
    <x v="5"/>
    <x v="0"/>
  </r>
  <r>
    <n v="57705"/>
    <x v="18"/>
    <n v="0"/>
    <x v="6"/>
    <x v="6"/>
    <x v="1"/>
    <x v="5"/>
    <x v="4"/>
    <x v="1"/>
    <n v="40"/>
    <x v="6"/>
    <x v="0"/>
  </r>
  <r>
    <n v="57706"/>
    <x v="18"/>
    <n v="20000"/>
    <x v="3"/>
    <x v="3"/>
    <x v="3"/>
    <x v="5"/>
    <x v="4"/>
    <x v="1"/>
    <n v="40"/>
    <x v="17"/>
    <x v="0"/>
  </r>
  <r>
    <n v="57707"/>
    <x v="18"/>
    <n v="20000"/>
    <x v="4"/>
    <x v="4"/>
    <x v="3"/>
    <x v="5"/>
    <x v="4"/>
    <x v="1"/>
    <n v="40"/>
    <x v="14"/>
    <x v="0"/>
  </r>
  <r>
    <n v="57708"/>
    <x v="19"/>
    <n v="0"/>
    <x v="7"/>
    <x v="7"/>
    <x v="0"/>
    <x v="5"/>
    <x v="4"/>
    <x v="1"/>
    <n v="41"/>
    <x v="7"/>
    <x v="0"/>
  </r>
  <r>
    <n v="57709"/>
    <x v="19"/>
    <n v="0"/>
    <x v="7"/>
    <x v="7"/>
    <x v="1"/>
    <x v="5"/>
    <x v="4"/>
    <x v="1"/>
    <n v="41"/>
    <x v="15"/>
    <x v="0"/>
  </r>
  <r>
    <n v="57710"/>
    <x v="19"/>
    <n v="0"/>
    <x v="0"/>
    <x v="0"/>
    <x v="0"/>
    <x v="5"/>
    <x v="4"/>
    <x v="1"/>
    <n v="41"/>
    <x v="0"/>
    <x v="0"/>
  </r>
  <r>
    <n v="57711"/>
    <x v="19"/>
    <n v="0"/>
    <x v="0"/>
    <x v="0"/>
    <x v="1"/>
    <x v="5"/>
    <x v="4"/>
    <x v="1"/>
    <n v="41"/>
    <x v="12"/>
    <x v="0"/>
  </r>
  <r>
    <n v="57712"/>
    <x v="19"/>
    <n v="0"/>
    <x v="1"/>
    <x v="1"/>
    <x v="1"/>
    <x v="5"/>
    <x v="4"/>
    <x v="1"/>
    <n v="41"/>
    <x v="1"/>
    <x v="0"/>
  </r>
  <r>
    <n v="57713"/>
    <x v="19"/>
    <n v="0"/>
    <x v="2"/>
    <x v="2"/>
    <x v="1"/>
    <x v="5"/>
    <x v="4"/>
    <x v="1"/>
    <n v="41"/>
    <x v="2"/>
    <x v="0"/>
  </r>
  <r>
    <n v="57714"/>
    <x v="19"/>
    <n v="0"/>
    <x v="8"/>
    <x v="8"/>
    <x v="0"/>
    <x v="5"/>
    <x v="4"/>
    <x v="1"/>
    <n v="41"/>
    <x v="8"/>
    <x v="0"/>
  </r>
  <r>
    <n v="57715"/>
    <x v="19"/>
    <n v="0"/>
    <x v="8"/>
    <x v="8"/>
    <x v="1"/>
    <x v="5"/>
    <x v="4"/>
    <x v="1"/>
    <n v="41"/>
    <x v="9"/>
    <x v="0"/>
  </r>
  <r>
    <n v="57716"/>
    <x v="19"/>
    <n v="20000"/>
    <x v="3"/>
    <x v="3"/>
    <x v="2"/>
    <x v="5"/>
    <x v="4"/>
    <x v="1"/>
    <n v="41"/>
    <x v="3"/>
    <x v="0"/>
  </r>
  <r>
    <n v="57717"/>
    <x v="19"/>
    <n v="20000"/>
    <x v="4"/>
    <x v="4"/>
    <x v="2"/>
    <x v="5"/>
    <x v="4"/>
    <x v="1"/>
    <n v="41"/>
    <x v="4"/>
    <x v="0"/>
  </r>
  <r>
    <n v="57718"/>
    <x v="19"/>
    <n v="0"/>
    <x v="9"/>
    <x v="9"/>
    <x v="0"/>
    <x v="5"/>
    <x v="4"/>
    <x v="1"/>
    <n v="41"/>
    <x v="10"/>
    <x v="0"/>
  </r>
  <r>
    <n v="57719"/>
    <x v="19"/>
    <n v="0"/>
    <x v="10"/>
    <x v="10"/>
    <x v="0"/>
    <x v="5"/>
    <x v="4"/>
    <x v="1"/>
    <n v="41"/>
    <x v="11"/>
    <x v="0"/>
  </r>
  <r>
    <n v="57720"/>
    <x v="19"/>
    <n v="0"/>
    <x v="12"/>
    <x v="12"/>
    <x v="1"/>
    <x v="5"/>
    <x v="4"/>
    <x v="1"/>
    <n v="41"/>
    <x v="16"/>
    <x v="0"/>
  </r>
  <r>
    <n v="57721"/>
    <x v="19"/>
    <n v="0"/>
    <x v="11"/>
    <x v="11"/>
    <x v="1"/>
    <x v="5"/>
    <x v="4"/>
    <x v="1"/>
    <n v="41"/>
    <x v="13"/>
    <x v="0"/>
  </r>
  <r>
    <n v="57722"/>
    <x v="19"/>
    <n v="0"/>
    <x v="5"/>
    <x v="5"/>
    <x v="1"/>
    <x v="5"/>
    <x v="4"/>
    <x v="1"/>
    <n v="41"/>
    <x v="5"/>
    <x v="0"/>
  </r>
  <r>
    <n v="57723"/>
    <x v="19"/>
    <n v="0"/>
    <x v="6"/>
    <x v="6"/>
    <x v="1"/>
    <x v="5"/>
    <x v="4"/>
    <x v="1"/>
    <n v="41"/>
    <x v="6"/>
    <x v="0"/>
  </r>
  <r>
    <n v="57724"/>
    <x v="19"/>
    <n v="20000"/>
    <x v="3"/>
    <x v="3"/>
    <x v="3"/>
    <x v="5"/>
    <x v="4"/>
    <x v="1"/>
    <n v="41"/>
    <x v="17"/>
    <x v="0"/>
  </r>
  <r>
    <n v="57725"/>
    <x v="19"/>
    <n v="20000"/>
    <x v="4"/>
    <x v="4"/>
    <x v="3"/>
    <x v="5"/>
    <x v="4"/>
    <x v="1"/>
    <n v="41"/>
    <x v="14"/>
    <x v="0"/>
  </r>
  <r>
    <n v="57726"/>
    <x v="20"/>
    <n v="3000"/>
    <x v="7"/>
    <x v="7"/>
    <x v="0"/>
    <x v="5"/>
    <x v="4"/>
    <x v="1"/>
    <n v="42"/>
    <x v="7"/>
    <x v="0"/>
  </r>
  <r>
    <n v="57727"/>
    <x v="20"/>
    <n v="0"/>
    <x v="7"/>
    <x v="7"/>
    <x v="1"/>
    <x v="5"/>
    <x v="4"/>
    <x v="1"/>
    <n v="42"/>
    <x v="15"/>
    <x v="0"/>
  </r>
  <r>
    <n v="57728"/>
    <x v="20"/>
    <n v="0"/>
    <x v="0"/>
    <x v="0"/>
    <x v="0"/>
    <x v="5"/>
    <x v="4"/>
    <x v="1"/>
    <n v="42"/>
    <x v="0"/>
    <x v="0"/>
  </r>
  <r>
    <n v="57729"/>
    <x v="20"/>
    <n v="0"/>
    <x v="0"/>
    <x v="0"/>
    <x v="1"/>
    <x v="5"/>
    <x v="4"/>
    <x v="1"/>
    <n v="42"/>
    <x v="12"/>
    <x v="0"/>
  </r>
  <r>
    <n v="57730"/>
    <x v="20"/>
    <n v="0"/>
    <x v="1"/>
    <x v="1"/>
    <x v="1"/>
    <x v="5"/>
    <x v="4"/>
    <x v="1"/>
    <n v="42"/>
    <x v="1"/>
    <x v="0"/>
  </r>
  <r>
    <n v="57731"/>
    <x v="20"/>
    <n v="0"/>
    <x v="2"/>
    <x v="2"/>
    <x v="1"/>
    <x v="5"/>
    <x v="4"/>
    <x v="1"/>
    <n v="42"/>
    <x v="2"/>
    <x v="0"/>
  </r>
  <r>
    <n v="57732"/>
    <x v="20"/>
    <n v="0"/>
    <x v="8"/>
    <x v="8"/>
    <x v="0"/>
    <x v="5"/>
    <x v="4"/>
    <x v="1"/>
    <n v="42"/>
    <x v="8"/>
    <x v="0"/>
  </r>
  <r>
    <n v="57733"/>
    <x v="20"/>
    <n v="0"/>
    <x v="8"/>
    <x v="8"/>
    <x v="1"/>
    <x v="5"/>
    <x v="4"/>
    <x v="1"/>
    <n v="42"/>
    <x v="9"/>
    <x v="0"/>
  </r>
  <r>
    <n v="57734"/>
    <x v="20"/>
    <n v="20000"/>
    <x v="3"/>
    <x v="3"/>
    <x v="2"/>
    <x v="5"/>
    <x v="4"/>
    <x v="1"/>
    <n v="42"/>
    <x v="3"/>
    <x v="0"/>
  </r>
  <r>
    <n v="57735"/>
    <x v="20"/>
    <n v="20000"/>
    <x v="4"/>
    <x v="4"/>
    <x v="2"/>
    <x v="5"/>
    <x v="4"/>
    <x v="1"/>
    <n v="42"/>
    <x v="4"/>
    <x v="0"/>
  </r>
  <r>
    <n v="57736"/>
    <x v="20"/>
    <n v="0"/>
    <x v="9"/>
    <x v="9"/>
    <x v="0"/>
    <x v="5"/>
    <x v="4"/>
    <x v="1"/>
    <n v="42"/>
    <x v="10"/>
    <x v="0"/>
  </r>
  <r>
    <n v="57737"/>
    <x v="20"/>
    <n v="0"/>
    <x v="10"/>
    <x v="10"/>
    <x v="0"/>
    <x v="5"/>
    <x v="4"/>
    <x v="1"/>
    <n v="42"/>
    <x v="11"/>
    <x v="0"/>
  </r>
  <r>
    <n v="57738"/>
    <x v="20"/>
    <n v="0"/>
    <x v="12"/>
    <x v="12"/>
    <x v="1"/>
    <x v="5"/>
    <x v="4"/>
    <x v="1"/>
    <n v="42"/>
    <x v="16"/>
    <x v="0"/>
  </r>
  <r>
    <n v="57739"/>
    <x v="20"/>
    <n v="0"/>
    <x v="11"/>
    <x v="11"/>
    <x v="1"/>
    <x v="5"/>
    <x v="4"/>
    <x v="1"/>
    <n v="42"/>
    <x v="13"/>
    <x v="0"/>
  </r>
  <r>
    <n v="57740"/>
    <x v="20"/>
    <n v="0"/>
    <x v="5"/>
    <x v="5"/>
    <x v="1"/>
    <x v="5"/>
    <x v="4"/>
    <x v="1"/>
    <n v="42"/>
    <x v="5"/>
    <x v="0"/>
  </r>
  <r>
    <n v="57741"/>
    <x v="20"/>
    <n v="0"/>
    <x v="6"/>
    <x v="6"/>
    <x v="1"/>
    <x v="5"/>
    <x v="4"/>
    <x v="1"/>
    <n v="42"/>
    <x v="6"/>
    <x v="0"/>
  </r>
  <r>
    <n v="57742"/>
    <x v="20"/>
    <n v="23000"/>
    <x v="3"/>
    <x v="3"/>
    <x v="3"/>
    <x v="5"/>
    <x v="4"/>
    <x v="1"/>
    <n v="42"/>
    <x v="17"/>
    <x v="0"/>
  </r>
  <r>
    <n v="57743"/>
    <x v="20"/>
    <n v="20000"/>
    <x v="4"/>
    <x v="4"/>
    <x v="3"/>
    <x v="5"/>
    <x v="4"/>
    <x v="1"/>
    <n v="42"/>
    <x v="14"/>
    <x v="0"/>
  </r>
  <r>
    <n v="57744"/>
    <x v="21"/>
    <n v="0"/>
    <x v="7"/>
    <x v="7"/>
    <x v="0"/>
    <x v="6"/>
    <x v="4"/>
    <x v="1"/>
    <n v="43"/>
    <x v="7"/>
    <x v="0"/>
  </r>
  <r>
    <n v="57745"/>
    <x v="21"/>
    <n v="0"/>
    <x v="7"/>
    <x v="7"/>
    <x v="1"/>
    <x v="6"/>
    <x v="4"/>
    <x v="1"/>
    <n v="43"/>
    <x v="15"/>
    <x v="0"/>
  </r>
  <r>
    <n v="57746"/>
    <x v="21"/>
    <n v="0"/>
    <x v="0"/>
    <x v="0"/>
    <x v="0"/>
    <x v="6"/>
    <x v="4"/>
    <x v="1"/>
    <n v="43"/>
    <x v="0"/>
    <x v="0"/>
  </r>
  <r>
    <n v="57747"/>
    <x v="21"/>
    <n v="0"/>
    <x v="0"/>
    <x v="0"/>
    <x v="1"/>
    <x v="6"/>
    <x v="4"/>
    <x v="1"/>
    <n v="43"/>
    <x v="12"/>
    <x v="0"/>
  </r>
  <r>
    <n v="57748"/>
    <x v="21"/>
    <n v="0"/>
    <x v="1"/>
    <x v="1"/>
    <x v="1"/>
    <x v="6"/>
    <x v="4"/>
    <x v="1"/>
    <n v="43"/>
    <x v="1"/>
    <x v="0"/>
  </r>
  <r>
    <n v="57749"/>
    <x v="21"/>
    <n v="0"/>
    <x v="2"/>
    <x v="2"/>
    <x v="1"/>
    <x v="6"/>
    <x v="4"/>
    <x v="1"/>
    <n v="43"/>
    <x v="2"/>
    <x v="0"/>
  </r>
  <r>
    <n v="57750"/>
    <x v="21"/>
    <n v="0"/>
    <x v="8"/>
    <x v="8"/>
    <x v="0"/>
    <x v="6"/>
    <x v="4"/>
    <x v="1"/>
    <n v="43"/>
    <x v="8"/>
    <x v="0"/>
  </r>
  <r>
    <n v="57751"/>
    <x v="21"/>
    <n v="0"/>
    <x v="8"/>
    <x v="8"/>
    <x v="1"/>
    <x v="6"/>
    <x v="4"/>
    <x v="1"/>
    <n v="43"/>
    <x v="9"/>
    <x v="0"/>
  </r>
  <r>
    <n v="57752"/>
    <x v="21"/>
    <n v="20000"/>
    <x v="3"/>
    <x v="3"/>
    <x v="2"/>
    <x v="6"/>
    <x v="4"/>
    <x v="1"/>
    <n v="43"/>
    <x v="3"/>
    <x v="0"/>
  </r>
  <r>
    <n v="57753"/>
    <x v="21"/>
    <n v="20000"/>
    <x v="4"/>
    <x v="4"/>
    <x v="2"/>
    <x v="6"/>
    <x v="4"/>
    <x v="1"/>
    <n v="43"/>
    <x v="4"/>
    <x v="0"/>
  </r>
  <r>
    <n v="57754"/>
    <x v="21"/>
    <n v="0"/>
    <x v="9"/>
    <x v="9"/>
    <x v="0"/>
    <x v="6"/>
    <x v="4"/>
    <x v="1"/>
    <n v="43"/>
    <x v="10"/>
    <x v="0"/>
  </r>
  <r>
    <n v="57755"/>
    <x v="21"/>
    <n v="0"/>
    <x v="10"/>
    <x v="10"/>
    <x v="0"/>
    <x v="6"/>
    <x v="4"/>
    <x v="1"/>
    <n v="43"/>
    <x v="11"/>
    <x v="0"/>
  </r>
  <r>
    <n v="57756"/>
    <x v="21"/>
    <n v="0"/>
    <x v="12"/>
    <x v="12"/>
    <x v="1"/>
    <x v="6"/>
    <x v="4"/>
    <x v="1"/>
    <n v="43"/>
    <x v="16"/>
    <x v="0"/>
  </r>
  <r>
    <n v="57757"/>
    <x v="21"/>
    <n v="0"/>
    <x v="11"/>
    <x v="11"/>
    <x v="1"/>
    <x v="6"/>
    <x v="4"/>
    <x v="1"/>
    <n v="43"/>
    <x v="13"/>
    <x v="0"/>
  </r>
  <r>
    <n v="57758"/>
    <x v="21"/>
    <n v="0"/>
    <x v="5"/>
    <x v="5"/>
    <x v="1"/>
    <x v="6"/>
    <x v="4"/>
    <x v="1"/>
    <n v="43"/>
    <x v="5"/>
    <x v="0"/>
  </r>
  <r>
    <n v="57759"/>
    <x v="21"/>
    <n v="0"/>
    <x v="6"/>
    <x v="6"/>
    <x v="1"/>
    <x v="6"/>
    <x v="4"/>
    <x v="1"/>
    <n v="43"/>
    <x v="6"/>
    <x v="0"/>
  </r>
  <r>
    <n v="57760"/>
    <x v="21"/>
    <n v="20000"/>
    <x v="3"/>
    <x v="3"/>
    <x v="3"/>
    <x v="6"/>
    <x v="4"/>
    <x v="1"/>
    <n v="43"/>
    <x v="17"/>
    <x v="0"/>
  </r>
  <r>
    <n v="57761"/>
    <x v="21"/>
    <n v="20000"/>
    <x v="4"/>
    <x v="4"/>
    <x v="3"/>
    <x v="6"/>
    <x v="4"/>
    <x v="1"/>
    <n v="43"/>
    <x v="14"/>
    <x v="0"/>
  </r>
  <r>
    <n v="57762"/>
    <x v="22"/>
    <n v="600"/>
    <x v="7"/>
    <x v="7"/>
    <x v="0"/>
    <x v="6"/>
    <x v="4"/>
    <x v="1"/>
    <n v="44"/>
    <x v="7"/>
    <x v="0"/>
  </r>
  <r>
    <n v="57763"/>
    <x v="22"/>
    <n v="0"/>
    <x v="7"/>
    <x v="7"/>
    <x v="1"/>
    <x v="6"/>
    <x v="4"/>
    <x v="1"/>
    <n v="44"/>
    <x v="15"/>
    <x v="0"/>
  </r>
  <r>
    <n v="57764"/>
    <x v="22"/>
    <n v="0"/>
    <x v="0"/>
    <x v="0"/>
    <x v="0"/>
    <x v="6"/>
    <x v="4"/>
    <x v="1"/>
    <n v="44"/>
    <x v="0"/>
    <x v="0"/>
  </r>
  <r>
    <n v="57766"/>
    <x v="22"/>
    <n v="0"/>
    <x v="1"/>
    <x v="1"/>
    <x v="1"/>
    <x v="6"/>
    <x v="4"/>
    <x v="1"/>
    <n v="44"/>
    <x v="1"/>
    <x v="0"/>
  </r>
  <r>
    <n v="57767"/>
    <x v="22"/>
    <n v="0"/>
    <x v="2"/>
    <x v="2"/>
    <x v="1"/>
    <x v="6"/>
    <x v="4"/>
    <x v="1"/>
    <n v="44"/>
    <x v="2"/>
    <x v="0"/>
  </r>
  <r>
    <n v="57768"/>
    <x v="22"/>
    <n v="0"/>
    <x v="8"/>
    <x v="8"/>
    <x v="0"/>
    <x v="6"/>
    <x v="4"/>
    <x v="1"/>
    <n v="44"/>
    <x v="8"/>
    <x v="0"/>
  </r>
  <r>
    <n v="57769"/>
    <x v="22"/>
    <n v="0"/>
    <x v="8"/>
    <x v="8"/>
    <x v="1"/>
    <x v="6"/>
    <x v="4"/>
    <x v="1"/>
    <n v="44"/>
    <x v="9"/>
    <x v="0"/>
  </r>
  <r>
    <n v="57770"/>
    <x v="22"/>
    <n v="20000"/>
    <x v="3"/>
    <x v="3"/>
    <x v="2"/>
    <x v="6"/>
    <x v="4"/>
    <x v="1"/>
    <n v="44"/>
    <x v="3"/>
    <x v="0"/>
  </r>
  <r>
    <n v="57771"/>
    <x v="22"/>
    <n v="20000"/>
    <x v="4"/>
    <x v="4"/>
    <x v="2"/>
    <x v="6"/>
    <x v="4"/>
    <x v="1"/>
    <n v="44"/>
    <x v="4"/>
    <x v="0"/>
  </r>
  <r>
    <n v="57772"/>
    <x v="22"/>
    <n v="0"/>
    <x v="9"/>
    <x v="9"/>
    <x v="0"/>
    <x v="6"/>
    <x v="4"/>
    <x v="1"/>
    <n v="44"/>
    <x v="10"/>
    <x v="0"/>
  </r>
  <r>
    <n v="57773"/>
    <x v="22"/>
    <n v="0"/>
    <x v="10"/>
    <x v="10"/>
    <x v="0"/>
    <x v="6"/>
    <x v="4"/>
    <x v="1"/>
    <n v="44"/>
    <x v="11"/>
    <x v="0"/>
  </r>
  <r>
    <n v="57774"/>
    <x v="22"/>
    <n v="0"/>
    <x v="12"/>
    <x v="12"/>
    <x v="1"/>
    <x v="6"/>
    <x v="4"/>
    <x v="1"/>
    <n v="44"/>
    <x v="16"/>
    <x v="0"/>
  </r>
  <r>
    <n v="57776"/>
    <x v="22"/>
    <n v="0"/>
    <x v="5"/>
    <x v="5"/>
    <x v="1"/>
    <x v="6"/>
    <x v="4"/>
    <x v="1"/>
    <n v="44"/>
    <x v="5"/>
    <x v="0"/>
  </r>
  <r>
    <n v="57777"/>
    <x v="22"/>
    <n v="0"/>
    <x v="6"/>
    <x v="6"/>
    <x v="1"/>
    <x v="6"/>
    <x v="4"/>
    <x v="1"/>
    <n v="44"/>
    <x v="6"/>
    <x v="0"/>
  </r>
  <r>
    <n v="57780"/>
    <x v="23"/>
    <n v="0"/>
    <x v="7"/>
    <x v="7"/>
    <x v="0"/>
    <x v="7"/>
    <x v="4"/>
    <x v="1"/>
    <n v="45"/>
    <x v="7"/>
    <x v="0"/>
  </r>
  <r>
    <n v="57781"/>
    <x v="23"/>
    <n v="0"/>
    <x v="7"/>
    <x v="7"/>
    <x v="1"/>
    <x v="7"/>
    <x v="4"/>
    <x v="1"/>
    <n v="45"/>
    <x v="15"/>
    <x v="0"/>
  </r>
  <r>
    <n v="57782"/>
    <x v="23"/>
    <n v="0"/>
    <x v="0"/>
    <x v="0"/>
    <x v="0"/>
    <x v="7"/>
    <x v="4"/>
    <x v="1"/>
    <n v="45"/>
    <x v="0"/>
    <x v="0"/>
  </r>
  <r>
    <n v="57783"/>
    <x v="23"/>
    <n v="0"/>
    <x v="0"/>
    <x v="0"/>
    <x v="1"/>
    <x v="7"/>
    <x v="4"/>
    <x v="1"/>
    <n v="45"/>
    <x v="12"/>
    <x v="0"/>
  </r>
  <r>
    <n v="57784"/>
    <x v="23"/>
    <n v="0"/>
    <x v="1"/>
    <x v="1"/>
    <x v="1"/>
    <x v="7"/>
    <x v="4"/>
    <x v="1"/>
    <n v="45"/>
    <x v="1"/>
    <x v="0"/>
  </r>
  <r>
    <n v="57785"/>
    <x v="23"/>
    <n v="0"/>
    <x v="2"/>
    <x v="2"/>
    <x v="1"/>
    <x v="7"/>
    <x v="4"/>
    <x v="1"/>
    <n v="45"/>
    <x v="2"/>
    <x v="0"/>
  </r>
  <r>
    <n v="57786"/>
    <x v="23"/>
    <n v="0"/>
    <x v="8"/>
    <x v="8"/>
    <x v="0"/>
    <x v="7"/>
    <x v="4"/>
    <x v="1"/>
    <n v="45"/>
    <x v="8"/>
    <x v="0"/>
  </r>
  <r>
    <n v="57787"/>
    <x v="23"/>
    <n v="0"/>
    <x v="8"/>
    <x v="8"/>
    <x v="1"/>
    <x v="7"/>
    <x v="4"/>
    <x v="1"/>
    <n v="45"/>
    <x v="9"/>
    <x v="0"/>
  </r>
  <r>
    <n v="57788"/>
    <x v="23"/>
    <n v="20000"/>
    <x v="3"/>
    <x v="3"/>
    <x v="2"/>
    <x v="7"/>
    <x v="4"/>
    <x v="1"/>
    <n v="45"/>
    <x v="3"/>
    <x v="0"/>
  </r>
  <r>
    <n v="57789"/>
    <x v="23"/>
    <n v="20000"/>
    <x v="4"/>
    <x v="4"/>
    <x v="2"/>
    <x v="7"/>
    <x v="4"/>
    <x v="1"/>
    <n v="45"/>
    <x v="4"/>
    <x v="0"/>
  </r>
  <r>
    <n v="57790"/>
    <x v="23"/>
    <n v="0"/>
    <x v="9"/>
    <x v="9"/>
    <x v="0"/>
    <x v="7"/>
    <x v="4"/>
    <x v="1"/>
    <n v="45"/>
    <x v="10"/>
    <x v="0"/>
  </r>
  <r>
    <n v="57791"/>
    <x v="23"/>
    <n v="0"/>
    <x v="10"/>
    <x v="10"/>
    <x v="0"/>
    <x v="7"/>
    <x v="4"/>
    <x v="1"/>
    <n v="45"/>
    <x v="11"/>
    <x v="0"/>
  </r>
  <r>
    <n v="57792"/>
    <x v="23"/>
    <n v="0"/>
    <x v="12"/>
    <x v="12"/>
    <x v="1"/>
    <x v="7"/>
    <x v="4"/>
    <x v="1"/>
    <n v="45"/>
    <x v="16"/>
    <x v="0"/>
  </r>
  <r>
    <n v="57793"/>
    <x v="23"/>
    <n v="0"/>
    <x v="11"/>
    <x v="11"/>
    <x v="1"/>
    <x v="7"/>
    <x v="4"/>
    <x v="1"/>
    <n v="45"/>
    <x v="13"/>
    <x v="0"/>
  </r>
  <r>
    <n v="57794"/>
    <x v="23"/>
    <n v="0"/>
    <x v="5"/>
    <x v="5"/>
    <x v="1"/>
    <x v="7"/>
    <x v="4"/>
    <x v="1"/>
    <n v="45"/>
    <x v="5"/>
    <x v="0"/>
  </r>
  <r>
    <n v="57795"/>
    <x v="23"/>
    <n v="0"/>
    <x v="6"/>
    <x v="6"/>
    <x v="1"/>
    <x v="7"/>
    <x v="4"/>
    <x v="1"/>
    <n v="45"/>
    <x v="6"/>
    <x v="0"/>
  </r>
  <r>
    <n v="57796"/>
    <x v="23"/>
    <n v="20000"/>
    <x v="3"/>
    <x v="3"/>
    <x v="3"/>
    <x v="7"/>
    <x v="4"/>
    <x v="1"/>
    <n v="45"/>
    <x v="17"/>
    <x v="0"/>
  </r>
  <r>
    <n v="57797"/>
    <x v="23"/>
    <n v="20000"/>
    <x v="4"/>
    <x v="4"/>
    <x v="3"/>
    <x v="7"/>
    <x v="4"/>
    <x v="1"/>
    <n v="45"/>
    <x v="14"/>
    <x v="0"/>
  </r>
  <r>
    <n v="57798"/>
    <x v="24"/>
    <n v="0"/>
    <x v="7"/>
    <x v="7"/>
    <x v="0"/>
    <x v="7"/>
    <x v="4"/>
    <x v="1"/>
    <n v="46"/>
    <x v="7"/>
    <x v="0"/>
  </r>
  <r>
    <n v="57799"/>
    <x v="24"/>
    <n v="0"/>
    <x v="7"/>
    <x v="7"/>
    <x v="1"/>
    <x v="7"/>
    <x v="4"/>
    <x v="1"/>
    <n v="46"/>
    <x v="15"/>
    <x v="0"/>
  </r>
  <r>
    <n v="57800"/>
    <x v="24"/>
    <n v="0"/>
    <x v="0"/>
    <x v="0"/>
    <x v="0"/>
    <x v="7"/>
    <x v="4"/>
    <x v="1"/>
    <n v="46"/>
    <x v="0"/>
    <x v="0"/>
  </r>
  <r>
    <n v="57801"/>
    <x v="24"/>
    <n v="0"/>
    <x v="0"/>
    <x v="0"/>
    <x v="1"/>
    <x v="7"/>
    <x v="4"/>
    <x v="1"/>
    <n v="46"/>
    <x v="12"/>
    <x v="0"/>
  </r>
  <r>
    <n v="57802"/>
    <x v="24"/>
    <n v="0"/>
    <x v="1"/>
    <x v="1"/>
    <x v="1"/>
    <x v="7"/>
    <x v="4"/>
    <x v="1"/>
    <n v="46"/>
    <x v="1"/>
    <x v="0"/>
  </r>
  <r>
    <n v="57803"/>
    <x v="24"/>
    <n v="0"/>
    <x v="2"/>
    <x v="2"/>
    <x v="1"/>
    <x v="7"/>
    <x v="4"/>
    <x v="1"/>
    <n v="46"/>
    <x v="2"/>
    <x v="0"/>
  </r>
  <r>
    <n v="57804"/>
    <x v="24"/>
    <n v="0"/>
    <x v="8"/>
    <x v="8"/>
    <x v="0"/>
    <x v="7"/>
    <x v="4"/>
    <x v="1"/>
    <n v="46"/>
    <x v="8"/>
    <x v="0"/>
  </r>
  <r>
    <n v="57805"/>
    <x v="24"/>
    <n v="0"/>
    <x v="8"/>
    <x v="8"/>
    <x v="1"/>
    <x v="7"/>
    <x v="4"/>
    <x v="1"/>
    <n v="46"/>
    <x v="9"/>
    <x v="0"/>
  </r>
  <r>
    <n v="57806"/>
    <x v="24"/>
    <n v="20000"/>
    <x v="3"/>
    <x v="3"/>
    <x v="2"/>
    <x v="7"/>
    <x v="4"/>
    <x v="1"/>
    <n v="46"/>
    <x v="3"/>
    <x v="0"/>
  </r>
  <r>
    <n v="57807"/>
    <x v="24"/>
    <n v="20000"/>
    <x v="4"/>
    <x v="4"/>
    <x v="2"/>
    <x v="7"/>
    <x v="4"/>
    <x v="1"/>
    <n v="46"/>
    <x v="4"/>
    <x v="0"/>
  </r>
  <r>
    <n v="57808"/>
    <x v="24"/>
    <n v="0"/>
    <x v="9"/>
    <x v="9"/>
    <x v="0"/>
    <x v="7"/>
    <x v="4"/>
    <x v="1"/>
    <n v="46"/>
    <x v="10"/>
    <x v="0"/>
  </r>
  <r>
    <n v="57765"/>
    <x v="22"/>
    <n v="200"/>
    <x v="0"/>
    <x v="0"/>
    <x v="1"/>
    <x v="6"/>
    <x v="4"/>
    <x v="1"/>
    <n v="44"/>
    <x v="12"/>
    <x v="0"/>
  </r>
  <r>
    <n v="57775"/>
    <x v="22"/>
    <n v="500"/>
    <x v="11"/>
    <x v="11"/>
    <x v="1"/>
    <x v="6"/>
    <x v="4"/>
    <x v="1"/>
    <n v="44"/>
    <x v="13"/>
    <x v="0"/>
  </r>
  <r>
    <n v="57779"/>
    <x v="22"/>
    <n v="20000"/>
    <x v="4"/>
    <x v="4"/>
    <x v="3"/>
    <x v="6"/>
    <x v="4"/>
    <x v="1"/>
    <n v="44"/>
    <x v="14"/>
    <x v="0"/>
  </r>
  <r>
    <n v="57809"/>
    <x v="24"/>
    <n v="0"/>
    <x v="10"/>
    <x v="10"/>
    <x v="0"/>
    <x v="7"/>
    <x v="4"/>
    <x v="1"/>
    <n v="46"/>
    <x v="11"/>
    <x v="0"/>
  </r>
  <r>
    <n v="57810"/>
    <x v="24"/>
    <n v="0"/>
    <x v="12"/>
    <x v="12"/>
    <x v="1"/>
    <x v="7"/>
    <x v="4"/>
    <x v="1"/>
    <n v="46"/>
    <x v="16"/>
    <x v="0"/>
  </r>
  <r>
    <n v="57811"/>
    <x v="24"/>
    <n v="0"/>
    <x v="11"/>
    <x v="11"/>
    <x v="1"/>
    <x v="7"/>
    <x v="4"/>
    <x v="1"/>
    <n v="46"/>
    <x v="13"/>
    <x v="0"/>
  </r>
  <r>
    <n v="57812"/>
    <x v="24"/>
    <n v="0"/>
    <x v="5"/>
    <x v="5"/>
    <x v="1"/>
    <x v="7"/>
    <x v="4"/>
    <x v="1"/>
    <n v="46"/>
    <x v="5"/>
    <x v="0"/>
  </r>
  <r>
    <n v="57813"/>
    <x v="24"/>
    <n v="0"/>
    <x v="6"/>
    <x v="6"/>
    <x v="1"/>
    <x v="7"/>
    <x v="4"/>
    <x v="1"/>
    <n v="46"/>
    <x v="6"/>
    <x v="0"/>
  </r>
  <r>
    <n v="57814"/>
    <x v="24"/>
    <n v="20000"/>
    <x v="3"/>
    <x v="3"/>
    <x v="3"/>
    <x v="7"/>
    <x v="4"/>
    <x v="1"/>
    <n v="46"/>
    <x v="17"/>
    <x v="0"/>
  </r>
  <r>
    <n v="57815"/>
    <x v="24"/>
    <n v="20000"/>
    <x v="4"/>
    <x v="4"/>
    <x v="3"/>
    <x v="7"/>
    <x v="4"/>
    <x v="1"/>
    <n v="46"/>
    <x v="14"/>
    <x v="0"/>
  </r>
  <r>
    <n v="57816"/>
    <x v="25"/>
    <n v="0"/>
    <x v="7"/>
    <x v="7"/>
    <x v="0"/>
    <x v="7"/>
    <x v="4"/>
    <x v="1"/>
    <n v="47"/>
    <x v="7"/>
    <x v="0"/>
  </r>
  <r>
    <n v="57817"/>
    <x v="25"/>
    <n v="0"/>
    <x v="7"/>
    <x v="7"/>
    <x v="1"/>
    <x v="7"/>
    <x v="4"/>
    <x v="1"/>
    <n v="47"/>
    <x v="15"/>
    <x v="0"/>
  </r>
  <r>
    <n v="57818"/>
    <x v="25"/>
    <n v="0"/>
    <x v="0"/>
    <x v="0"/>
    <x v="0"/>
    <x v="7"/>
    <x v="4"/>
    <x v="1"/>
    <n v="47"/>
    <x v="0"/>
    <x v="0"/>
  </r>
  <r>
    <n v="57819"/>
    <x v="25"/>
    <n v="0"/>
    <x v="0"/>
    <x v="0"/>
    <x v="1"/>
    <x v="7"/>
    <x v="4"/>
    <x v="1"/>
    <n v="47"/>
    <x v="12"/>
    <x v="0"/>
  </r>
  <r>
    <n v="57820"/>
    <x v="25"/>
    <n v="0"/>
    <x v="1"/>
    <x v="1"/>
    <x v="1"/>
    <x v="7"/>
    <x v="4"/>
    <x v="1"/>
    <n v="47"/>
    <x v="1"/>
    <x v="0"/>
  </r>
  <r>
    <n v="57821"/>
    <x v="25"/>
    <n v="0"/>
    <x v="2"/>
    <x v="2"/>
    <x v="1"/>
    <x v="7"/>
    <x v="4"/>
    <x v="1"/>
    <n v="47"/>
    <x v="2"/>
    <x v="0"/>
  </r>
  <r>
    <n v="57822"/>
    <x v="25"/>
    <n v="0"/>
    <x v="8"/>
    <x v="8"/>
    <x v="0"/>
    <x v="7"/>
    <x v="4"/>
    <x v="1"/>
    <n v="47"/>
    <x v="8"/>
    <x v="0"/>
  </r>
  <r>
    <n v="57823"/>
    <x v="25"/>
    <n v="0"/>
    <x v="8"/>
    <x v="8"/>
    <x v="1"/>
    <x v="7"/>
    <x v="4"/>
    <x v="1"/>
    <n v="47"/>
    <x v="9"/>
    <x v="0"/>
  </r>
  <r>
    <n v="57824"/>
    <x v="25"/>
    <n v="20000"/>
    <x v="3"/>
    <x v="3"/>
    <x v="2"/>
    <x v="7"/>
    <x v="4"/>
    <x v="1"/>
    <n v="47"/>
    <x v="3"/>
    <x v="0"/>
  </r>
  <r>
    <n v="57825"/>
    <x v="25"/>
    <n v="20000"/>
    <x v="4"/>
    <x v="4"/>
    <x v="2"/>
    <x v="7"/>
    <x v="4"/>
    <x v="1"/>
    <n v="47"/>
    <x v="4"/>
    <x v="0"/>
  </r>
  <r>
    <n v="57826"/>
    <x v="25"/>
    <n v="0"/>
    <x v="9"/>
    <x v="9"/>
    <x v="0"/>
    <x v="7"/>
    <x v="4"/>
    <x v="1"/>
    <n v="47"/>
    <x v="10"/>
    <x v="0"/>
  </r>
  <r>
    <n v="57827"/>
    <x v="25"/>
    <n v="0"/>
    <x v="10"/>
    <x v="10"/>
    <x v="0"/>
    <x v="7"/>
    <x v="4"/>
    <x v="1"/>
    <n v="47"/>
    <x v="11"/>
    <x v="0"/>
  </r>
  <r>
    <n v="57828"/>
    <x v="25"/>
    <n v="0"/>
    <x v="12"/>
    <x v="12"/>
    <x v="1"/>
    <x v="7"/>
    <x v="4"/>
    <x v="1"/>
    <n v="47"/>
    <x v="16"/>
    <x v="0"/>
  </r>
  <r>
    <n v="57829"/>
    <x v="25"/>
    <n v="0"/>
    <x v="11"/>
    <x v="11"/>
    <x v="1"/>
    <x v="7"/>
    <x v="4"/>
    <x v="1"/>
    <n v="47"/>
    <x v="13"/>
    <x v="0"/>
  </r>
  <r>
    <n v="57830"/>
    <x v="25"/>
    <n v="0"/>
    <x v="5"/>
    <x v="5"/>
    <x v="1"/>
    <x v="7"/>
    <x v="4"/>
    <x v="1"/>
    <n v="47"/>
    <x v="5"/>
    <x v="0"/>
  </r>
  <r>
    <n v="57831"/>
    <x v="25"/>
    <n v="0"/>
    <x v="6"/>
    <x v="6"/>
    <x v="1"/>
    <x v="7"/>
    <x v="4"/>
    <x v="1"/>
    <n v="47"/>
    <x v="6"/>
    <x v="0"/>
  </r>
  <r>
    <n v="57832"/>
    <x v="25"/>
    <n v="20000"/>
    <x v="3"/>
    <x v="3"/>
    <x v="3"/>
    <x v="7"/>
    <x v="4"/>
    <x v="1"/>
    <n v="47"/>
    <x v="17"/>
    <x v="0"/>
  </r>
  <r>
    <n v="57833"/>
    <x v="25"/>
    <n v="20000"/>
    <x v="4"/>
    <x v="4"/>
    <x v="3"/>
    <x v="7"/>
    <x v="4"/>
    <x v="1"/>
    <n v="47"/>
    <x v="14"/>
    <x v="0"/>
  </r>
  <r>
    <n v="57834"/>
    <x v="26"/>
    <n v="0"/>
    <x v="7"/>
    <x v="7"/>
    <x v="0"/>
    <x v="7"/>
    <x v="4"/>
    <x v="1"/>
    <n v="48"/>
    <x v="7"/>
    <x v="0"/>
  </r>
  <r>
    <n v="57835"/>
    <x v="26"/>
    <n v="0"/>
    <x v="7"/>
    <x v="7"/>
    <x v="1"/>
    <x v="7"/>
    <x v="4"/>
    <x v="1"/>
    <n v="48"/>
    <x v="15"/>
    <x v="0"/>
  </r>
  <r>
    <n v="57836"/>
    <x v="26"/>
    <n v="0"/>
    <x v="0"/>
    <x v="0"/>
    <x v="0"/>
    <x v="7"/>
    <x v="4"/>
    <x v="1"/>
    <n v="48"/>
    <x v="0"/>
    <x v="0"/>
  </r>
  <r>
    <n v="57837"/>
    <x v="26"/>
    <n v="0"/>
    <x v="0"/>
    <x v="0"/>
    <x v="1"/>
    <x v="7"/>
    <x v="4"/>
    <x v="1"/>
    <n v="48"/>
    <x v="12"/>
    <x v="0"/>
  </r>
  <r>
    <n v="57838"/>
    <x v="26"/>
    <n v="0"/>
    <x v="1"/>
    <x v="1"/>
    <x v="1"/>
    <x v="7"/>
    <x v="4"/>
    <x v="1"/>
    <n v="48"/>
    <x v="1"/>
    <x v="0"/>
  </r>
  <r>
    <n v="57839"/>
    <x v="26"/>
    <n v="0"/>
    <x v="2"/>
    <x v="2"/>
    <x v="1"/>
    <x v="7"/>
    <x v="4"/>
    <x v="1"/>
    <n v="48"/>
    <x v="2"/>
    <x v="0"/>
  </r>
  <r>
    <n v="57840"/>
    <x v="26"/>
    <n v="0"/>
    <x v="8"/>
    <x v="8"/>
    <x v="0"/>
    <x v="7"/>
    <x v="4"/>
    <x v="1"/>
    <n v="48"/>
    <x v="8"/>
    <x v="0"/>
  </r>
  <r>
    <n v="57841"/>
    <x v="26"/>
    <n v="0"/>
    <x v="8"/>
    <x v="8"/>
    <x v="1"/>
    <x v="7"/>
    <x v="4"/>
    <x v="1"/>
    <n v="48"/>
    <x v="9"/>
    <x v="0"/>
  </r>
  <r>
    <n v="57842"/>
    <x v="26"/>
    <n v="20000"/>
    <x v="3"/>
    <x v="3"/>
    <x v="2"/>
    <x v="7"/>
    <x v="4"/>
    <x v="1"/>
    <n v="48"/>
    <x v="3"/>
    <x v="0"/>
  </r>
  <r>
    <n v="57843"/>
    <x v="26"/>
    <n v="20000"/>
    <x v="4"/>
    <x v="4"/>
    <x v="2"/>
    <x v="7"/>
    <x v="4"/>
    <x v="1"/>
    <n v="48"/>
    <x v="4"/>
    <x v="0"/>
  </r>
  <r>
    <n v="57844"/>
    <x v="26"/>
    <n v="0"/>
    <x v="9"/>
    <x v="9"/>
    <x v="0"/>
    <x v="7"/>
    <x v="4"/>
    <x v="1"/>
    <n v="48"/>
    <x v="10"/>
    <x v="0"/>
  </r>
  <r>
    <n v="57845"/>
    <x v="26"/>
    <n v="0"/>
    <x v="10"/>
    <x v="10"/>
    <x v="0"/>
    <x v="7"/>
    <x v="4"/>
    <x v="1"/>
    <n v="48"/>
    <x v="11"/>
    <x v="0"/>
  </r>
  <r>
    <n v="57846"/>
    <x v="26"/>
    <n v="0"/>
    <x v="12"/>
    <x v="12"/>
    <x v="1"/>
    <x v="7"/>
    <x v="4"/>
    <x v="1"/>
    <n v="48"/>
    <x v="16"/>
    <x v="0"/>
  </r>
  <r>
    <n v="57847"/>
    <x v="26"/>
    <n v="0"/>
    <x v="11"/>
    <x v="11"/>
    <x v="1"/>
    <x v="7"/>
    <x v="4"/>
    <x v="1"/>
    <n v="48"/>
    <x v="13"/>
    <x v="0"/>
  </r>
  <r>
    <n v="57848"/>
    <x v="26"/>
    <n v="0"/>
    <x v="5"/>
    <x v="5"/>
    <x v="1"/>
    <x v="7"/>
    <x v="4"/>
    <x v="1"/>
    <n v="48"/>
    <x v="5"/>
    <x v="0"/>
  </r>
  <r>
    <n v="57849"/>
    <x v="26"/>
    <n v="0"/>
    <x v="6"/>
    <x v="6"/>
    <x v="1"/>
    <x v="7"/>
    <x v="4"/>
    <x v="1"/>
    <n v="48"/>
    <x v="6"/>
    <x v="0"/>
  </r>
  <r>
    <n v="57850"/>
    <x v="26"/>
    <n v="20000"/>
    <x v="3"/>
    <x v="3"/>
    <x v="3"/>
    <x v="7"/>
    <x v="4"/>
    <x v="1"/>
    <n v="48"/>
    <x v="17"/>
    <x v="0"/>
  </r>
  <r>
    <n v="57851"/>
    <x v="26"/>
    <n v="20000"/>
    <x v="4"/>
    <x v="4"/>
    <x v="3"/>
    <x v="7"/>
    <x v="4"/>
    <x v="1"/>
    <n v="48"/>
    <x v="14"/>
    <x v="0"/>
  </r>
  <r>
    <n v="57852"/>
    <x v="27"/>
    <n v="0"/>
    <x v="7"/>
    <x v="7"/>
    <x v="0"/>
    <x v="7"/>
    <x v="4"/>
    <x v="1"/>
    <n v="49"/>
    <x v="7"/>
    <x v="0"/>
  </r>
  <r>
    <n v="57853"/>
    <x v="27"/>
    <n v="0"/>
    <x v="7"/>
    <x v="7"/>
    <x v="1"/>
    <x v="7"/>
    <x v="4"/>
    <x v="1"/>
    <n v="49"/>
    <x v="15"/>
    <x v="0"/>
  </r>
  <r>
    <n v="57854"/>
    <x v="27"/>
    <n v="0"/>
    <x v="0"/>
    <x v="0"/>
    <x v="0"/>
    <x v="7"/>
    <x v="4"/>
    <x v="1"/>
    <n v="49"/>
    <x v="0"/>
    <x v="0"/>
  </r>
  <r>
    <n v="57855"/>
    <x v="27"/>
    <n v="0"/>
    <x v="0"/>
    <x v="0"/>
    <x v="1"/>
    <x v="7"/>
    <x v="4"/>
    <x v="1"/>
    <n v="49"/>
    <x v="12"/>
    <x v="0"/>
  </r>
  <r>
    <n v="57856"/>
    <x v="27"/>
    <n v="0"/>
    <x v="1"/>
    <x v="1"/>
    <x v="1"/>
    <x v="7"/>
    <x v="4"/>
    <x v="1"/>
    <n v="49"/>
    <x v="1"/>
    <x v="0"/>
  </r>
  <r>
    <n v="57857"/>
    <x v="27"/>
    <n v="0"/>
    <x v="2"/>
    <x v="2"/>
    <x v="1"/>
    <x v="7"/>
    <x v="4"/>
    <x v="1"/>
    <n v="49"/>
    <x v="2"/>
    <x v="0"/>
  </r>
  <r>
    <n v="57858"/>
    <x v="27"/>
    <n v="0"/>
    <x v="8"/>
    <x v="8"/>
    <x v="0"/>
    <x v="7"/>
    <x v="4"/>
    <x v="1"/>
    <n v="49"/>
    <x v="8"/>
    <x v="0"/>
  </r>
  <r>
    <n v="57859"/>
    <x v="27"/>
    <n v="0"/>
    <x v="8"/>
    <x v="8"/>
    <x v="1"/>
    <x v="7"/>
    <x v="4"/>
    <x v="1"/>
    <n v="49"/>
    <x v="9"/>
    <x v="0"/>
  </r>
  <r>
    <n v="57860"/>
    <x v="27"/>
    <n v="20000"/>
    <x v="3"/>
    <x v="3"/>
    <x v="2"/>
    <x v="7"/>
    <x v="4"/>
    <x v="1"/>
    <n v="49"/>
    <x v="3"/>
    <x v="0"/>
  </r>
  <r>
    <n v="57861"/>
    <x v="27"/>
    <n v="20000"/>
    <x v="4"/>
    <x v="4"/>
    <x v="2"/>
    <x v="7"/>
    <x v="4"/>
    <x v="1"/>
    <n v="49"/>
    <x v="4"/>
    <x v="0"/>
  </r>
  <r>
    <n v="57862"/>
    <x v="27"/>
    <n v="0"/>
    <x v="9"/>
    <x v="9"/>
    <x v="0"/>
    <x v="7"/>
    <x v="4"/>
    <x v="1"/>
    <n v="49"/>
    <x v="10"/>
    <x v="0"/>
  </r>
  <r>
    <n v="57863"/>
    <x v="27"/>
    <n v="0"/>
    <x v="10"/>
    <x v="10"/>
    <x v="0"/>
    <x v="7"/>
    <x v="4"/>
    <x v="1"/>
    <n v="49"/>
    <x v="11"/>
    <x v="0"/>
  </r>
  <r>
    <n v="57864"/>
    <x v="27"/>
    <n v="0"/>
    <x v="12"/>
    <x v="12"/>
    <x v="1"/>
    <x v="7"/>
    <x v="4"/>
    <x v="1"/>
    <n v="49"/>
    <x v="16"/>
    <x v="0"/>
  </r>
  <r>
    <n v="57865"/>
    <x v="27"/>
    <n v="0"/>
    <x v="11"/>
    <x v="11"/>
    <x v="1"/>
    <x v="7"/>
    <x v="4"/>
    <x v="1"/>
    <n v="49"/>
    <x v="13"/>
    <x v="0"/>
  </r>
  <r>
    <n v="57866"/>
    <x v="27"/>
    <n v="0"/>
    <x v="5"/>
    <x v="5"/>
    <x v="1"/>
    <x v="7"/>
    <x v="4"/>
    <x v="1"/>
    <n v="49"/>
    <x v="5"/>
    <x v="0"/>
  </r>
  <r>
    <n v="57867"/>
    <x v="27"/>
    <n v="0"/>
    <x v="6"/>
    <x v="6"/>
    <x v="1"/>
    <x v="7"/>
    <x v="4"/>
    <x v="1"/>
    <n v="49"/>
    <x v="6"/>
    <x v="0"/>
  </r>
  <r>
    <n v="57868"/>
    <x v="27"/>
    <n v="20000"/>
    <x v="3"/>
    <x v="3"/>
    <x v="3"/>
    <x v="7"/>
    <x v="4"/>
    <x v="1"/>
    <n v="49"/>
    <x v="17"/>
    <x v="0"/>
  </r>
  <r>
    <n v="57869"/>
    <x v="27"/>
    <n v="20000"/>
    <x v="4"/>
    <x v="4"/>
    <x v="3"/>
    <x v="7"/>
    <x v="4"/>
    <x v="1"/>
    <n v="49"/>
    <x v="14"/>
    <x v="0"/>
  </r>
  <r>
    <n v="57870"/>
    <x v="28"/>
    <n v="0"/>
    <x v="7"/>
    <x v="7"/>
    <x v="0"/>
    <x v="7"/>
    <x v="4"/>
    <x v="1"/>
    <n v="50"/>
    <x v="7"/>
    <x v="0"/>
  </r>
  <r>
    <n v="57871"/>
    <x v="28"/>
    <n v="0"/>
    <x v="7"/>
    <x v="7"/>
    <x v="1"/>
    <x v="7"/>
    <x v="4"/>
    <x v="1"/>
    <n v="50"/>
    <x v="15"/>
    <x v="0"/>
  </r>
  <r>
    <n v="57872"/>
    <x v="28"/>
    <n v="0"/>
    <x v="0"/>
    <x v="0"/>
    <x v="0"/>
    <x v="7"/>
    <x v="4"/>
    <x v="1"/>
    <n v="50"/>
    <x v="0"/>
    <x v="0"/>
  </r>
  <r>
    <n v="57873"/>
    <x v="28"/>
    <n v="0"/>
    <x v="0"/>
    <x v="0"/>
    <x v="1"/>
    <x v="7"/>
    <x v="4"/>
    <x v="1"/>
    <n v="50"/>
    <x v="12"/>
    <x v="0"/>
  </r>
  <r>
    <n v="57874"/>
    <x v="28"/>
    <n v="0"/>
    <x v="1"/>
    <x v="1"/>
    <x v="1"/>
    <x v="7"/>
    <x v="4"/>
    <x v="1"/>
    <n v="50"/>
    <x v="1"/>
    <x v="0"/>
  </r>
  <r>
    <n v="57875"/>
    <x v="28"/>
    <n v="0"/>
    <x v="2"/>
    <x v="2"/>
    <x v="1"/>
    <x v="7"/>
    <x v="4"/>
    <x v="1"/>
    <n v="50"/>
    <x v="2"/>
    <x v="0"/>
  </r>
  <r>
    <n v="57876"/>
    <x v="28"/>
    <n v="0"/>
    <x v="8"/>
    <x v="8"/>
    <x v="0"/>
    <x v="7"/>
    <x v="4"/>
    <x v="1"/>
    <n v="50"/>
    <x v="8"/>
    <x v="0"/>
  </r>
  <r>
    <n v="57877"/>
    <x v="28"/>
    <n v="0"/>
    <x v="8"/>
    <x v="8"/>
    <x v="1"/>
    <x v="7"/>
    <x v="4"/>
    <x v="1"/>
    <n v="50"/>
    <x v="9"/>
    <x v="0"/>
  </r>
  <r>
    <n v="57878"/>
    <x v="28"/>
    <n v="20000"/>
    <x v="3"/>
    <x v="3"/>
    <x v="2"/>
    <x v="7"/>
    <x v="4"/>
    <x v="1"/>
    <n v="50"/>
    <x v="3"/>
    <x v="0"/>
  </r>
  <r>
    <n v="57879"/>
    <x v="28"/>
    <n v="20000"/>
    <x v="4"/>
    <x v="4"/>
    <x v="2"/>
    <x v="7"/>
    <x v="4"/>
    <x v="1"/>
    <n v="50"/>
    <x v="4"/>
    <x v="0"/>
  </r>
  <r>
    <n v="57880"/>
    <x v="28"/>
    <n v="0"/>
    <x v="9"/>
    <x v="9"/>
    <x v="0"/>
    <x v="7"/>
    <x v="4"/>
    <x v="1"/>
    <n v="50"/>
    <x v="10"/>
    <x v="0"/>
  </r>
  <r>
    <n v="57881"/>
    <x v="28"/>
    <n v="0"/>
    <x v="10"/>
    <x v="10"/>
    <x v="0"/>
    <x v="7"/>
    <x v="4"/>
    <x v="1"/>
    <n v="50"/>
    <x v="11"/>
    <x v="0"/>
  </r>
  <r>
    <n v="57882"/>
    <x v="28"/>
    <n v="0"/>
    <x v="12"/>
    <x v="12"/>
    <x v="1"/>
    <x v="7"/>
    <x v="4"/>
    <x v="1"/>
    <n v="50"/>
    <x v="16"/>
    <x v="0"/>
  </r>
  <r>
    <n v="57883"/>
    <x v="28"/>
    <n v="0"/>
    <x v="11"/>
    <x v="11"/>
    <x v="1"/>
    <x v="7"/>
    <x v="4"/>
    <x v="1"/>
    <n v="50"/>
    <x v="13"/>
    <x v="0"/>
  </r>
  <r>
    <n v="57884"/>
    <x v="28"/>
    <n v="0"/>
    <x v="5"/>
    <x v="5"/>
    <x v="1"/>
    <x v="7"/>
    <x v="4"/>
    <x v="1"/>
    <n v="50"/>
    <x v="5"/>
    <x v="0"/>
  </r>
  <r>
    <n v="57885"/>
    <x v="28"/>
    <n v="0"/>
    <x v="6"/>
    <x v="6"/>
    <x v="1"/>
    <x v="7"/>
    <x v="4"/>
    <x v="1"/>
    <n v="50"/>
    <x v="6"/>
    <x v="0"/>
  </r>
  <r>
    <n v="57886"/>
    <x v="28"/>
    <n v="20000"/>
    <x v="3"/>
    <x v="3"/>
    <x v="3"/>
    <x v="7"/>
    <x v="4"/>
    <x v="1"/>
    <n v="50"/>
    <x v="17"/>
    <x v="0"/>
  </r>
  <r>
    <n v="57887"/>
    <x v="28"/>
    <n v="20000"/>
    <x v="4"/>
    <x v="4"/>
    <x v="3"/>
    <x v="7"/>
    <x v="4"/>
    <x v="1"/>
    <n v="50"/>
    <x v="14"/>
    <x v="0"/>
  </r>
  <r>
    <n v="57888"/>
    <x v="29"/>
    <n v="0"/>
    <x v="7"/>
    <x v="7"/>
    <x v="0"/>
    <x v="8"/>
    <x v="5"/>
    <x v="1"/>
    <n v="51"/>
    <x v="7"/>
    <x v="0"/>
  </r>
  <r>
    <n v="57889"/>
    <x v="29"/>
    <n v="0"/>
    <x v="7"/>
    <x v="7"/>
    <x v="1"/>
    <x v="8"/>
    <x v="5"/>
    <x v="1"/>
    <n v="51"/>
    <x v="15"/>
    <x v="0"/>
  </r>
  <r>
    <n v="57890"/>
    <x v="29"/>
    <n v="0"/>
    <x v="0"/>
    <x v="0"/>
    <x v="0"/>
    <x v="8"/>
    <x v="5"/>
    <x v="1"/>
    <n v="51"/>
    <x v="0"/>
    <x v="0"/>
  </r>
  <r>
    <n v="57891"/>
    <x v="29"/>
    <n v="0"/>
    <x v="0"/>
    <x v="0"/>
    <x v="1"/>
    <x v="8"/>
    <x v="5"/>
    <x v="1"/>
    <n v="51"/>
    <x v="12"/>
    <x v="0"/>
  </r>
  <r>
    <n v="57892"/>
    <x v="29"/>
    <n v="0"/>
    <x v="1"/>
    <x v="1"/>
    <x v="1"/>
    <x v="8"/>
    <x v="5"/>
    <x v="1"/>
    <n v="51"/>
    <x v="1"/>
    <x v="0"/>
  </r>
  <r>
    <n v="57893"/>
    <x v="29"/>
    <n v="0"/>
    <x v="2"/>
    <x v="2"/>
    <x v="1"/>
    <x v="8"/>
    <x v="5"/>
    <x v="1"/>
    <n v="51"/>
    <x v="2"/>
    <x v="0"/>
  </r>
  <r>
    <n v="57894"/>
    <x v="29"/>
    <n v="0"/>
    <x v="8"/>
    <x v="8"/>
    <x v="0"/>
    <x v="8"/>
    <x v="5"/>
    <x v="1"/>
    <n v="51"/>
    <x v="8"/>
    <x v="0"/>
  </r>
  <r>
    <n v="57895"/>
    <x v="29"/>
    <n v="0"/>
    <x v="8"/>
    <x v="8"/>
    <x v="1"/>
    <x v="8"/>
    <x v="5"/>
    <x v="1"/>
    <n v="51"/>
    <x v="9"/>
    <x v="0"/>
  </r>
  <r>
    <n v="57896"/>
    <x v="29"/>
    <n v="20000"/>
    <x v="3"/>
    <x v="3"/>
    <x v="2"/>
    <x v="8"/>
    <x v="5"/>
    <x v="1"/>
    <n v="51"/>
    <x v="3"/>
    <x v="0"/>
  </r>
  <r>
    <n v="57897"/>
    <x v="29"/>
    <n v="20000"/>
    <x v="4"/>
    <x v="4"/>
    <x v="2"/>
    <x v="8"/>
    <x v="5"/>
    <x v="1"/>
    <n v="51"/>
    <x v="4"/>
    <x v="0"/>
  </r>
  <r>
    <n v="57898"/>
    <x v="29"/>
    <n v="0"/>
    <x v="9"/>
    <x v="9"/>
    <x v="0"/>
    <x v="8"/>
    <x v="5"/>
    <x v="1"/>
    <n v="51"/>
    <x v="10"/>
    <x v="0"/>
  </r>
  <r>
    <n v="57899"/>
    <x v="29"/>
    <n v="0"/>
    <x v="10"/>
    <x v="10"/>
    <x v="0"/>
    <x v="8"/>
    <x v="5"/>
    <x v="1"/>
    <n v="51"/>
    <x v="11"/>
    <x v="0"/>
  </r>
  <r>
    <n v="57900"/>
    <x v="29"/>
    <n v="0"/>
    <x v="12"/>
    <x v="12"/>
    <x v="1"/>
    <x v="8"/>
    <x v="5"/>
    <x v="1"/>
    <n v="51"/>
    <x v="16"/>
    <x v="0"/>
  </r>
  <r>
    <n v="57901"/>
    <x v="29"/>
    <n v="0"/>
    <x v="11"/>
    <x v="11"/>
    <x v="1"/>
    <x v="8"/>
    <x v="5"/>
    <x v="1"/>
    <n v="51"/>
    <x v="13"/>
    <x v="0"/>
  </r>
  <r>
    <n v="57902"/>
    <x v="29"/>
    <n v="0"/>
    <x v="5"/>
    <x v="5"/>
    <x v="1"/>
    <x v="8"/>
    <x v="5"/>
    <x v="1"/>
    <n v="51"/>
    <x v="5"/>
    <x v="0"/>
  </r>
  <r>
    <n v="57903"/>
    <x v="29"/>
    <n v="0"/>
    <x v="6"/>
    <x v="6"/>
    <x v="1"/>
    <x v="8"/>
    <x v="5"/>
    <x v="1"/>
    <n v="51"/>
    <x v="6"/>
    <x v="0"/>
  </r>
  <r>
    <n v="57904"/>
    <x v="29"/>
    <n v="20000"/>
    <x v="3"/>
    <x v="3"/>
    <x v="3"/>
    <x v="8"/>
    <x v="5"/>
    <x v="1"/>
    <n v="51"/>
    <x v="17"/>
    <x v="0"/>
  </r>
  <r>
    <n v="57905"/>
    <x v="29"/>
    <n v="20000"/>
    <x v="4"/>
    <x v="4"/>
    <x v="3"/>
    <x v="8"/>
    <x v="5"/>
    <x v="1"/>
    <n v="51"/>
    <x v="14"/>
    <x v="0"/>
  </r>
  <r>
    <n v="57906"/>
    <x v="30"/>
    <n v="4000"/>
    <x v="7"/>
    <x v="7"/>
    <x v="0"/>
    <x v="8"/>
    <x v="5"/>
    <x v="1"/>
    <n v="52"/>
    <x v="7"/>
    <x v="0"/>
  </r>
  <r>
    <n v="57907"/>
    <x v="30"/>
    <n v="0"/>
    <x v="7"/>
    <x v="7"/>
    <x v="1"/>
    <x v="8"/>
    <x v="5"/>
    <x v="1"/>
    <n v="52"/>
    <x v="15"/>
    <x v="0"/>
  </r>
  <r>
    <n v="57908"/>
    <x v="30"/>
    <n v="0"/>
    <x v="0"/>
    <x v="0"/>
    <x v="0"/>
    <x v="8"/>
    <x v="5"/>
    <x v="1"/>
    <n v="52"/>
    <x v="0"/>
    <x v="0"/>
  </r>
  <r>
    <n v="57909"/>
    <x v="30"/>
    <n v="0"/>
    <x v="0"/>
    <x v="0"/>
    <x v="1"/>
    <x v="8"/>
    <x v="5"/>
    <x v="1"/>
    <n v="52"/>
    <x v="12"/>
    <x v="0"/>
  </r>
  <r>
    <n v="57910"/>
    <x v="30"/>
    <n v="0"/>
    <x v="1"/>
    <x v="1"/>
    <x v="1"/>
    <x v="8"/>
    <x v="5"/>
    <x v="1"/>
    <n v="52"/>
    <x v="1"/>
    <x v="0"/>
  </r>
  <r>
    <n v="57911"/>
    <x v="30"/>
    <n v="0"/>
    <x v="2"/>
    <x v="2"/>
    <x v="1"/>
    <x v="8"/>
    <x v="5"/>
    <x v="1"/>
    <n v="52"/>
    <x v="2"/>
    <x v="0"/>
  </r>
  <r>
    <n v="57912"/>
    <x v="30"/>
    <n v="0"/>
    <x v="8"/>
    <x v="8"/>
    <x v="0"/>
    <x v="8"/>
    <x v="5"/>
    <x v="1"/>
    <n v="52"/>
    <x v="8"/>
    <x v="0"/>
  </r>
  <r>
    <n v="57913"/>
    <x v="30"/>
    <n v="0"/>
    <x v="8"/>
    <x v="8"/>
    <x v="1"/>
    <x v="8"/>
    <x v="5"/>
    <x v="1"/>
    <n v="52"/>
    <x v="9"/>
    <x v="0"/>
  </r>
  <r>
    <n v="57914"/>
    <x v="30"/>
    <n v="20000"/>
    <x v="3"/>
    <x v="3"/>
    <x v="2"/>
    <x v="8"/>
    <x v="5"/>
    <x v="1"/>
    <n v="52"/>
    <x v="3"/>
    <x v="0"/>
  </r>
  <r>
    <n v="57915"/>
    <x v="30"/>
    <n v="20000"/>
    <x v="4"/>
    <x v="4"/>
    <x v="2"/>
    <x v="8"/>
    <x v="5"/>
    <x v="1"/>
    <n v="52"/>
    <x v="4"/>
    <x v="0"/>
  </r>
  <r>
    <n v="57916"/>
    <x v="30"/>
    <n v="0"/>
    <x v="9"/>
    <x v="9"/>
    <x v="0"/>
    <x v="8"/>
    <x v="5"/>
    <x v="1"/>
    <n v="52"/>
    <x v="10"/>
    <x v="0"/>
  </r>
  <r>
    <n v="57917"/>
    <x v="30"/>
    <n v="0"/>
    <x v="10"/>
    <x v="10"/>
    <x v="0"/>
    <x v="8"/>
    <x v="5"/>
    <x v="1"/>
    <n v="52"/>
    <x v="11"/>
    <x v="0"/>
  </r>
  <r>
    <n v="57918"/>
    <x v="30"/>
    <n v="0"/>
    <x v="12"/>
    <x v="12"/>
    <x v="1"/>
    <x v="8"/>
    <x v="5"/>
    <x v="1"/>
    <n v="52"/>
    <x v="16"/>
    <x v="0"/>
  </r>
  <r>
    <n v="57919"/>
    <x v="30"/>
    <n v="0"/>
    <x v="11"/>
    <x v="11"/>
    <x v="1"/>
    <x v="8"/>
    <x v="5"/>
    <x v="1"/>
    <n v="52"/>
    <x v="13"/>
    <x v="0"/>
  </r>
  <r>
    <n v="57920"/>
    <x v="30"/>
    <n v="0"/>
    <x v="5"/>
    <x v="5"/>
    <x v="1"/>
    <x v="8"/>
    <x v="5"/>
    <x v="1"/>
    <n v="52"/>
    <x v="5"/>
    <x v="0"/>
  </r>
  <r>
    <n v="57921"/>
    <x v="30"/>
    <n v="0"/>
    <x v="6"/>
    <x v="6"/>
    <x v="1"/>
    <x v="8"/>
    <x v="5"/>
    <x v="1"/>
    <n v="52"/>
    <x v="6"/>
    <x v="0"/>
  </r>
  <r>
    <n v="57922"/>
    <x v="30"/>
    <n v="24000"/>
    <x v="3"/>
    <x v="3"/>
    <x v="3"/>
    <x v="8"/>
    <x v="5"/>
    <x v="1"/>
    <n v="52"/>
    <x v="17"/>
    <x v="0"/>
  </r>
  <r>
    <n v="57923"/>
    <x v="30"/>
    <n v="20000"/>
    <x v="4"/>
    <x v="4"/>
    <x v="3"/>
    <x v="8"/>
    <x v="5"/>
    <x v="1"/>
    <n v="52"/>
    <x v="14"/>
    <x v="0"/>
  </r>
  <r>
    <n v="57924"/>
    <x v="31"/>
    <n v="0"/>
    <x v="7"/>
    <x v="7"/>
    <x v="0"/>
    <x v="8"/>
    <x v="5"/>
    <x v="1"/>
    <n v="53"/>
    <x v="7"/>
    <x v="0"/>
  </r>
  <r>
    <n v="57925"/>
    <x v="31"/>
    <n v="0"/>
    <x v="7"/>
    <x v="7"/>
    <x v="1"/>
    <x v="8"/>
    <x v="5"/>
    <x v="1"/>
    <n v="53"/>
    <x v="15"/>
    <x v="0"/>
  </r>
  <r>
    <n v="57926"/>
    <x v="31"/>
    <n v="0"/>
    <x v="0"/>
    <x v="0"/>
    <x v="0"/>
    <x v="8"/>
    <x v="5"/>
    <x v="1"/>
    <n v="53"/>
    <x v="0"/>
    <x v="0"/>
  </r>
  <r>
    <n v="57927"/>
    <x v="31"/>
    <n v="0"/>
    <x v="0"/>
    <x v="0"/>
    <x v="1"/>
    <x v="8"/>
    <x v="5"/>
    <x v="1"/>
    <n v="53"/>
    <x v="12"/>
    <x v="0"/>
  </r>
  <r>
    <n v="57928"/>
    <x v="31"/>
    <n v="0"/>
    <x v="1"/>
    <x v="1"/>
    <x v="1"/>
    <x v="8"/>
    <x v="5"/>
    <x v="1"/>
    <n v="53"/>
    <x v="1"/>
    <x v="0"/>
  </r>
  <r>
    <n v="57929"/>
    <x v="31"/>
    <n v="0"/>
    <x v="2"/>
    <x v="2"/>
    <x v="1"/>
    <x v="8"/>
    <x v="5"/>
    <x v="1"/>
    <n v="53"/>
    <x v="2"/>
    <x v="0"/>
  </r>
  <r>
    <n v="57930"/>
    <x v="31"/>
    <n v="0"/>
    <x v="8"/>
    <x v="8"/>
    <x v="0"/>
    <x v="8"/>
    <x v="5"/>
    <x v="1"/>
    <n v="53"/>
    <x v="8"/>
    <x v="0"/>
  </r>
  <r>
    <n v="57931"/>
    <x v="31"/>
    <n v="0"/>
    <x v="8"/>
    <x v="8"/>
    <x v="1"/>
    <x v="8"/>
    <x v="5"/>
    <x v="1"/>
    <n v="53"/>
    <x v="9"/>
    <x v="0"/>
  </r>
  <r>
    <n v="57932"/>
    <x v="31"/>
    <n v="20000"/>
    <x v="3"/>
    <x v="3"/>
    <x v="2"/>
    <x v="8"/>
    <x v="5"/>
    <x v="1"/>
    <n v="53"/>
    <x v="3"/>
    <x v="0"/>
  </r>
  <r>
    <n v="57933"/>
    <x v="31"/>
    <n v="20000"/>
    <x v="4"/>
    <x v="4"/>
    <x v="2"/>
    <x v="8"/>
    <x v="5"/>
    <x v="1"/>
    <n v="53"/>
    <x v="4"/>
    <x v="0"/>
  </r>
  <r>
    <n v="57934"/>
    <x v="31"/>
    <n v="0"/>
    <x v="9"/>
    <x v="9"/>
    <x v="0"/>
    <x v="8"/>
    <x v="5"/>
    <x v="1"/>
    <n v="53"/>
    <x v="10"/>
    <x v="0"/>
  </r>
  <r>
    <n v="57935"/>
    <x v="31"/>
    <n v="0"/>
    <x v="10"/>
    <x v="10"/>
    <x v="0"/>
    <x v="8"/>
    <x v="5"/>
    <x v="1"/>
    <n v="53"/>
    <x v="11"/>
    <x v="0"/>
  </r>
  <r>
    <n v="57936"/>
    <x v="31"/>
    <n v="0"/>
    <x v="12"/>
    <x v="12"/>
    <x v="1"/>
    <x v="8"/>
    <x v="5"/>
    <x v="1"/>
    <n v="53"/>
    <x v="16"/>
    <x v="0"/>
  </r>
  <r>
    <n v="57937"/>
    <x v="31"/>
    <n v="0"/>
    <x v="11"/>
    <x v="11"/>
    <x v="1"/>
    <x v="8"/>
    <x v="5"/>
    <x v="1"/>
    <n v="53"/>
    <x v="13"/>
    <x v="0"/>
  </r>
  <r>
    <n v="57938"/>
    <x v="31"/>
    <n v="0"/>
    <x v="5"/>
    <x v="5"/>
    <x v="1"/>
    <x v="8"/>
    <x v="5"/>
    <x v="1"/>
    <n v="53"/>
    <x v="5"/>
    <x v="0"/>
  </r>
  <r>
    <n v="57939"/>
    <x v="31"/>
    <n v="0"/>
    <x v="6"/>
    <x v="6"/>
    <x v="1"/>
    <x v="8"/>
    <x v="5"/>
    <x v="1"/>
    <n v="53"/>
    <x v="6"/>
    <x v="0"/>
  </r>
  <r>
    <n v="57940"/>
    <x v="31"/>
    <n v="20000"/>
    <x v="3"/>
    <x v="3"/>
    <x v="3"/>
    <x v="8"/>
    <x v="5"/>
    <x v="1"/>
    <n v="53"/>
    <x v="17"/>
    <x v="0"/>
  </r>
  <r>
    <n v="57941"/>
    <x v="31"/>
    <n v="20000"/>
    <x v="4"/>
    <x v="4"/>
    <x v="3"/>
    <x v="8"/>
    <x v="5"/>
    <x v="1"/>
    <n v="53"/>
    <x v="14"/>
    <x v="0"/>
  </r>
  <r>
    <n v="57942"/>
    <x v="32"/>
    <n v="0"/>
    <x v="7"/>
    <x v="7"/>
    <x v="0"/>
    <x v="8"/>
    <x v="5"/>
    <x v="1"/>
    <n v="54"/>
    <x v="7"/>
    <x v="0"/>
  </r>
  <r>
    <n v="57943"/>
    <x v="32"/>
    <n v="0"/>
    <x v="7"/>
    <x v="7"/>
    <x v="1"/>
    <x v="8"/>
    <x v="5"/>
    <x v="1"/>
    <n v="54"/>
    <x v="15"/>
    <x v="0"/>
  </r>
  <r>
    <n v="57944"/>
    <x v="32"/>
    <n v="0"/>
    <x v="0"/>
    <x v="0"/>
    <x v="0"/>
    <x v="8"/>
    <x v="5"/>
    <x v="1"/>
    <n v="54"/>
    <x v="0"/>
    <x v="0"/>
  </r>
  <r>
    <n v="57945"/>
    <x v="32"/>
    <n v="0"/>
    <x v="0"/>
    <x v="0"/>
    <x v="1"/>
    <x v="8"/>
    <x v="5"/>
    <x v="1"/>
    <n v="54"/>
    <x v="12"/>
    <x v="0"/>
  </r>
  <r>
    <n v="57946"/>
    <x v="32"/>
    <n v="0"/>
    <x v="1"/>
    <x v="1"/>
    <x v="1"/>
    <x v="8"/>
    <x v="5"/>
    <x v="1"/>
    <n v="54"/>
    <x v="1"/>
    <x v="0"/>
  </r>
  <r>
    <n v="57947"/>
    <x v="32"/>
    <n v="0"/>
    <x v="2"/>
    <x v="2"/>
    <x v="1"/>
    <x v="8"/>
    <x v="5"/>
    <x v="1"/>
    <n v="54"/>
    <x v="2"/>
    <x v="0"/>
  </r>
  <r>
    <n v="57948"/>
    <x v="32"/>
    <n v="0"/>
    <x v="8"/>
    <x v="8"/>
    <x v="0"/>
    <x v="8"/>
    <x v="5"/>
    <x v="1"/>
    <n v="54"/>
    <x v="8"/>
    <x v="0"/>
  </r>
  <r>
    <n v="57949"/>
    <x v="32"/>
    <n v="0"/>
    <x v="8"/>
    <x v="8"/>
    <x v="1"/>
    <x v="8"/>
    <x v="5"/>
    <x v="1"/>
    <n v="54"/>
    <x v="9"/>
    <x v="0"/>
  </r>
  <r>
    <n v="57950"/>
    <x v="32"/>
    <n v="20000"/>
    <x v="3"/>
    <x v="3"/>
    <x v="2"/>
    <x v="8"/>
    <x v="5"/>
    <x v="1"/>
    <n v="54"/>
    <x v="3"/>
    <x v="0"/>
  </r>
  <r>
    <n v="57951"/>
    <x v="32"/>
    <n v="20000"/>
    <x v="4"/>
    <x v="4"/>
    <x v="2"/>
    <x v="8"/>
    <x v="5"/>
    <x v="1"/>
    <n v="54"/>
    <x v="4"/>
    <x v="0"/>
  </r>
  <r>
    <n v="57952"/>
    <x v="32"/>
    <n v="0"/>
    <x v="9"/>
    <x v="9"/>
    <x v="0"/>
    <x v="8"/>
    <x v="5"/>
    <x v="1"/>
    <n v="54"/>
    <x v="10"/>
    <x v="0"/>
  </r>
  <r>
    <n v="57953"/>
    <x v="32"/>
    <n v="0"/>
    <x v="10"/>
    <x v="10"/>
    <x v="0"/>
    <x v="8"/>
    <x v="5"/>
    <x v="1"/>
    <n v="54"/>
    <x v="11"/>
    <x v="0"/>
  </r>
  <r>
    <n v="57954"/>
    <x v="32"/>
    <n v="0"/>
    <x v="12"/>
    <x v="12"/>
    <x v="1"/>
    <x v="8"/>
    <x v="5"/>
    <x v="1"/>
    <n v="54"/>
    <x v="16"/>
    <x v="0"/>
  </r>
  <r>
    <n v="57955"/>
    <x v="32"/>
    <n v="0"/>
    <x v="11"/>
    <x v="11"/>
    <x v="1"/>
    <x v="8"/>
    <x v="5"/>
    <x v="1"/>
    <n v="54"/>
    <x v="13"/>
    <x v="0"/>
  </r>
  <r>
    <n v="57956"/>
    <x v="32"/>
    <n v="0"/>
    <x v="5"/>
    <x v="5"/>
    <x v="1"/>
    <x v="8"/>
    <x v="5"/>
    <x v="1"/>
    <n v="54"/>
    <x v="5"/>
    <x v="0"/>
  </r>
  <r>
    <n v="57957"/>
    <x v="32"/>
    <n v="0"/>
    <x v="6"/>
    <x v="6"/>
    <x v="1"/>
    <x v="8"/>
    <x v="5"/>
    <x v="1"/>
    <n v="54"/>
    <x v="6"/>
    <x v="0"/>
  </r>
  <r>
    <n v="57958"/>
    <x v="32"/>
    <n v="20000"/>
    <x v="3"/>
    <x v="3"/>
    <x v="3"/>
    <x v="8"/>
    <x v="5"/>
    <x v="1"/>
    <n v="54"/>
    <x v="17"/>
    <x v="0"/>
  </r>
  <r>
    <n v="57959"/>
    <x v="32"/>
    <n v="20000"/>
    <x v="4"/>
    <x v="4"/>
    <x v="3"/>
    <x v="8"/>
    <x v="5"/>
    <x v="1"/>
    <n v="54"/>
    <x v="14"/>
    <x v="0"/>
  </r>
  <r>
    <n v="57960"/>
    <x v="33"/>
    <n v="200"/>
    <x v="7"/>
    <x v="7"/>
    <x v="0"/>
    <x v="8"/>
    <x v="5"/>
    <x v="1"/>
    <n v="55"/>
    <x v="7"/>
    <x v="0"/>
  </r>
  <r>
    <n v="57961"/>
    <x v="33"/>
    <n v="0"/>
    <x v="7"/>
    <x v="7"/>
    <x v="1"/>
    <x v="8"/>
    <x v="5"/>
    <x v="1"/>
    <n v="55"/>
    <x v="15"/>
    <x v="0"/>
  </r>
  <r>
    <n v="57962"/>
    <x v="33"/>
    <n v="0"/>
    <x v="0"/>
    <x v="0"/>
    <x v="0"/>
    <x v="8"/>
    <x v="5"/>
    <x v="1"/>
    <n v="55"/>
    <x v="0"/>
    <x v="0"/>
  </r>
  <r>
    <n v="57963"/>
    <x v="33"/>
    <n v="0"/>
    <x v="0"/>
    <x v="0"/>
    <x v="1"/>
    <x v="8"/>
    <x v="5"/>
    <x v="1"/>
    <n v="55"/>
    <x v="12"/>
    <x v="0"/>
  </r>
  <r>
    <n v="57964"/>
    <x v="33"/>
    <n v="0"/>
    <x v="1"/>
    <x v="1"/>
    <x v="1"/>
    <x v="8"/>
    <x v="5"/>
    <x v="1"/>
    <n v="55"/>
    <x v="1"/>
    <x v="0"/>
  </r>
  <r>
    <n v="57965"/>
    <x v="33"/>
    <n v="0"/>
    <x v="2"/>
    <x v="2"/>
    <x v="1"/>
    <x v="8"/>
    <x v="5"/>
    <x v="1"/>
    <n v="55"/>
    <x v="2"/>
    <x v="0"/>
  </r>
  <r>
    <n v="57966"/>
    <x v="33"/>
    <n v="0"/>
    <x v="8"/>
    <x v="8"/>
    <x v="0"/>
    <x v="8"/>
    <x v="5"/>
    <x v="1"/>
    <n v="55"/>
    <x v="8"/>
    <x v="0"/>
  </r>
  <r>
    <n v="57967"/>
    <x v="33"/>
    <n v="0"/>
    <x v="8"/>
    <x v="8"/>
    <x v="1"/>
    <x v="8"/>
    <x v="5"/>
    <x v="1"/>
    <n v="55"/>
    <x v="9"/>
    <x v="0"/>
  </r>
  <r>
    <n v="57968"/>
    <x v="33"/>
    <n v="20000"/>
    <x v="3"/>
    <x v="3"/>
    <x v="2"/>
    <x v="8"/>
    <x v="5"/>
    <x v="1"/>
    <n v="55"/>
    <x v="3"/>
    <x v="0"/>
  </r>
  <r>
    <n v="57969"/>
    <x v="33"/>
    <n v="20000"/>
    <x v="4"/>
    <x v="4"/>
    <x v="2"/>
    <x v="8"/>
    <x v="5"/>
    <x v="1"/>
    <n v="55"/>
    <x v="4"/>
    <x v="0"/>
  </r>
  <r>
    <n v="57970"/>
    <x v="33"/>
    <n v="0"/>
    <x v="9"/>
    <x v="9"/>
    <x v="0"/>
    <x v="8"/>
    <x v="5"/>
    <x v="1"/>
    <n v="55"/>
    <x v="10"/>
    <x v="0"/>
  </r>
  <r>
    <n v="57971"/>
    <x v="33"/>
    <n v="0"/>
    <x v="10"/>
    <x v="10"/>
    <x v="0"/>
    <x v="8"/>
    <x v="5"/>
    <x v="1"/>
    <n v="55"/>
    <x v="11"/>
    <x v="0"/>
  </r>
  <r>
    <n v="57972"/>
    <x v="33"/>
    <n v="0"/>
    <x v="12"/>
    <x v="12"/>
    <x v="1"/>
    <x v="8"/>
    <x v="5"/>
    <x v="1"/>
    <n v="55"/>
    <x v="16"/>
    <x v="0"/>
  </r>
  <r>
    <n v="57973"/>
    <x v="33"/>
    <n v="0"/>
    <x v="11"/>
    <x v="11"/>
    <x v="1"/>
    <x v="8"/>
    <x v="5"/>
    <x v="1"/>
    <n v="55"/>
    <x v="13"/>
    <x v="0"/>
  </r>
  <r>
    <n v="57974"/>
    <x v="33"/>
    <n v="0"/>
    <x v="5"/>
    <x v="5"/>
    <x v="1"/>
    <x v="8"/>
    <x v="5"/>
    <x v="1"/>
    <n v="55"/>
    <x v="5"/>
    <x v="0"/>
  </r>
  <r>
    <n v="57975"/>
    <x v="33"/>
    <n v="0"/>
    <x v="6"/>
    <x v="6"/>
    <x v="1"/>
    <x v="8"/>
    <x v="5"/>
    <x v="1"/>
    <n v="55"/>
    <x v="6"/>
    <x v="0"/>
  </r>
  <r>
    <n v="57976"/>
    <x v="33"/>
    <n v="20200"/>
    <x v="3"/>
    <x v="3"/>
    <x v="3"/>
    <x v="8"/>
    <x v="5"/>
    <x v="1"/>
    <n v="55"/>
    <x v="17"/>
    <x v="0"/>
  </r>
  <r>
    <n v="57977"/>
    <x v="33"/>
    <n v="20000"/>
    <x v="4"/>
    <x v="4"/>
    <x v="3"/>
    <x v="8"/>
    <x v="5"/>
    <x v="1"/>
    <n v="55"/>
    <x v="14"/>
    <x v="0"/>
  </r>
  <r>
    <n v="57978"/>
    <x v="34"/>
    <n v="0"/>
    <x v="7"/>
    <x v="7"/>
    <x v="0"/>
    <x v="9"/>
    <x v="5"/>
    <x v="1"/>
    <n v="56"/>
    <x v="7"/>
    <x v="0"/>
  </r>
  <r>
    <n v="57979"/>
    <x v="34"/>
    <n v="0"/>
    <x v="7"/>
    <x v="7"/>
    <x v="1"/>
    <x v="9"/>
    <x v="5"/>
    <x v="1"/>
    <n v="56"/>
    <x v="15"/>
    <x v="0"/>
  </r>
  <r>
    <n v="57980"/>
    <x v="34"/>
    <n v="0"/>
    <x v="0"/>
    <x v="0"/>
    <x v="0"/>
    <x v="9"/>
    <x v="5"/>
    <x v="1"/>
    <n v="56"/>
    <x v="0"/>
    <x v="0"/>
  </r>
  <r>
    <n v="57981"/>
    <x v="34"/>
    <n v="0"/>
    <x v="0"/>
    <x v="0"/>
    <x v="1"/>
    <x v="9"/>
    <x v="5"/>
    <x v="1"/>
    <n v="56"/>
    <x v="12"/>
    <x v="0"/>
  </r>
  <r>
    <n v="57982"/>
    <x v="34"/>
    <n v="0"/>
    <x v="1"/>
    <x v="1"/>
    <x v="1"/>
    <x v="9"/>
    <x v="5"/>
    <x v="1"/>
    <n v="56"/>
    <x v="1"/>
    <x v="0"/>
  </r>
  <r>
    <n v="57983"/>
    <x v="34"/>
    <n v="0"/>
    <x v="2"/>
    <x v="2"/>
    <x v="1"/>
    <x v="9"/>
    <x v="5"/>
    <x v="1"/>
    <n v="56"/>
    <x v="2"/>
    <x v="0"/>
  </r>
  <r>
    <n v="57984"/>
    <x v="34"/>
    <n v="0"/>
    <x v="8"/>
    <x v="8"/>
    <x v="0"/>
    <x v="9"/>
    <x v="5"/>
    <x v="1"/>
    <n v="56"/>
    <x v="8"/>
    <x v="0"/>
  </r>
  <r>
    <n v="57985"/>
    <x v="34"/>
    <n v="0"/>
    <x v="8"/>
    <x v="8"/>
    <x v="1"/>
    <x v="9"/>
    <x v="5"/>
    <x v="1"/>
    <n v="56"/>
    <x v="9"/>
    <x v="0"/>
  </r>
  <r>
    <n v="57986"/>
    <x v="34"/>
    <n v="20000"/>
    <x v="3"/>
    <x v="3"/>
    <x v="2"/>
    <x v="9"/>
    <x v="5"/>
    <x v="1"/>
    <n v="56"/>
    <x v="3"/>
    <x v="0"/>
  </r>
  <r>
    <n v="57987"/>
    <x v="34"/>
    <n v="20000"/>
    <x v="4"/>
    <x v="4"/>
    <x v="2"/>
    <x v="9"/>
    <x v="5"/>
    <x v="1"/>
    <n v="56"/>
    <x v="4"/>
    <x v="0"/>
  </r>
  <r>
    <n v="57988"/>
    <x v="34"/>
    <n v="0"/>
    <x v="9"/>
    <x v="9"/>
    <x v="0"/>
    <x v="9"/>
    <x v="5"/>
    <x v="1"/>
    <n v="56"/>
    <x v="10"/>
    <x v="0"/>
  </r>
  <r>
    <n v="57989"/>
    <x v="34"/>
    <n v="0"/>
    <x v="10"/>
    <x v="10"/>
    <x v="0"/>
    <x v="9"/>
    <x v="5"/>
    <x v="1"/>
    <n v="56"/>
    <x v="11"/>
    <x v="0"/>
  </r>
  <r>
    <n v="57990"/>
    <x v="34"/>
    <n v="0"/>
    <x v="12"/>
    <x v="12"/>
    <x v="1"/>
    <x v="9"/>
    <x v="5"/>
    <x v="1"/>
    <n v="56"/>
    <x v="16"/>
    <x v="0"/>
  </r>
  <r>
    <n v="57991"/>
    <x v="34"/>
    <n v="0"/>
    <x v="11"/>
    <x v="11"/>
    <x v="1"/>
    <x v="9"/>
    <x v="5"/>
    <x v="1"/>
    <n v="56"/>
    <x v="13"/>
    <x v="0"/>
  </r>
  <r>
    <n v="57992"/>
    <x v="34"/>
    <n v="0"/>
    <x v="5"/>
    <x v="5"/>
    <x v="1"/>
    <x v="9"/>
    <x v="5"/>
    <x v="1"/>
    <n v="56"/>
    <x v="5"/>
    <x v="0"/>
  </r>
  <r>
    <n v="57993"/>
    <x v="34"/>
    <n v="0"/>
    <x v="6"/>
    <x v="6"/>
    <x v="1"/>
    <x v="9"/>
    <x v="5"/>
    <x v="1"/>
    <n v="56"/>
    <x v="6"/>
    <x v="0"/>
  </r>
  <r>
    <n v="57994"/>
    <x v="34"/>
    <n v="20000"/>
    <x v="3"/>
    <x v="3"/>
    <x v="3"/>
    <x v="9"/>
    <x v="5"/>
    <x v="1"/>
    <n v="56"/>
    <x v="17"/>
    <x v="0"/>
  </r>
  <r>
    <n v="57995"/>
    <x v="34"/>
    <n v="20000"/>
    <x v="4"/>
    <x v="4"/>
    <x v="3"/>
    <x v="9"/>
    <x v="5"/>
    <x v="1"/>
    <n v="56"/>
    <x v="14"/>
    <x v="0"/>
  </r>
  <r>
    <n v="57996"/>
    <x v="35"/>
    <n v="0"/>
    <x v="7"/>
    <x v="7"/>
    <x v="0"/>
    <x v="6"/>
    <x v="5"/>
    <x v="1"/>
    <n v="57"/>
    <x v="7"/>
    <x v="0"/>
  </r>
  <r>
    <n v="57997"/>
    <x v="35"/>
    <n v="0"/>
    <x v="7"/>
    <x v="7"/>
    <x v="1"/>
    <x v="6"/>
    <x v="5"/>
    <x v="1"/>
    <n v="57"/>
    <x v="15"/>
    <x v="0"/>
  </r>
  <r>
    <n v="57998"/>
    <x v="35"/>
    <n v="0"/>
    <x v="0"/>
    <x v="0"/>
    <x v="0"/>
    <x v="6"/>
    <x v="5"/>
    <x v="1"/>
    <n v="57"/>
    <x v="0"/>
    <x v="0"/>
  </r>
  <r>
    <n v="57999"/>
    <x v="35"/>
    <n v="0"/>
    <x v="0"/>
    <x v="0"/>
    <x v="1"/>
    <x v="6"/>
    <x v="5"/>
    <x v="1"/>
    <n v="57"/>
    <x v="12"/>
    <x v="0"/>
  </r>
  <r>
    <n v="58000"/>
    <x v="35"/>
    <n v="0"/>
    <x v="1"/>
    <x v="1"/>
    <x v="1"/>
    <x v="6"/>
    <x v="5"/>
    <x v="1"/>
    <n v="57"/>
    <x v="1"/>
    <x v="0"/>
  </r>
  <r>
    <n v="58001"/>
    <x v="35"/>
    <n v="0"/>
    <x v="2"/>
    <x v="2"/>
    <x v="1"/>
    <x v="6"/>
    <x v="5"/>
    <x v="1"/>
    <n v="57"/>
    <x v="2"/>
    <x v="0"/>
  </r>
  <r>
    <n v="58002"/>
    <x v="35"/>
    <n v="0"/>
    <x v="8"/>
    <x v="8"/>
    <x v="0"/>
    <x v="6"/>
    <x v="5"/>
    <x v="1"/>
    <n v="57"/>
    <x v="8"/>
    <x v="0"/>
  </r>
  <r>
    <n v="58003"/>
    <x v="35"/>
    <n v="0"/>
    <x v="8"/>
    <x v="8"/>
    <x v="1"/>
    <x v="6"/>
    <x v="5"/>
    <x v="1"/>
    <n v="57"/>
    <x v="9"/>
    <x v="0"/>
  </r>
  <r>
    <n v="58004"/>
    <x v="35"/>
    <n v="20000"/>
    <x v="3"/>
    <x v="3"/>
    <x v="2"/>
    <x v="6"/>
    <x v="5"/>
    <x v="1"/>
    <n v="57"/>
    <x v="3"/>
    <x v="0"/>
  </r>
  <r>
    <n v="58005"/>
    <x v="35"/>
    <n v="20000"/>
    <x v="4"/>
    <x v="4"/>
    <x v="2"/>
    <x v="6"/>
    <x v="5"/>
    <x v="1"/>
    <n v="57"/>
    <x v="4"/>
    <x v="0"/>
  </r>
  <r>
    <n v="58006"/>
    <x v="35"/>
    <n v="0"/>
    <x v="9"/>
    <x v="9"/>
    <x v="0"/>
    <x v="6"/>
    <x v="5"/>
    <x v="1"/>
    <n v="57"/>
    <x v="10"/>
    <x v="0"/>
  </r>
  <r>
    <n v="58007"/>
    <x v="35"/>
    <n v="0"/>
    <x v="10"/>
    <x v="10"/>
    <x v="0"/>
    <x v="6"/>
    <x v="5"/>
    <x v="1"/>
    <n v="57"/>
    <x v="11"/>
    <x v="0"/>
  </r>
  <r>
    <n v="58008"/>
    <x v="35"/>
    <n v="0"/>
    <x v="12"/>
    <x v="12"/>
    <x v="1"/>
    <x v="6"/>
    <x v="5"/>
    <x v="1"/>
    <n v="57"/>
    <x v="16"/>
    <x v="0"/>
  </r>
  <r>
    <n v="58009"/>
    <x v="35"/>
    <n v="0"/>
    <x v="11"/>
    <x v="11"/>
    <x v="1"/>
    <x v="6"/>
    <x v="5"/>
    <x v="1"/>
    <n v="57"/>
    <x v="13"/>
    <x v="0"/>
  </r>
  <r>
    <n v="58010"/>
    <x v="35"/>
    <n v="0"/>
    <x v="5"/>
    <x v="5"/>
    <x v="1"/>
    <x v="6"/>
    <x v="5"/>
    <x v="1"/>
    <n v="57"/>
    <x v="5"/>
    <x v="0"/>
  </r>
  <r>
    <n v="58011"/>
    <x v="35"/>
    <n v="0"/>
    <x v="6"/>
    <x v="6"/>
    <x v="1"/>
    <x v="6"/>
    <x v="5"/>
    <x v="1"/>
    <n v="57"/>
    <x v="6"/>
    <x v="0"/>
  </r>
  <r>
    <n v="58012"/>
    <x v="35"/>
    <n v="20000"/>
    <x v="3"/>
    <x v="3"/>
    <x v="3"/>
    <x v="6"/>
    <x v="5"/>
    <x v="1"/>
    <n v="57"/>
    <x v="17"/>
    <x v="0"/>
  </r>
  <r>
    <n v="58013"/>
    <x v="35"/>
    <n v="20000"/>
    <x v="4"/>
    <x v="4"/>
    <x v="3"/>
    <x v="6"/>
    <x v="5"/>
    <x v="1"/>
    <n v="57"/>
    <x v="14"/>
    <x v="0"/>
  </r>
  <r>
    <n v="58014"/>
    <x v="36"/>
    <n v="0"/>
    <x v="7"/>
    <x v="7"/>
    <x v="0"/>
    <x v="6"/>
    <x v="5"/>
    <x v="1"/>
    <n v="58"/>
    <x v="7"/>
    <x v="0"/>
  </r>
  <r>
    <n v="58015"/>
    <x v="36"/>
    <n v="0"/>
    <x v="7"/>
    <x v="7"/>
    <x v="1"/>
    <x v="6"/>
    <x v="5"/>
    <x v="1"/>
    <n v="58"/>
    <x v="15"/>
    <x v="0"/>
  </r>
  <r>
    <n v="58016"/>
    <x v="36"/>
    <n v="0"/>
    <x v="0"/>
    <x v="0"/>
    <x v="0"/>
    <x v="6"/>
    <x v="5"/>
    <x v="1"/>
    <n v="58"/>
    <x v="0"/>
    <x v="0"/>
  </r>
  <r>
    <n v="58017"/>
    <x v="36"/>
    <n v="0"/>
    <x v="0"/>
    <x v="0"/>
    <x v="1"/>
    <x v="6"/>
    <x v="5"/>
    <x v="1"/>
    <n v="58"/>
    <x v="12"/>
    <x v="0"/>
  </r>
  <r>
    <n v="58018"/>
    <x v="36"/>
    <n v="0"/>
    <x v="1"/>
    <x v="1"/>
    <x v="1"/>
    <x v="6"/>
    <x v="5"/>
    <x v="1"/>
    <n v="58"/>
    <x v="1"/>
    <x v="0"/>
  </r>
  <r>
    <n v="58019"/>
    <x v="36"/>
    <n v="0"/>
    <x v="2"/>
    <x v="2"/>
    <x v="1"/>
    <x v="6"/>
    <x v="5"/>
    <x v="1"/>
    <n v="58"/>
    <x v="2"/>
    <x v="0"/>
  </r>
  <r>
    <n v="58020"/>
    <x v="36"/>
    <n v="0"/>
    <x v="8"/>
    <x v="8"/>
    <x v="0"/>
    <x v="6"/>
    <x v="5"/>
    <x v="1"/>
    <n v="58"/>
    <x v="8"/>
    <x v="0"/>
  </r>
  <r>
    <n v="58021"/>
    <x v="36"/>
    <n v="0"/>
    <x v="8"/>
    <x v="8"/>
    <x v="1"/>
    <x v="6"/>
    <x v="5"/>
    <x v="1"/>
    <n v="58"/>
    <x v="9"/>
    <x v="0"/>
  </r>
  <r>
    <n v="58022"/>
    <x v="36"/>
    <n v="20000"/>
    <x v="3"/>
    <x v="3"/>
    <x v="2"/>
    <x v="6"/>
    <x v="5"/>
    <x v="1"/>
    <n v="58"/>
    <x v="3"/>
    <x v="0"/>
  </r>
  <r>
    <n v="58023"/>
    <x v="36"/>
    <n v="20000"/>
    <x v="4"/>
    <x v="4"/>
    <x v="2"/>
    <x v="6"/>
    <x v="5"/>
    <x v="1"/>
    <n v="58"/>
    <x v="4"/>
    <x v="0"/>
  </r>
  <r>
    <n v="58024"/>
    <x v="36"/>
    <n v="0"/>
    <x v="9"/>
    <x v="9"/>
    <x v="0"/>
    <x v="6"/>
    <x v="5"/>
    <x v="1"/>
    <n v="58"/>
    <x v="10"/>
    <x v="0"/>
  </r>
  <r>
    <n v="58025"/>
    <x v="36"/>
    <n v="0"/>
    <x v="10"/>
    <x v="10"/>
    <x v="0"/>
    <x v="6"/>
    <x v="5"/>
    <x v="1"/>
    <n v="58"/>
    <x v="11"/>
    <x v="0"/>
  </r>
  <r>
    <n v="58026"/>
    <x v="36"/>
    <n v="0"/>
    <x v="12"/>
    <x v="12"/>
    <x v="1"/>
    <x v="6"/>
    <x v="5"/>
    <x v="1"/>
    <n v="58"/>
    <x v="16"/>
    <x v="0"/>
  </r>
  <r>
    <n v="58027"/>
    <x v="36"/>
    <n v="0"/>
    <x v="11"/>
    <x v="11"/>
    <x v="1"/>
    <x v="6"/>
    <x v="5"/>
    <x v="1"/>
    <n v="58"/>
    <x v="13"/>
    <x v="0"/>
  </r>
  <r>
    <n v="58028"/>
    <x v="36"/>
    <n v="0"/>
    <x v="5"/>
    <x v="5"/>
    <x v="1"/>
    <x v="6"/>
    <x v="5"/>
    <x v="1"/>
    <n v="58"/>
    <x v="5"/>
    <x v="0"/>
  </r>
  <r>
    <n v="58029"/>
    <x v="36"/>
    <n v="0"/>
    <x v="6"/>
    <x v="6"/>
    <x v="1"/>
    <x v="6"/>
    <x v="5"/>
    <x v="1"/>
    <n v="58"/>
    <x v="6"/>
    <x v="0"/>
  </r>
  <r>
    <n v="58030"/>
    <x v="36"/>
    <n v="20000"/>
    <x v="3"/>
    <x v="3"/>
    <x v="3"/>
    <x v="6"/>
    <x v="5"/>
    <x v="1"/>
    <n v="58"/>
    <x v="17"/>
    <x v="0"/>
  </r>
  <r>
    <n v="58031"/>
    <x v="36"/>
    <n v="20000"/>
    <x v="4"/>
    <x v="4"/>
    <x v="3"/>
    <x v="6"/>
    <x v="5"/>
    <x v="1"/>
    <n v="58"/>
    <x v="14"/>
    <x v="0"/>
  </r>
  <r>
    <n v="58032"/>
    <x v="37"/>
    <n v="0"/>
    <x v="7"/>
    <x v="7"/>
    <x v="0"/>
    <x v="6"/>
    <x v="5"/>
    <x v="1"/>
    <n v="59"/>
    <x v="7"/>
    <x v="0"/>
  </r>
  <r>
    <n v="58033"/>
    <x v="37"/>
    <n v="0"/>
    <x v="7"/>
    <x v="7"/>
    <x v="1"/>
    <x v="6"/>
    <x v="5"/>
    <x v="1"/>
    <n v="59"/>
    <x v="15"/>
    <x v="0"/>
  </r>
  <r>
    <n v="58034"/>
    <x v="37"/>
    <n v="0"/>
    <x v="0"/>
    <x v="0"/>
    <x v="0"/>
    <x v="6"/>
    <x v="5"/>
    <x v="1"/>
    <n v="59"/>
    <x v="0"/>
    <x v="0"/>
  </r>
  <r>
    <n v="58035"/>
    <x v="37"/>
    <n v="0"/>
    <x v="0"/>
    <x v="0"/>
    <x v="1"/>
    <x v="6"/>
    <x v="5"/>
    <x v="1"/>
    <n v="59"/>
    <x v="12"/>
    <x v="0"/>
  </r>
  <r>
    <n v="58036"/>
    <x v="37"/>
    <n v="0"/>
    <x v="1"/>
    <x v="1"/>
    <x v="1"/>
    <x v="6"/>
    <x v="5"/>
    <x v="1"/>
    <n v="59"/>
    <x v="1"/>
    <x v="0"/>
  </r>
  <r>
    <n v="58037"/>
    <x v="37"/>
    <n v="0"/>
    <x v="2"/>
    <x v="2"/>
    <x v="1"/>
    <x v="6"/>
    <x v="5"/>
    <x v="1"/>
    <n v="59"/>
    <x v="2"/>
    <x v="0"/>
  </r>
  <r>
    <n v="58038"/>
    <x v="37"/>
    <n v="0"/>
    <x v="8"/>
    <x v="8"/>
    <x v="0"/>
    <x v="6"/>
    <x v="5"/>
    <x v="1"/>
    <n v="59"/>
    <x v="8"/>
    <x v="0"/>
  </r>
  <r>
    <n v="58039"/>
    <x v="37"/>
    <n v="0"/>
    <x v="8"/>
    <x v="8"/>
    <x v="1"/>
    <x v="6"/>
    <x v="5"/>
    <x v="1"/>
    <n v="59"/>
    <x v="9"/>
    <x v="0"/>
  </r>
  <r>
    <n v="58040"/>
    <x v="37"/>
    <n v="20000"/>
    <x v="3"/>
    <x v="3"/>
    <x v="2"/>
    <x v="6"/>
    <x v="5"/>
    <x v="1"/>
    <n v="59"/>
    <x v="3"/>
    <x v="0"/>
  </r>
  <r>
    <n v="58041"/>
    <x v="37"/>
    <n v="20000"/>
    <x v="4"/>
    <x v="4"/>
    <x v="2"/>
    <x v="6"/>
    <x v="5"/>
    <x v="1"/>
    <n v="59"/>
    <x v="4"/>
    <x v="0"/>
  </r>
  <r>
    <n v="58042"/>
    <x v="37"/>
    <n v="0"/>
    <x v="9"/>
    <x v="9"/>
    <x v="0"/>
    <x v="6"/>
    <x v="5"/>
    <x v="1"/>
    <n v="59"/>
    <x v="10"/>
    <x v="0"/>
  </r>
  <r>
    <n v="58043"/>
    <x v="37"/>
    <n v="0"/>
    <x v="10"/>
    <x v="10"/>
    <x v="0"/>
    <x v="6"/>
    <x v="5"/>
    <x v="1"/>
    <n v="59"/>
    <x v="11"/>
    <x v="0"/>
  </r>
  <r>
    <n v="58044"/>
    <x v="37"/>
    <n v="0"/>
    <x v="12"/>
    <x v="12"/>
    <x v="1"/>
    <x v="6"/>
    <x v="5"/>
    <x v="1"/>
    <n v="59"/>
    <x v="16"/>
    <x v="0"/>
  </r>
  <r>
    <n v="58045"/>
    <x v="37"/>
    <n v="0"/>
    <x v="11"/>
    <x v="11"/>
    <x v="1"/>
    <x v="6"/>
    <x v="5"/>
    <x v="1"/>
    <n v="59"/>
    <x v="13"/>
    <x v="0"/>
  </r>
  <r>
    <n v="58046"/>
    <x v="37"/>
    <n v="0"/>
    <x v="5"/>
    <x v="5"/>
    <x v="1"/>
    <x v="6"/>
    <x v="5"/>
    <x v="1"/>
    <n v="59"/>
    <x v="5"/>
    <x v="0"/>
  </r>
  <r>
    <n v="58047"/>
    <x v="37"/>
    <n v="0"/>
    <x v="6"/>
    <x v="6"/>
    <x v="1"/>
    <x v="6"/>
    <x v="5"/>
    <x v="1"/>
    <n v="59"/>
    <x v="6"/>
    <x v="0"/>
  </r>
  <r>
    <n v="58048"/>
    <x v="37"/>
    <n v="20000"/>
    <x v="3"/>
    <x v="3"/>
    <x v="3"/>
    <x v="6"/>
    <x v="5"/>
    <x v="1"/>
    <n v="59"/>
    <x v="17"/>
    <x v="0"/>
  </r>
  <r>
    <n v="58049"/>
    <x v="37"/>
    <n v="20000"/>
    <x v="4"/>
    <x v="4"/>
    <x v="3"/>
    <x v="6"/>
    <x v="5"/>
    <x v="1"/>
    <n v="59"/>
    <x v="14"/>
    <x v="0"/>
  </r>
  <r>
    <n v="58050"/>
    <x v="38"/>
    <n v="0"/>
    <x v="7"/>
    <x v="7"/>
    <x v="0"/>
    <x v="6"/>
    <x v="5"/>
    <x v="1"/>
    <n v="60"/>
    <x v="7"/>
    <x v="0"/>
  </r>
  <r>
    <n v="58051"/>
    <x v="38"/>
    <n v="0"/>
    <x v="7"/>
    <x v="7"/>
    <x v="1"/>
    <x v="6"/>
    <x v="5"/>
    <x v="1"/>
    <n v="60"/>
    <x v="15"/>
    <x v="0"/>
  </r>
  <r>
    <n v="58052"/>
    <x v="38"/>
    <n v="0"/>
    <x v="0"/>
    <x v="0"/>
    <x v="0"/>
    <x v="6"/>
    <x v="5"/>
    <x v="1"/>
    <n v="60"/>
    <x v="0"/>
    <x v="0"/>
  </r>
  <r>
    <n v="58053"/>
    <x v="38"/>
    <n v="0"/>
    <x v="0"/>
    <x v="0"/>
    <x v="1"/>
    <x v="6"/>
    <x v="5"/>
    <x v="1"/>
    <n v="60"/>
    <x v="12"/>
    <x v="0"/>
  </r>
  <r>
    <n v="58054"/>
    <x v="38"/>
    <n v="0"/>
    <x v="1"/>
    <x v="1"/>
    <x v="1"/>
    <x v="6"/>
    <x v="5"/>
    <x v="1"/>
    <n v="60"/>
    <x v="1"/>
    <x v="0"/>
  </r>
  <r>
    <n v="58055"/>
    <x v="38"/>
    <n v="0"/>
    <x v="2"/>
    <x v="2"/>
    <x v="1"/>
    <x v="6"/>
    <x v="5"/>
    <x v="1"/>
    <n v="60"/>
    <x v="2"/>
    <x v="0"/>
  </r>
  <r>
    <n v="58056"/>
    <x v="38"/>
    <n v="0"/>
    <x v="8"/>
    <x v="8"/>
    <x v="0"/>
    <x v="6"/>
    <x v="5"/>
    <x v="1"/>
    <n v="60"/>
    <x v="8"/>
    <x v="0"/>
  </r>
  <r>
    <n v="58057"/>
    <x v="38"/>
    <n v="0"/>
    <x v="8"/>
    <x v="8"/>
    <x v="1"/>
    <x v="6"/>
    <x v="5"/>
    <x v="1"/>
    <n v="60"/>
    <x v="9"/>
    <x v="0"/>
  </r>
  <r>
    <n v="58058"/>
    <x v="38"/>
    <n v="20000"/>
    <x v="3"/>
    <x v="3"/>
    <x v="2"/>
    <x v="6"/>
    <x v="5"/>
    <x v="1"/>
    <n v="60"/>
    <x v="3"/>
    <x v="0"/>
  </r>
  <r>
    <n v="58059"/>
    <x v="38"/>
    <n v="20000"/>
    <x v="4"/>
    <x v="4"/>
    <x v="2"/>
    <x v="6"/>
    <x v="5"/>
    <x v="1"/>
    <n v="60"/>
    <x v="4"/>
    <x v="0"/>
  </r>
  <r>
    <n v="58060"/>
    <x v="38"/>
    <n v="0"/>
    <x v="9"/>
    <x v="9"/>
    <x v="0"/>
    <x v="6"/>
    <x v="5"/>
    <x v="1"/>
    <n v="60"/>
    <x v="10"/>
    <x v="0"/>
  </r>
  <r>
    <n v="58061"/>
    <x v="38"/>
    <n v="0"/>
    <x v="10"/>
    <x v="10"/>
    <x v="0"/>
    <x v="6"/>
    <x v="5"/>
    <x v="1"/>
    <n v="60"/>
    <x v="11"/>
    <x v="0"/>
  </r>
  <r>
    <n v="58062"/>
    <x v="38"/>
    <n v="0"/>
    <x v="12"/>
    <x v="12"/>
    <x v="1"/>
    <x v="6"/>
    <x v="5"/>
    <x v="1"/>
    <n v="60"/>
    <x v="16"/>
    <x v="0"/>
  </r>
  <r>
    <n v="58063"/>
    <x v="38"/>
    <n v="0"/>
    <x v="11"/>
    <x v="11"/>
    <x v="1"/>
    <x v="6"/>
    <x v="5"/>
    <x v="1"/>
    <n v="60"/>
    <x v="13"/>
    <x v="0"/>
  </r>
  <r>
    <n v="58064"/>
    <x v="38"/>
    <n v="0"/>
    <x v="5"/>
    <x v="5"/>
    <x v="1"/>
    <x v="6"/>
    <x v="5"/>
    <x v="1"/>
    <n v="60"/>
    <x v="5"/>
    <x v="0"/>
  </r>
  <r>
    <n v="58065"/>
    <x v="38"/>
    <n v="0"/>
    <x v="6"/>
    <x v="6"/>
    <x v="1"/>
    <x v="6"/>
    <x v="5"/>
    <x v="1"/>
    <n v="60"/>
    <x v="6"/>
    <x v="0"/>
  </r>
  <r>
    <n v="58066"/>
    <x v="38"/>
    <n v="20000"/>
    <x v="3"/>
    <x v="3"/>
    <x v="3"/>
    <x v="6"/>
    <x v="5"/>
    <x v="1"/>
    <n v="60"/>
    <x v="17"/>
    <x v="0"/>
  </r>
  <r>
    <n v="58067"/>
    <x v="38"/>
    <n v="20000"/>
    <x v="4"/>
    <x v="4"/>
    <x v="3"/>
    <x v="6"/>
    <x v="5"/>
    <x v="1"/>
    <n v="60"/>
    <x v="14"/>
    <x v="0"/>
  </r>
  <r>
    <n v="58068"/>
    <x v="39"/>
    <n v="0"/>
    <x v="7"/>
    <x v="7"/>
    <x v="0"/>
    <x v="6"/>
    <x v="5"/>
    <x v="1"/>
    <n v="61"/>
    <x v="7"/>
    <x v="0"/>
  </r>
  <r>
    <n v="58069"/>
    <x v="39"/>
    <n v="0"/>
    <x v="7"/>
    <x v="7"/>
    <x v="1"/>
    <x v="6"/>
    <x v="5"/>
    <x v="1"/>
    <n v="61"/>
    <x v="15"/>
    <x v="0"/>
  </r>
  <r>
    <n v="58070"/>
    <x v="39"/>
    <n v="0"/>
    <x v="0"/>
    <x v="0"/>
    <x v="0"/>
    <x v="6"/>
    <x v="5"/>
    <x v="1"/>
    <n v="61"/>
    <x v="0"/>
    <x v="0"/>
  </r>
  <r>
    <n v="58071"/>
    <x v="39"/>
    <n v="0"/>
    <x v="0"/>
    <x v="0"/>
    <x v="1"/>
    <x v="6"/>
    <x v="5"/>
    <x v="1"/>
    <n v="61"/>
    <x v="12"/>
    <x v="0"/>
  </r>
  <r>
    <n v="58072"/>
    <x v="39"/>
    <n v="0"/>
    <x v="1"/>
    <x v="1"/>
    <x v="1"/>
    <x v="6"/>
    <x v="5"/>
    <x v="1"/>
    <n v="61"/>
    <x v="1"/>
    <x v="0"/>
  </r>
  <r>
    <n v="58073"/>
    <x v="39"/>
    <n v="0"/>
    <x v="2"/>
    <x v="2"/>
    <x v="1"/>
    <x v="6"/>
    <x v="5"/>
    <x v="1"/>
    <n v="61"/>
    <x v="2"/>
    <x v="0"/>
  </r>
  <r>
    <n v="58074"/>
    <x v="39"/>
    <n v="0"/>
    <x v="8"/>
    <x v="8"/>
    <x v="0"/>
    <x v="6"/>
    <x v="5"/>
    <x v="1"/>
    <n v="61"/>
    <x v="8"/>
    <x v="0"/>
  </r>
  <r>
    <n v="58075"/>
    <x v="39"/>
    <n v="0"/>
    <x v="8"/>
    <x v="8"/>
    <x v="1"/>
    <x v="6"/>
    <x v="5"/>
    <x v="1"/>
    <n v="61"/>
    <x v="9"/>
    <x v="0"/>
  </r>
  <r>
    <n v="58076"/>
    <x v="39"/>
    <n v="20000"/>
    <x v="3"/>
    <x v="3"/>
    <x v="2"/>
    <x v="6"/>
    <x v="5"/>
    <x v="1"/>
    <n v="61"/>
    <x v="3"/>
    <x v="0"/>
  </r>
  <r>
    <n v="58077"/>
    <x v="39"/>
    <n v="20000"/>
    <x v="4"/>
    <x v="4"/>
    <x v="2"/>
    <x v="6"/>
    <x v="5"/>
    <x v="1"/>
    <n v="61"/>
    <x v="4"/>
    <x v="0"/>
  </r>
  <r>
    <n v="58078"/>
    <x v="39"/>
    <n v="0"/>
    <x v="9"/>
    <x v="9"/>
    <x v="0"/>
    <x v="6"/>
    <x v="5"/>
    <x v="1"/>
    <n v="61"/>
    <x v="10"/>
    <x v="0"/>
  </r>
  <r>
    <n v="58079"/>
    <x v="39"/>
    <n v="0"/>
    <x v="10"/>
    <x v="10"/>
    <x v="0"/>
    <x v="6"/>
    <x v="5"/>
    <x v="1"/>
    <n v="61"/>
    <x v="11"/>
    <x v="0"/>
  </r>
  <r>
    <n v="58080"/>
    <x v="39"/>
    <n v="0"/>
    <x v="12"/>
    <x v="12"/>
    <x v="1"/>
    <x v="6"/>
    <x v="5"/>
    <x v="1"/>
    <n v="61"/>
    <x v="16"/>
    <x v="0"/>
  </r>
  <r>
    <n v="58081"/>
    <x v="39"/>
    <n v="0"/>
    <x v="11"/>
    <x v="11"/>
    <x v="1"/>
    <x v="6"/>
    <x v="5"/>
    <x v="1"/>
    <n v="61"/>
    <x v="13"/>
    <x v="0"/>
  </r>
  <r>
    <n v="58082"/>
    <x v="39"/>
    <n v="0"/>
    <x v="5"/>
    <x v="5"/>
    <x v="1"/>
    <x v="6"/>
    <x v="5"/>
    <x v="1"/>
    <n v="61"/>
    <x v="5"/>
    <x v="0"/>
  </r>
  <r>
    <n v="58083"/>
    <x v="39"/>
    <n v="0"/>
    <x v="6"/>
    <x v="6"/>
    <x v="1"/>
    <x v="6"/>
    <x v="5"/>
    <x v="1"/>
    <n v="61"/>
    <x v="6"/>
    <x v="0"/>
  </r>
  <r>
    <n v="58084"/>
    <x v="39"/>
    <n v="20000"/>
    <x v="3"/>
    <x v="3"/>
    <x v="3"/>
    <x v="6"/>
    <x v="5"/>
    <x v="1"/>
    <n v="61"/>
    <x v="17"/>
    <x v="0"/>
  </r>
  <r>
    <n v="58085"/>
    <x v="39"/>
    <n v="20000"/>
    <x v="4"/>
    <x v="4"/>
    <x v="3"/>
    <x v="6"/>
    <x v="5"/>
    <x v="1"/>
    <n v="61"/>
    <x v="14"/>
    <x v="0"/>
  </r>
  <r>
    <n v="58086"/>
    <x v="40"/>
    <n v="0"/>
    <x v="7"/>
    <x v="7"/>
    <x v="0"/>
    <x v="6"/>
    <x v="5"/>
    <x v="1"/>
    <n v="62"/>
    <x v="7"/>
    <x v="0"/>
  </r>
  <r>
    <n v="58087"/>
    <x v="40"/>
    <n v="0"/>
    <x v="7"/>
    <x v="7"/>
    <x v="1"/>
    <x v="6"/>
    <x v="5"/>
    <x v="1"/>
    <n v="62"/>
    <x v="15"/>
    <x v="0"/>
  </r>
  <r>
    <n v="58088"/>
    <x v="40"/>
    <n v="0"/>
    <x v="0"/>
    <x v="0"/>
    <x v="0"/>
    <x v="6"/>
    <x v="5"/>
    <x v="1"/>
    <n v="62"/>
    <x v="0"/>
    <x v="0"/>
  </r>
  <r>
    <n v="58089"/>
    <x v="40"/>
    <n v="0"/>
    <x v="0"/>
    <x v="0"/>
    <x v="1"/>
    <x v="6"/>
    <x v="5"/>
    <x v="1"/>
    <n v="62"/>
    <x v="12"/>
    <x v="0"/>
  </r>
  <r>
    <n v="58090"/>
    <x v="40"/>
    <n v="0"/>
    <x v="1"/>
    <x v="1"/>
    <x v="1"/>
    <x v="6"/>
    <x v="5"/>
    <x v="1"/>
    <n v="62"/>
    <x v="1"/>
    <x v="0"/>
  </r>
  <r>
    <n v="58091"/>
    <x v="40"/>
    <n v="0"/>
    <x v="2"/>
    <x v="2"/>
    <x v="1"/>
    <x v="6"/>
    <x v="5"/>
    <x v="1"/>
    <n v="62"/>
    <x v="2"/>
    <x v="0"/>
  </r>
  <r>
    <n v="58092"/>
    <x v="40"/>
    <n v="0"/>
    <x v="8"/>
    <x v="8"/>
    <x v="0"/>
    <x v="6"/>
    <x v="5"/>
    <x v="1"/>
    <n v="62"/>
    <x v="8"/>
    <x v="0"/>
  </r>
  <r>
    <n v="58093"/>
    <x v="40"/>
    <n v="0"/>
    <x v="8"/>
    <x v="8"/>
    <x v="1"/>
    <x v="6"/>
    <x v="5"/>
    <x v="1"/>
    <n v="62"/>
    <x v="9"/>
    <x v="0"/>
  </r>
  <r>
    <n v="58094"/>
    <x v="40"/>
    <n v="20000"/>
    <x v="3"/>
    <x v="3"/>
    <x v="2"/>
    <x v="6"/>
    <x v="5"/>
    <x v="1"/>
    <n v="62"/>
    <x v="3"/>
    <x v="0"/>
  </r>
  <r>
    <n v="58095"/>
    <x v="40"/>
    <n v="20000"/>
    <x v="4"/>
    <x v="4"/>
    <x v="2"/>
    <x v="6"/>
    <x v="5"/>
    <x v="1"/>
    <n v="62"/>
    <x v="4"/>
    <x v="0"/>
  </r>
  <r>
    <n v="58096"/>
    <x v="40"/>
    <n v="0"/>
    <x v="9"/>
    <x v="9"/>
    <x v="0"/>
    <x v="6"/>
    <x v="5"/>
    <x v="1"/>
    <n v="62"/>
    <x v="10"/>
    <x v="0"/>
  </r>
  <r>
    <n v="58097"/>
    <x v="40"/>
    <n v="0"/>
    <x v="10"/>
    <x v="10"/>
    <x v="0"/>
    <x v="6"/>
    <x v="5"/>
    <x v="1"/>
    <n v="62"/>
    <x v="11"/>
    <x v="0"/>
  </r>
  <r>
    <n v="58098"/>
    <x v="40"/>
    <n v="0"/>
    <x v="12"/>
    <x v="12"/>
    <x v="1"/>
    <x v="6"/>
    <x v="5"/>
    <x v="1"/>
    <n v="62"/>
    <x v="16"/>
    <x v="0"/>
  </r>
  <r>
    <n v="58099"/>
    <x v="40"/>
    <n v="0"/>
    <x v="11"/>
    <x v="11"/>
    <x v="1"/>
    <x v="6"/>
    <x v="5"/>
    <x v="1"/>
    <n v="62"/>
    <x v="13"/>
    <x v="0"/>
  </r>
  <r>
    <n v="58100"/>
    <x v="40"/>
    <n v="0"/>
    <x v="5"/>
    <x v="5"/>
    <x v="1"/>
    <x v="6"/>
    <x v="5"/>
    <x v="1"/>
    <n v="62"/>
    <x v="5"/>
    <x v="0"/>
  </r>
  <r>
    <n v="58101"/>
    <x v="40"/>
    <n v="0"/>
    <x v="6"/>
    <x v="6"/>
    <x v="1"/>
    <x v="6"/>
    <x v="5"/>
    <x v="1"/>
    <n v="62"/>
    <x v="6"/>
    <x v="0"/>
  </r>
  <r>
    <n v="58102"/>
    <x v="40"/>
    <n v="20000"/>
    <x v="3"/>
    <x v="3"/>
    <x v="3"/>
    <x v="6"/>
    <x v="5"/>
    <x v="1"/>
    <n v="62"/>
    <x v="17"/>
    <x v="0"/>
  </r>
  <r>
    <n v="58103"/>
    <x v="40"/>
    <n v="20000"/>
    <x v="4"/>
    <x v="4"/>
    <x v="3"/>
    <x v="6"/>
    <x v="5"/>
    <x v="1"/>
    <n v="62"/>
    <x v="14"/>
    <x v="0"/>
  </r>
  <r>
    <n v="58104"/>
    <x v="41"/>
    <n v="0"/>
    <x v="7"/>
    <x v="7"/>
    <x v="0"/>
    <x v="6"/>
    <x v="5"/>
    <x v="1"/>
    <n v="63"/>
    <x v="7"/>
    <x v="0"/>
  </r>
  <r>
    <n v="58105"/>
    <x v="41"/>
    <n v="0"/>
    <x v="7"/>
    <x v="7"/>
    <x v="1"/>
    <x v="6"/>
    <x v="5"/>
    <x v="1"/>
    <n v="63"/>
    <x v="15"/>
    <x v="0"/>
  </r>
  <r>
    <n v="58106"/>
    <x v="41"/>
    <n v="0"/>
    <x v="0"/>
    <x v="0"/>
    <x v="0"/>
    <x v="6"/>
    <x v="5"/>
    <x v="1"/>
    <n v="63"/>
    <x v="0"/>
    <x v="0"/>
  </r>
  <r>
    <n v="58107"/>
    <x v="41"/>
    <n v="0"/>
    <x v="0"/>
    <x v="0"/>
    <x v="1"/>
    <x v="6"/>
    <x v="5"/>
    <x v="1"/>
    <n v="63"/>
    <x v="12"/>
    <x v="0"/>
  </r>
  <r>
    <n v="58108"/>
    <x v="41"/>
    <n v="0"/>
    <x v="1"/>
    <x v="1"/>
    <x v="1"/>
    <x v="6"/>
    <x v="5"/>
    <x v="1"/>
    <n v="63"/>
    <x v="1"/>
    <x v="0"/>
  </r>
  <r>
    <n v="58109"/>
    <x v="41"/>
    <n v="0"/>
    <x v="2"/>
    <x v="2"/>
    <x v="1"/>
    <x v="6"/>
    <x v="5"/>
    <x v="1"/>
    <n v="63"/>
    <x v="2"/>
    <x v="0"/>
  </r>
  <r>
    <n v="58110"/>
    <x v="41"/>
    <n v="0"/>
    <x v="8"/>
    <x v="8"/>
    <x v="0"/>
    <x v="6"/>
    <x v="5"/>
    <x v="1"/>
    <n v="63"/>
    <x v="8"/>
    <x v="0"/>
  </r>
  <r>
    <n v="58111"/>
    <x v="41"/>
    <n v="0"/>
    <x v="8"/>
    <x v="8"/>
    <x v="1"/>
    <x v="6"/>
    <x v="5"/>
    <x v="1"/>
    <n v="63"/>
    <x v="9"/>
    <x v="0"/>
  </r>
  <r>
    <n v="58112"/>
    <x v="41"/>
    <n v="20000"/>
    <x v="3"/>
    <x v="3"/>
    <x v="2"/>
    <x v="6"/>
    <x v="5"/>
    <x v="1"/>
    <n v="63"/>
    <x v="3"/>
    <x v="0"/>
  </r>
  <r>
    <n v="58113"/>
    <x v="41"/>
    <n v="20000"/>
    <x v="4"/>
    <x v="4"/>
    <x v="2"/>
    <x v="6"/>
    <x v="5"/>
    <x v="1"/>
    <n v="63"/>
    <x v="4"/>
    <x v="0"/>
  </r>
  <r>
    <n v="58114"/>
    <x v="41"/>
    <n v="0"/>
    <x v="9"/>
    <x v="9"/>
    <x v="0"/>
    <x v="6"/>
    <x v="5"/>
    <x v="1"/>
    <n v="63"/>
    <x v="10"/>
    <x v="0"/>
  </r>
  <r>
    <n v="58115"/>
    <x v="41"/>
    <n v="0"/>
    <x v="10"/>
    <x v="10"/>
    <x v="0"/>
    <x v="6"/>
    <x v="5"/>
    <x v="1"/>
    <n v="63"/>
    <x v="11"/>
    <x v="0"/>
  </r>
  <r>
    <n v="58116"/>
    <x v="41"/>
    <n v="0"/>
    <x v="12"/>
    <x v="12"/>
    <x v="1"/>
    <x v="6"/>
    <x v="5"/>
    <x v="1"/>
    <n v="63"/>
    <x v="16"/>
    <x v="0"/>
  </r>
  <r>
    <n v="58117"/>
    <x v="41"/>
    <n v="0"/>
    <x v="11"/>
    <x v="11"/>
    <x v="1"/>
    <x v="6"/>
    <x v="5"/>
    <x v="1"/>
    <n v="63"/>
    <x v="13"/>
    <x v="0"/>
  </r>
  <r>
    <n v="58118"/>
    <x v="41"/>
    <n v="0"/>
    <x v="5"/>
    <x v="5"/>
    <x v="1"/>
    <x v="6"/>
    <x v="5"/>
    <x v="1"/>
    <n v="63"/>
    <x v="5"/>
    <x v="0"/>
  </r>
  <r>
    <n v="58119"/>
    <x v="41"/>
    <n v="0"/>
    <x v="6"/>
    <x v="6"/>
    <x v="1"/>
    <x v="6"/>
    <x v="5"/>
    <x v="1"/>
    <n v="63"/>
    <x v="6"/>
    <x v="0"/>
  </r>
  <r>
    <n v="58120"/>
    <x v="41"/>
    <n v="20000"/>
    <x v="3"/>
    <x v="3"/>
    <x v="3"/>
    <x v="6"/>
    <x v="5"/>
    <x v="1"/>
    <n v="63"/>
    <x v="17"/>
    <x v="0"/>
  </r>
  <r>
    <n v="58121"/>
    <x v="41"/>
    <n v="20000"/>
    <x v="4"/>
    <x v="4"/>
    <x v="3"/>
    <x v="6"/>
    <x v="5"/>
    <x v="1"/>
    <n v="63"/>
    <x v="14"/>
    <x v="0"/>
  </r>
  <r>
    <n v="58122"/>
    <x v="42"/>
    <n v="0"/>
    <x v="7"/>
    <x v="7"/>
    <x v="0"/>
    <x v="6"/>
    <x v="5"/>
    <x v="1"/>
    <n v="64"/>
    <x v="7"/>
    <x v="0"/>
  </r>
  <r>
    <n v="58123"/>
    <x v="42"/>
    <n v="0"/>
    <x v="7"/>
    <x v="7"/>
    <x v="1"/>
    <x v="6"/>
    <x v="5"/>
    <x v="1"/>
    <n v="64"/>
    <x v="15"/>
    <x v="0"/>
  </r>
  <r>
    <n v="58124"/>
    <x v="42"/>
    <n v="0"/>
    <x v="0"/>
    <x v="0"/>
    <x v="0"/>
    <x v="6"/>
    <x v="5"/>
    <x v="1"/>
    <n v="64"/>
    <x v="0"/>
    <x v="0"/>
  </r>
  <r>
    <n v="58125"/>
    <x v="42"/>
    <n v="0"/>
    <x v="0"/>
    <x v="0"/>
    <x v="1"/>
    <x v="6"/>
    <x v="5"/>
    <x v="1"/>
    <n v="64"/>
    <x v="12"/>
    <x v="0"/>
  </r>
  <r>
    <n v="58126"/>
    <x v="42"/>
    <n v="0"/>
    <x v="1"/>
    <x v="1"/>
    <x v="1"/>
    <x v="6"/>
    <x v="5"/>
    <x v="1"/>
    <n v="64"/>
    <x v="1"/>
    <x v="0"/>
  </r>
  <r>
    <n v="58127"/>
    <x v="42"/>
    <n v="0"/>
    <x v="2"/>
    <x v="2"/>
    <x v="1"/>
    <x v="6"/>
    <x v="5"/>
    <x v="1"/>
    <n v="64"/>
    <x v="2"/>
    <x v="0"/>
  </r>
  <r>
    <n v="58128"/>
    <x v="42"/>
    <n v="0"/>
    <x v="8"/>
    <x v="8"/>
    <x v="0"/>
    <x v="6"/>
    <x v="5"/>
    <x v="1"/>
    <n v="64"/>
    <x v="8"/>
    <x v="0"/>
  </r>
  <r>
    <n v="58129"/>
    <x v="42"/>
    <n v="0"/>
    <x v="8"/>
    <x v="8"/>
    <x v="1"/>
    <x v="6"/>
    <x v="5"/>
    <x v="1"/>
    <n v="64"/>
    <x v="9"/>
    <x v="0"/>
  </r>
  <r>
    <n v="58130"/>
    <x v="42"/>
    <n v="20000"/>
    <x v="3"/>
    <x v="3"/>
    <x v="2"/>
    <x v="6"/>
    <x v="5"/>
    <x v="1"/>
    <n v="64"/>
    <x v="3"/>
    <x v="0"/>
  </r>
  <r>
    <n v="58131"/>
    <x v="42"/>
    <n v="20000"/>
    <x v="4"/>
    <x v="4"/>
    <x v="2"/>
    <x v="6"/>
    <x v="5"/>
    <x v="1"/>
    <n v="64"/>
    <x v="4"/>
    <x v="0"/>
  </r>
  <r>
    <n v="58132"/>
    <x v="42"/>
    <n v="0"/>
    <x v="9"/>
    <x v="9"/>
    <x v="0"/>
    <x v="6"/>
    <x v="5"/>
    <x v="1"/>
    <n v="64"/>
    <x v="10"/>
    <x v="0"/>
  </r>
  <r>
    <n v="58133"/>
    <x v="42"/>
    <n v="0"/>
    <x v="10"/>
    <x v="10"/>
    <x v="0"/>
    <x v="6"/>
    <x v="5"/>
    <x v="1"/>
    <n v="64"/>
    <x v="11"/>
    <x v="0"/>
  </r>
  <r>
    <n v="58134"/>
    <x v="42"/>
    <n v="0"/>
    <x v="12"/>
    <x v="12"/>
    <x v="1"/>
    <x v="6"/>
    <x v="5"/>
    <x v="1"/>
    <n v="64"/>
    <x v="16"/>
    <x v="0"/>
  </r>
  <r>
    <n v="58135"/>
    <x v="42"/>
    <n v="0"/>
    <x v="11"/>
    <x v="11"/>
    <x v="1"/>
    <x v="6"/>
    <x v="5"/>
    <x v="1"/>
    <n v="64"/>
    <x v="13"/>
    <x v="0"/>
  </r>
  <r>
    <n v="58136"/>
    <x v="42"/>
    <n v="0"/>
    <x v="5"/>
    <x v="5"/>
    <x v="1"/>
    <x v="6"/>
    <x v="5"/>
    <x v="1"/>
    <n v="64"/>
    <x v="5"/>
    <x v="0"/>
  </r>
  <r>
    <n v="58137"/>
    <x v="42"/>
    <n v="0"/>
    <x v="6"/>
    <x v="6"/>
    <x v="1"/>
    <x v="6"/>
    <x v="5"/>
    <x v="1"/>
    <n v="64"/>
    <x v="6"/>
    <x v="0"/>
  </r>
  <r>
    <n v="58138"/>
    <x v="42"/>
    <n v="20000"/>
    <x v="3"/>
    <x v="3"/>
    <x v="3"/>
    <x v="6"/>
    <x v="5"/>
    <x v="1"/>
    <n v="64"/>
    <x v="17"/>
    <x v="0"/>
  </r>
  <r>
    <n v="58139"/>
    <x v="42"/>
    <n v="20000"/>
    <x v="4"/>
    <x v="4"/>
    <x v="3"/>
    <x v="6"/>
    <x v="5"/>
    <x v="1"/>
    <n v="64"/>
    <x v="14"/>
    <x v="0"/>
  </r>
  <r>
    <n v="58140"/>
    <x v="43"/>
    <n v="0"/>
    <x v="7"/>
    <x v="7"/>
    <x v="0"/>
    <x v="6"/>
    <x v="5"/>
    <x v="1"/>
    <n v="65"/>
    <x v="7"/>
    <x v="0"/>
  </r>
  <r>
    <n v="58141"/>
    <x v="43"/>
    <n v="0"/>
    <x v="7"/>
    <x v="7"/>
    <x v="1"/>
    <x v="6"/>
    <x v="5"/>
    <x v="1"/>
    <n v="65"/>
    <x v="15"/>
    <x v="0"/>
  </r>
  <r>
    <n v="58142"/>
    <x v="43"/>
    <n v="0"/>
    <x v="0"/>
    <x v="0"/>
    <x v="0"/>
    <x v="6"/>
    <x v="5"/>
    <x v="1"/>
    <n v="65"/>
    <x v="0"/>
    <x v="0"/>
  </r>
  <r>
    <n v="58143"/>
    <x v="43"/>
    <n v="0"/>
    <x v="0"/>
    <x v="0"/>
    <x v="1"/>
    <x v="6"/>
    <x v="5"/>
    <x v="1"/>
    <n v="65"/>
    <x v="12"/>
    <x v="0"/>
  </r>
  <r>
    <n v="58144"/>
    <x v="43"/>
    <n v="0"/>
    <x v="1"/>
    <x v="1"/>
    <x v="1"/>
    <x v="6"/>
    <x v="5"/>
    <x v="1"/>
    <n v="65"/>
    <x v="1"/>
    <x v="0"/>
  </r>
  <r>
    <n v="58145"/>
    <x v="43"/>
    <n v="0"/>
    <x v="2"/>
    <x v="2"/>
    <x v="1"/>
    <x v="6"/>
    <x v="5"/>
    <x v="1"/>
    <n v="65"/>
    <x v="2"/>
    <x v="0"/>
  </r>
  <r>
    <n v="58146"/>
    <x v="43"/>
    <n v="0"/>
    <x v="8"/>
    <x v="8"/>
    <x v="0"/>
    <x v="6"/>
    <x v="5"/>
    <x v="1"/>
    <n v="65"/>
    <x v="8"/>
    <x v="0"/>
  </r>
  <r>
    <n v="58147"/>
    <x v="43"/>
    <n v="0"/>
    <x v="8"/>
    <x v="8"/>
    <x v="1"/>
    <x v="6"/>
    <x v="5"/>
    <x v="1"/>
    <n v="65"/>
    <x v="9"/>
    <x v="0"/>
  </r>
  <r>
    <n v="58148"/>
    <x v="43"/>
    <n v="20000"/>
    <x v="3"/>
    <x v="3"/>
    <x v="2"/>
    <x v="6"/>
    <x v="5"/>
    <x v="1"/>
    <n v="65"/>
    <x v="3"/>
    <x v="0"/>
  </r>
  <r>
    <n v="58149"/>
    <x v="43"/>
    <n v="20000"/>
    <x v="4"/>
    <x v="4"/>
    <x v="2"/>
    <x v="6"/>
    <x v="5"/>
    <x v="1"/>
    <n v="65"/>
    <x v="4"/>
    <x v="0"/>
  </r>
  <r>
    <n v="58150"/>
    <x v="43"/>
    <n v="0"/>
    <x v="9"/>
    <x v="9"/>
    <x v="0"/>
    <x v="6"/>
    <x v="5"/>
    <x v="1"/>
    <n v="65"/>
    <x v="10"/>
    <x v="0"/>
  </r>
  <r>
    <n v="58151"/>
    <x v="43"/>
    <n v="0"/>
    <x v="10"/>
    <x v="10"/>
    <x v="0"/>
    <x v="6"/>
    <x v="5"/>
    <x v="1"/>
    <n v="65"/>
    <x v="11"/>
    <x v="0"/>
  </r>
  <r>
    <n v="58152"/>
    <x v="43"/>
    <n v="0"/>
    <x v="12"/>
    <x v="12"/>
    <x v="1"/>
    <x v="6"/>
    <x v="5"/>
    <x v="1"/>
    <n v="65"/>
    <x v="16"/>
    <x v="0"/>
  </r>
  <r>
    <n v="58153"/>
    <x v="43"/>
    <n v="0"/>
    <x v="11"/>
    <x v="11"/>
    <x v="1"/>
    <x v="6"/>
    <x v="5"/>
    <x v="1"/>
    <n v="65"/>
    <x v="13"/>
    <x v="0"/>
  </r>
  <r>
    <n v="58154"/>
    <x v="43"/>
    <n v="0"/>
    <x v="5"/>
    <x v="5"/>
    <x v="1"/>
    <x v="6"/>
    <x v="5"/>
    <x v="1"/>
    <n v="65"/>
    <x v="5"/>
    <x v="0"/>
  </r>
  <r>
    <n v="58155"/>
    <x v="43"/>
    <n v="0"/>
    <x v="6"/>
    <x v="6"/>
    <x v="1"/>
    <x v="6"/>
    <x v="5"/>
    <x v="1"/>
    <n v="65"/>
    <x v="6"/>
    <x v="0"/>
  </r>
  <r>
    <n v="58156"/>
    <x v="43"/>
    <n v="20000"/>
    <x v="3"/>
    <x v="3"/>
    <x v="3"/>
    <x v="6"/>
    <x v="5"/>
    <x v="1"/>
    <n v="65"/>
    <x v="17"/>
    <x v="0"/>
  </r>
  <r>
    <n v="58157"/>
    <x v="43"/>
    <n v="20000"/>
    <x v="4"/>
    <x v="4"/>
    <x v="3"/>
    <x v="6"/>
    <x v="5"/>
    <x v="1"/>
    <n v="65"/>
    <x v="14"/>
    <x v="0"/>
  </r>
  <r>
    <n v="58158"/>
    <x v="44"/>
    <n v="0"/>
    <x v="7"/>
    <x v="7"/>
    <x v="0"/>
    <x v="10"/>
    <x v="5"/>
    <x v="1"/>
    <n v="66"/>
    <x v="7"/>
    <x v="0"/>
  </r>
  <r>
    <n v="58159"/>
    <x v="44"/>
    <n v="0"/>
    <x v="7"/>
    <x v="7"/>
    <x v="1"/>
    <x v="10"/>
    <x v="5"/>
    <x v="1"/>
    <n v="66"/>
    <x v="15"/>
    <x v="0"/>
  </r>
  <r>
    <n v="58160"/>
    <x v="44"/>
    <n v="0"/>
    <x v="0"/>
    <x v="0"/>
    <x v="0"/>
    <x v="10"/>
    <x v="5"/>
    <x v="1"/>
    <n v="66"/>
    <x v="0"/>
    <x v="0"/>
  </r>
  <r>
    <n v="58161"/>
    <x v="44"/>
    <n v="0"/>
    <x v="0"/>
    <x v="0"/>
    <x v="1"/>
    <x v="10"/>
    <x v="5"/>
    <x v="1"/>
    <n v="66"/>
    <x v="12"/>
    <x v="0"/>
  </r>
  <r>
    <n v="58162"/>
    <x v="44"/>
    <n v="0"/>
    <x v="1"/>
    <x v="1"/>
    <x v="1"/>
    <x v="10"/>
    <x v="5"/>
    <x v="1"/>
    <n v="66"/>
    <x v="1"/>
    <x v="0"/>
  </r>
  <r>
    <n v="58163"/>
    <x v="44"/>
    <n v="0"/>
    <x v="2"/>
    <x v="2"/>
    <x v="1"/>
    <x v="10"/>
    <x v="5"/>
    <x v="1"/>
    <n v="66"/>
    <x v="2"/>
    <x v="0"/>
  </r>
  <r>
    <n v="58164"/>
    <x v="44"/>
    <n v="0"/>
    <x v="8"/>
    <x v="8"/>
    <x v="0"/>
    <x v="10"/>
    <x v="5"/>
    <x v="1"/>
    <n v="66"/>
    <x v="8"/>
    <x v="0"/>
  </r>
  <r>
    <n v="58165"/>
    <x v="44"/>
    <n v="0"/>
    <x v="8"/>
    <x v="8"/>
    <x v="1"/>
    <x v="10"/>
    <x v="5"/>
    <x v="1"/>
    <n v="66"/>
    <x v="9"/>
    <x v="0"/>
  </r>
  <r>
    <n v="58166"/>
    <x v="44"/>
    <n v="20000"/>
    <x v="3"/>
    <x v="3"/>
    <x v="2"/>
    <x v="10"/>
    <x v="5"/>
    <x v="1"/>
    <n v="66"/>
    <x v="3"/>
    <x v="0"/>
  </r>
  <r>
    <n v="58167"/>
    <x v="44"/>
    <n v="20000"/>
    <x v="4"/>
    <x v="4"/>
    <x v="2"/>
    <x v="10"/>
    <x v="5"/>
    <x v="1"/>
    <n v="66"/>
    <x v="4"/>
    <x v="0"/>
  </r>
  <r>
    <n v="58168"/>
    <x v="44"/>
    <n v="0"/>
    <x v="9"/>
    <x v="9"/>
    <x v="0"/>
    <x v="10"/>
    <x v="5"/>
    <x v="1"/>
    <n v="66"/>
    <x v="10"/>
    <x v="0"/>
  </r>
  <r>
    <n v="58169"/>
    <x v="44"/>
    <n v="0"/>
    <x v="10"/>
    <x v="10"/>
    <x v="0"/>
    <x v="10"/>
    <x v="5"/>
    <x v="1"/>
    <n v="66"/>
    <x v="11"/>
    <x v="0"/>
  </r>
  <r>
    <n v="58170"/>
    <x v="44"/>
    <n v="0"/>
    <x v="12"/>
    <x v="12"/>
    <x v="1"/>
    <x v="10"/>
    <x v="5"/>
    <x v="1"/>
    <n v="66"/>
    <x v="16"/>
    <x v="0"/>
  </r>
  <r>
    <n v="58171"/>
    <x v="44"/>
    <n v="0"/>
    <x v="11"/>
    <x v="11"/>
    <x v="1"/>
    <x v="10"/>
    <x v="5"/>
    <x v="1"/>
    <n v="66"/>
    <x v="13"/>
    <x v="0"/>
  </r>
  <r>
    <n v="58172"/>
    <x v="44"/>
    <n v="0"/>
    <x v="5"/>
    <x v="5"/>
    <x v="1"/>
    <x v="10"/>
    <x v="5"/>
    <x v="1"/>
    <n v="66"/>
    <x v="5"/>
    <x v="0"/>
  </r>
  <r>
    <n v="58173"/>
    <x v="44"/>
    <n v="0"/>
    <x v="6"/>
    <x v="6"/>
    <x v="1"/>
    <x v="10"/>
    <x v="5"/>
    <x v="1"/>
    <n v="66"/>
    <x v="6"/>
    <x v="0"/>
  </r>
  <r>
    <n v="58174"/>
    <x v="44"/>
    <n v="20000"/>
    <x v="3"/>
    <x v="3"/>
    <x v="3"/>
    <x v="10"/>
    <x v="5"/>
    <x v="1"/>
    <n v="66"/>
    <x v="17"/>
    <x v="0"/>
  </r>
  <r>
    <n v="58175"/>
    <x v="44"/>
    <n v="20000"/>
    <x v="4"/>
    <x v="4"/>
    <x v="3"/>
    <x v="10"/>
    <x v="5"/>
    <x v="1"/>
    <n v="66"/>
    <x v="14"/>
    <x v="0"/>
  </r>
  <r>
    <n v="58176"/>
    <x v="45"/>
    <n v="0"/>
    <x v="7"/>
    <x v="7"/>
    <x v="0"/>
    <x v="10"/>
    <x v="5"/>
    <x v="1"/>
    <n v="67"/>
    <x v="7"/>
    <x v="0"/>
  </r>
  <r>
    <n v="58177"/>
    <x v="45"/>
    <n v="0"/>
    <x v="7"/>
    <x v="7"/>
    <x v="1"/>
    <x v="10"/>
    <x v="5"/>
    <x v="1"/>
    <n v="67"/>
    <x v="15"/>
    <x v="0"/>
  </r>
  <r>
    <n v="58178"/>
    <x v="45"/>
    <n v="0"/>
    <x v="0"/>
    <x v="0"/>
    <x v="0"/>
    <x v="10"/>
    <x v="5"/>
    <x v="1"/>
    <n v="67"/>
    <x v="0"/>
    <x v="0"/>
  </r>
  <r>
    <n v="58179"/>
    <x v="45"/>
    <n v="0"/>
    <x v="0"/>
    <x v="0"/>
    <x v="1"/>
    <x v="10"/>
    <x v="5"/>
    <x v="1"/>
    <n v="67"/>
    <x v="12"/>
    <x v="0"/>
  </r>
  <r>
    <n v="58180"/>
    <x v="45"/>
    <n v="0"/>
    <x v="1"/>
    <x v="1"/>
    <x v="1"/>
    <x v="10"/>
    <x v="5"/>
    <x v="1"/>
    <n v="67"/>
    <x v="1"/>
    <x v="0"/>
  </r>
  <r>
    <n v="58181"/>
    <x v="45"/>
    <n v="0"/>
    <x v="2"/>
    <x v="2"/>
    <x v="1"/>
    <x v="10"/>
    <x v="5"/>
    <x v="1"/>
    <n v="67"/>
    <x v="2"/>
    <x v="0"/>
  </r>
  <r>
    <n v="58182"/>
    <x v="45"/>
    <n v="0"/>
    <x v="8"/>
    <x v="8"/>
    <x v="0"/>
    <x v="10"/>
    <x v="5"/>
    <x v="1"/>
    <n v="67"/>
    <x v="8"/>
    <x v="0"/>
  </r>
  <r>
    <n v="58183"/>
    <x v="45"/>
    <n v="0"/>
    <x v="8"/>
    <x v="8"/>
    <x v="1"/>
    <x v="10"/>
    <x v="5"/>
    <x v="1"/>
    <n v="67"/>
    <x v="9"/>
    <x v="0"/>
  </r>
  <r>
    <n v="58184"/>
    <x v="45"/>
    <n v="20000"/>
    <x v="3"/>
    <x v="3"/>
    <x v="2"/>
    <x v="10"/>
    <x v="5"/>
    <x v="1"/>
    <n v="67"/>
    <x v="3"/>
    <x v="0"/>
  </r>
  <r>
    <n v="58185"/>
    <x v="45"/>
    <n v="20000"/>
    <x v="4"/>
    <x v="4"/>
    <x v="2"/>
    <x v="10"/>
    <x v="5"/>
    <x v="1"/>
    <n v="67"/>
    <x v="4"/>
    <x v="0"/>
  </r>
  <r>
    <n v="58186"/>
    <x v="45"/>
    <n v="0"/>
    <x v="9"/>
    <x v="9"/>
    <x v="0"/>
    <x v="10"/>
    <x v="5"/>
    <x v="1"/>
    <n v="67"/>
    <x v="10"/>
    <x v="0"/>
  </r>
  <r>
    <n v="58187"/>
    <x v="45"/>
    <n v="0"/>
    <x v="10"/>
    <x v="10"/>
    <x v="0"/>
    <x v="10"/>
    <x v="5"/>
    <x v="1"/>
    <n v="67"/>
    <x v="11"/>
    <x v="0"/>
  </r>
  <r>
    <n v="58188"/>
    <x v="45"/>
    <n v="0"/>
    <x v="12"/>
    <x v="12"/>
    <x v="1"/>
    <x v="10"/>
    <x v="5"/>
    <x v="1"/>
    <n v="67"/>
    <x v="16"/>
    <x v="0"/>
  </r>
  <r>
    <n v="58189"/>
    <x v="45"/>
    <n v="0"/>
    <x v="11"/>
    <x v="11"/>
    <x v="1"/>
    <x v="10"/>
    <x v="5"/>
    <x v="1"/>
    <n v="67"/>
    <x v="13"/>
    <x v="0"/>
  </r>
  <r>
    <n v="58190"/>
    <x v="45"/>
    <n v="0"/>
    <x v="5"/>
    <x v="5"/>
    <x v="1"/>
    <x v="10"/>
    <x v="5"/>
    <x v="1"/>
    <n v="67"/>
    <x v="5"/>
    <x v="0"/>
  </r>
  <r>
    <n v="58191"/>
    <x v="45"/>
    <n v="0"/>
    <x v="6"/>
    <x v="6"/>
    <x v="1"/>
    <x v="10"/>
    <x v="5"/>
    <x v="1"/>
    <n v="67"/>
    <x v="6"/>
    <x v="0"/>
  </r>
  <r>
    <n v="58192"/>
    <x v="45"/>
    <n v="20000"/>
    <x v="3"/>
    <x v="3"/>
    <x v="3"/>
    <x v="10"/>
    <x v="5"/>
    <x v="1"/>
    <n v="67"/>
    <x v="17"/>
    <x v="0"/>
  </r>
  <r>
    <n v="58193"/>
    <x v="45"/>
    <n v="20000"/>
    <x v="4"/>
    <x v="4"/>
    <x v="3"/>
    <x v="10"/>
    <x v="5"/>
    <x v="1"/>
    <n v="67"/>
    <x v="14"/>
    <x v="0"/>
  </r>
  <r>
    <n v="58194"/>
    <x v="46"/>
    <n v="0"/>
    <x v="7"/>
    <x v="7"/>
    <x v="0"/>
    <x v="10"/>
    <x v="5"/>
    <x v="1"/>
    <n v="68"/>
    <x v="7"/>
    <x v="0"/>
  </r>
  <r>
    <n v="58195"/>
    <x v="46"/>
    <n v="0"/>
    <x v="7"/>
    <x v="7"/>
    <x v="1"/>
    <x v="10"/>
    <x v="5"/>
    <x v="1"/>
    <n v="68"/>
    <x v="15"/>
    <x v="0"/>
  </r>
  <r>
    <n v="58196"/>
    <x v="46"/>
    <n v="0"/>
    <x v="0"/>
    <x v="0"/>
    <x v="0"/>
    <x v="10"/>
    <x v="5"/>
    <x v="1"/>
    <n v="68"/>
    <x v="0"/>
    <x v="0"/>
  </r>
  <r>
    <n v="58197"/>
    <x v="46"/>
    <n v="0"/>
    <x v="0"/>
    <x v="0"/>
    <x v="1"/>
    <x v="10"/>
    <x v="5"/>
    <x v="1"/>
    <n v="68"/>
    <x v="12"/>
    <x v="0"/>
  </r>
  <r>
    <n v="58198"/>
    <x v="46"/>
    <n v="0"/>
    <x v="1"/>
    <x v="1"/>
    <x v="1"/>
    <x v="10"/>
    <x v="5"/>
    <x v="1"/>
    <n v="68"/>
    <x v="1"/>
    <x v="0"/>
  </r>
  <r>
    <n v="58199"/>
    <x v="46"/>
    <n v="0"/>
    <x v="2"/>
    <x v="2"/>
    <x v="1"/>
    <x v="10"/>
    <x v="5"/>
    <x v="1"/>
    <n v="68"/>
    <x v="2"/>
    <x v="0"/>
  </r>
  <r>
    <n v="58200"/>
    <x v="46"/>
    <n v="0"/>
    <x v="8"/>
    <x v="8"/>
    <x v="0"/>
    <x v="10"/>
    <x v="5"/>
    <x v="1"/>
    <n v="68"/>
    <x v="8"/>
    <x v="0"/>
  </r>
  <r>
    <n v="58201"/>
    <x v="46"/>
    <n v="0"/>
    <x v="8"/>
    <x v="8"/>
    <x v="1"/>
    <x v="10"/>
    <x v="5"/>
    <x v="1"/>
    <n v="68"/>
    <x v="9"/>
    <x v="0"/>
  </r>
  <r>
    <n v="58202"/>
    <x v="46"/>
    <n v="20000"/>
    <x v="3"/>
    <x v="3"/>
    <x v="2"/>
    <x v="10"/>
    <x v="5"/>
    <x v="1"/>
    <n v="68"/>
    <x v="3"/>
    <x v="0"/>
  </r>
  <r>
    <n v="58203"/>
    <x v="46"/>
    <n v="20000"/>
    <x v="4"/>
    <x v="4"/>
    <x v="2"/>
    <x v="10"/>
    <x v="5"/>
    <x v="1"/>
    <n v="68"/>
    <x v="4"/>
    <x v="0"/>
  </r>
  <r>
    <n v="58204"/>
    <x v="46"/>
    <n v="0"/>
    <x v="9"/>
    <x v="9"/>
    <x v="0"/>
    <x v="10"/>
    <x v="5"/>
    <x v="1"/>
    <n v="68"/>
    <x v="10"/>
    <x v="0"/>
  </r>
  <r>
    <n v="58205"/>
    <x v="46"/>
    <n v="0"/>
    <x v="10"/>
    <x v="10"/>
    <x v="0"/>
    <x v="10"/>
    <x v="5"/>
    <x v="1"/>
    <n v="68"/>
    <x v="11"/>
    <x v="0"/>
  </r>
  <r>
    <n v="58206"/>
    <x v="46"/>
    <n v="0"/>
    <x v="12"/>
    <x v="12"/>
    <x v="1"/>
    <x v="10"/>
    <x v="5"/>
    <x v="1"/>
    <n v="68"/>
    <x v="16"/>
    <x v="0"/>
  </r>
  <r>
    <n v="58207"/>
    <x v="46"/>
    <n v="0"/>
    <x v="11"/>
    <x v="11"/>
    <x v="1"/>
    <x v="10"/>
    <x v="5"/>
    <x v="1"/>
    <n v="68"/>
    <x v="13"/>
    <x v="0"/>
  </r>
  <r>
    <n v="58208"/>
    <x v="46"/>
    <n v="0"/>
    <x v="5"/>
    <x v="5"/>
    <x v="1"/>
    <x v="10"/>
    <x v="5"/>
    <x v="1"/>
    <n v="68"/>
    <x v="5"/>
    <x v="0"/>
  </r>
  <r>
    <n v="58209"/>
    <x v="46"/>
    <n v="0"/>
    <x v="6"/>
    <x v="6"/>
    <x v="1"/>
    <x v="10"/>
    <x v="5"/>
    <x v="1"/>
    <n v="68"/>
    <x v="6"/>
    <x v="0"/>
  </r>
  <r>
    <n v="58210"/>
    <x v="46"/>
    <n v="20000"/>
    <x v="3"/>
    <x v="3"/>
    <x v="3"/>
    <x v="10"/>
    <x v="5"/>
    <x v="1"/>
    <n v="68"/>
    <x v="17"/>
    <x v="0"/>
  </r>
  <r>
    <n v="58211"/>
    <x v="46"/>
    <n v="20000"/>
    <x v="4"/>
    <x v="4"/>
    <x v="3"/>
    <x v="10"/>
    <x v="5"/>
    <x v="1"/>
    <n v="68"/>
    <x v="14"/>
    <x v="0"/>
  </r>
  <r>
    <n v="58212"/>
    <x v="47"/>
    <n v="0"/>
    <x v="7"/>
    <x v="7"/>
    <x v="0"/>
    <x v="10"/>
    <x v="5"/>
    <x v="1"/>
    <n v="69"/>
    <x v="7"/>
    <x v="0"/>
  </r>
  <r>
    <n v="58213"/>
    <x v="47"/>
    <n v="0"/>
    <x v="7"/>
    <x v="7"/>
    <x v="1"/>
    <x v="10"/>
    <x v="5"/>
    <x v="1"/>
    <n v="69"/>
    <x v="15"/>
    <x v="0"/>
  </r>
  <r>
    <n v="58214"/>
    <x v="47"/>
    <n v="0"/>
    <x v="0"/>
    <x v="0"/>
    <x v="0"/>
    <x v="10"/>
    <x v="5"/>
    <x v="1"/>
    <n v="69"/>
    <x v="0"/>
    <x v="0"/>
  </r>
  <r>
    <n v="58215"/>
    <x v="47"/>
    <n v="0"/>
    <x v="0"/>
    <x v="0"/>
    <x v="1"/>
    <x v="10"/>
    <x v="5"/>
    <x v="1"/>
    <n v="69"/>
    <x v="12"/>
    <x v="0"/>
  </r>
  <r>
    <n v="58216"/>
    <x v="47"/>
    <n v="0"/>
    <x v="1"/>
    <x v="1"/>
    <x v="1"/>
    <x v="10"/>
    <x v="5"/>
    <x v="1"/>
    <n v="69"/>
    <x v="1"/>
    <x v="0"/>
  </r>
  <r>
    <n v="58217"/>
    <x v="47"/>
    <n v="0"/>
    <x v="2"/>
    <x v="2"/>
    <x v="1"/>
    <x v="10"/>
    <x v="5"/>
    <x v="1"/>
    <n v="69"/>
    <x v="2"/>
    <x v="0"/>
  </r>
  <r>
    <n v="58218"/>
    <x v="47"/>
    <n v="0"/>
    <x v="8"/>
    <x v="8"/>
    <x v="0"/>
    <x v="10"/>
    <x v="5"/>
    <x v="1"/>
    <n v="69"/>
    <x v="8"/>
    <x v="0"/>
  </r>
  <r>
    <n v="58219"/>
    <x v="47"/>
    <n v="0"/>
    <x v="8"/>
    <x v="8"/>
    <x v="1"/>
    <x v="10"/>
    <x v="5"/>
    <x v="1"/>
    <n v="69"/>
    <x v="9"/>
    <x v="0"/>
  </r>
  <r>
    <n v="58220"/>
    <x v="47"/>
    <n v="20000"/>
    <x v="3"/>
    <x v="3"/>
    <x v="2"/>
    <x v="10"/>
    <x v="5"/>
    <x v="1"/>
    <n v="69"/>
    <x v="3"/>
    <x v="0"/>
  </r>
  <r>
    <n v="58221"/>
    <x v="47"/>
    <n v="20000"/>
    <x v="4"/>
    <x v="4"/>
    <x v="2"/>
    <x v="10"/>
    <x v="5"/>
    <x v="1"/>
    <n v="69"/>
    <x v="4"/>
    <x v="0"/>
  </r>
  <r>
    <n v="58222"/>
    <x v="47"/>
    <n v="0"/>
    <x v="9"/>
    <x v="9"/>
    <x v="0"/>
    <x v="10"/>
    <x v="5"/>
    <x v="1"/>
    <n v="69"/>
    <x v="10"/>
    <x v="0"/>
  </r>
  <r>
    <n v="58223"/>
    <x v="47"/>
    <n v="0"/>
    <x v="10"/>
    <x v="10"/>
    <x v="0"/>
    <x v="10"/>
    <x v="5"/>
    <x v="1"/>
    <n v="69"/>
    <x v="11"/>
    <x v="0"/>
  </r>
  <r>
    <n v="58224"/>
    <x v="47"/>
    <n v="0"/>
    <x v="12"/>
    <x v="12"/>
    <x v="1"/>
    <x v="10"/>
    <x v="5"/>
    <x v="1"/>
    <n v="69"/>
    <x v="16"/>
    <x v="0"/>
  </r>
  <r>
    <n v="58225"/>
    <x v="47"/>
    <n v="0"/>
    <x v="11"/>
    <x v="11"/>
    <x v="1"/>
    <x v="10"/>
    <x v="5"/>
    <x v="1"/>
    <n v="69"/>
    <x v="13"/>
    <x v="0"/>
  </r>
  <r>
    <n v="58226"/>
    <x v="47"/>
    <n v="0"/>
    <x v="5"/>
    <x v="5"/>
    <x v="1"/>
    <x v="10"/>
    <x v="5"/>
    <x v="1"/>
    <n v="69"/>
    <x v="5"/>
    <x v="0"/>
  </r>
  <r>
    <n v="58227"/>
    <x v="47"/>
    <n v="0"/>
    <x v="6"/>
    <x v="6"/>
    <x v="1"/>
    <x v="10"/>
    <x v="5"/>
    <x v="1"/>
    <n v="69"/>
    <x v="6"/>
    <x v="0"/>
  </r>
  <r>
    <n v="58228"/>
    <x v="47"/>
    <n v="20000"/>
    <x v="3"/>
    <x v="3"/>
    <x v="3"/>
    <x v="10"/>
    <x v="5"/>
    <x v="1"/>
    <n v="69"/>
    <x v="17"/>
    <x v="0"/>
  </r>
  <r>
    <n v="58229"/>
    <x v="47"/>
    <n v="20000"/>
    <x v="4"/>
    <x v="4"/>
    <x v="3"/>
    <x v="10"/>
    <x v="5"/>
    <x v="1"/>
    <n v="69"/>
    <x v="14"/>
    <x v="0"/>
  </r>
  <r>
    <n v="58230"/>
    <x v="48"/>
    <n v="0"/>
    <x v="7"/>
    <x v="7"/>
    <x v="0"/>
    <x v="11"/>
    <x v="5"/>
    <x v="1"/>
    <n v="70"/>
    <x v="7"/>
    <x v="0"/>
  </r>
  <r>
    <n v="58231"/>
    <x v="48"/>
    <n v="0"/>
    <x v="7"/>
    <x v="7"/>
    <x v="1"/>
    <x v="11"/>
    <x v="5"/>
    <x v="1"/>
    <n v="70"/>
    <x v="15"/>
    <x v="0"/>
  </r>
  <r>
    <n v="58232"/>
    <x v="48"/>
    <n v="0"/>
    <x v="0"/>
    <x v="0"/>
    <x v="0"/>
    <x v="11"/>
    <x v="5"/>
    <x v="1"/>
    <n v="70"/>
    <x v="0"/>
    <x v="0"/>
  </r>
  <r>
    <n v="58233"/>
    <x v="48"/>
    <n v="0"/>
    <x v="0"/>
    <x v="0"/>
    <x v="1"/>
    <x v="11"/>
    <x v="5"/>
    <x v="1"/>
    <n v="70"/>
    <x v="12"/>
    <x v="0"/>
  </r>
  <r>
    <n v="58234"/>
    <x v="48"/>
    <n v="0"/>
    <x v="1"/>
    <x v="1"/>
    <x v="1"/>
    <x v="11"/>
    <x v="5"/>
    <x v="1"/>
    <n v="70"/>
    <x v="1"/>
    <x v="0"/>
  </r>
  <r>
    <n v="58235"/>
    <x v="48"/>
    <n v="0"/>
    <x v="2"/>
    <x v="2"/>
    <x v="1"/>
    <x v="11"/>
    <x v="5"/>
    <x v="1"/>
    <n v="70"/>
    <x v="2"/>
    <x v="0"/>
  </r>
  <r>
    <n v="58236"/>
    <x v="48"/>
    <n v="0"/>
    <x v="8"/>
    <x v="8"/>
    <x v="0"/>
    <x v="11"/>
    <x v="5"/>
    <x v="1"/>
    <n v="70"/>
    <x v="8"/>
    <x v="0"/>
  </r>
  <r>
    <n v="58237"/>
    <x v="48"/>
    <n v="0"/>
    <x v="8"/>
    <x v="8"/>
    <x v="1"/>
    <x v="11"/>
    <x v="5"/>
    <x v="1"/>
    <n v="70"/>
    <x v="9"/>
    <x v="0"/>
  </r>
  <r>
    <n v="58238"/>
    <x v="48"/>
    <n v="20000"/>
    <x v="3"/>
    <x v="3"/>
    <x v="2"/>
    <x v="11"/>
    <x v="5"/>
    <x v="1"/>
    <n v="70"/>
    <x v="3"/>
    <x v="0"/>
  </r>
  <r>
    <n v="58239"/>
    <x v="48"/>
    <n v="20000"/>
    <x v="4"/>
    <x v="4"/>
    <x v="2"/>
    <x v="11"/>
    <x v="5"/>
    <x v="1"/>
    <n v="70"/>
    <x v="4"/>
    <x v="0"/>
  </r>
  <r>
    <n v="58240"/>
    <x v="48"/>
    <n v="0"/>
    <x v="9"/>
    <x v="9"/>
    <x v="0"/>
    <x v="11"/>
    <x v="5"/>
    <x v="1"/>
    <n v="70"/>
    <x v="10"/>
    <x v="0"/>
  </r>
  <r>
    <n v="58241"/>
    <x v="48"/>
    <n v="0"/>
    <x v="10"/>
    <x v="10"/>
    <x v="0"/>
    <x v="11"/>
    <x v="5"/>
    <x v="1"/>
    <n v="70"/>
    <x v="11"/>
    <x v="0"/>
  </r>
  <r>
    <n v="58242"/>
    <x v="48"/>
    <n v="0"/>
    <x v="12"/>
    <x v="12"/>
    <x v="1"/>
    <x v="11"/>
    <x v="5"/>
    <x v="1"/>
    <n v="70"/>
    <x v="16"/>
    <x v="0"/>
  </r>
  <r>
    <n v="58243"/>
    <x v="48"/>
    <n v="0"/>
    <x v="11"/>
    <x v="11"/>
    <x v="1"/>
    <x v="11"/>
    <x v="5"/>
    <x v="1"/>
    <n v="70"/>
    <x v="13"/>
    <x v="0"/>
  </r>
  <r>
    <n v="58244"/>
    <x v="48"/>
    <n v="0"/>
    <x v="5"/>
    <x v="5"/>
    <x v="1"/>
    <x v="11"/>
    <x v="5"/>
    <x v="1"/>
    <n v="70"/>
    <x v="5"/>
    <x v="0"/>
  </r>
  <r>
    <n v="58245"/>
    <x v="48"/>
    <n v="0"/>
    <x v="6"/>
    <x v="6"/>
    <x v="1"/>
    <x v="11"/>
    <x v="5"/>
    <x v="1"/>
    <n v="70"/>
    <x v="6"/>
    <x v="0"/>
  </r>
  <r>
    <n v="58246"/>
    <x v="48"/>
    <n v="20000"/>
    <x v="3"/>
    <x v="3"/>
    <x v="3"/>
    <x v="11"/>
    <x v="5"/>
    <x v="1"/>
    <n v="70"/>
    <x v="17"/>
    <x v="0"/>
  </r>
  <r>
    <n v="58247"/>
    <x v="48"/>
    <n v="20000"/>
    <x v="4"/>
    <x v="4"/>
    <x v="3"/>
    <x v="11"/>
    <x v="5"/>
    <x v="1"/>
    <n v="70"/>
    <x v="14"/>
    <x v="0"/>
  </r>
  <r>
    <n v="57544"/>
    <x v="9"/>
    <n v="10000"/>
    <x v="3"/>
    <x v="3"/>
    <x v="3"/>
    <x v="4"/>
    <x v="4"/>
    <x v="1"/>
    <n v="28"/>
    <x v="17"/>
    <x v="0"/>
  </r>
  <r>
    <n v="57616"/>
    <x v="13"/>
    <n v="10000"/>
    <x v="3"/>
    <x v="3"/>
    <x v="3"/>
    <x v="4"/>
    <x v="4"/>
    <x v="1"/>
    <n v="32"/>
    <x v="17"/>
    <x v="0"/>
  </r>
  <r>
    <n v="57490"/>
    <x v="6"/>
    <n v="25000"/>
    <x v="3"/>
    <x v="3"/>
    <x v="3"/>
    <x v="4"/>
    <x v="4"/>
    <x v="1"/>
    <n v="25"/>
    <x v="17"/>
    <x v="0"/>
  </r>
  <r>
    <n v="57778"/>
    <x v="22"/>
    <n v="19900"/>
    <x v="3"/>
    <x v="3"/>
    <x v="3"/>
    <x v="6"/>
    <x v="4"/>
    <x v="1"/>
    <n v="44"/>
    <x v="17"/>
    <x v="0"/>
  </r>
  <r>
    <n v="57472"/>
    <x v="4"/>
    <n v="20423"/>
    <x v="3"/>
    <x v="3"/>
    <x v="3"/>
    <x v="3"/>
    <x v="3"/>
    <x v="0"/>
    <n v="38"/>
    <x v="17"/>
    <x v="0"/>
  </r>
  <r>
    <n v="57436"/>
    <x v="5"/>
    <n v="33389"/>
    <x v="3"/>
    <x v="3"/>
    <x v="3"/>
    <x v="3"/>
    <x v="3"/>
    <x v="0"/>
    <n v="36"/>
    <x v="17"/>
    <x v="0"/>
  </r>
  <r>
    <n v="57364"/>
    <x v="1"/>
    <n v="20894"/>
    <x v="3"/>
    <x v="3"/>
    <x v="3"/>
    <x v="0"/>
    <x v="0"/>
    <x v="0"/>
    <n v="21"/>
    <x v="17"/>
    <x v="0"/>
  </r>
  <r>
    <n v="57688"/>
    <x v="17"/>
    <n v="16667"/>
    <x v="3"/>
    <x v="3"/>
    <x v="3"/>
    <x v="5"/>
    <x v="4"/>
    <x v="1"/>
    <n v="39"/>
    <x v="17"/>
    <x v="0"/>
  </r>
  <r>
    <n v="57418"/>
    <x v="4"/>
    <n v="16376"/>
    <x v="3"/>
    <x v="3"/>
    <x v="3"/>
    <x v="2"/>
    <x v="2"/>
    <x v="0"/>
    <n v="24"/>
    <x v="17"/>
    <x v="0"/>
  </r>
  <r>
    <n v="57346"/>
    <x v="0"/>
    <n v="74200"/>
    <x v="3"/>
    <x v="3"/>
    <x v="3"/>
    <x v="0"/>
    <x v="0"/>
    <x v="0"/>
    <n v="20"/>
    <x v="17"/>
    <x v="0"/>
  </r>
  <r>
    <n v="57562"/>
    <x v="10"/>
    <n v="26000"/>
    <x v="3"/>
    <x v="3"/>
    <x v="3"/>
    <x v="4"/>
    <x v="4"/>
    <x v="1"/>
    <n v="29"/>
    <x v="1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1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1"/>
        <item sd="0" x="3"/>
        <item sd="0" x="4"/>
        <item x="5"/>
        <item x="8"/>
        <item x="0"/>
        <item x="10"/>
        <item x="6"/>
        <item x="9"/>
        <item x="1"/>
        <item x="7"/>
        <item x="12"/>
        <item m="1" x="1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6"/>
        <item x="7"/>
        <item n="(blank)" m="1" x="13"/>
        <item x="3"/>
        <item x="4"/>
        <item x="8"/>
        <item x="9"/>
        <item x="10"/>
        <item x="0"/>
        <item x="12"/>
        <item x="11"/>
        <item x="5"/>
        <item x="1"/>
        <item m="1" x="1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8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nxt_reporter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5.xml><?xml version="1.0" encoding="utf-8"?>
<queryTable xmlns="http://schemas.openxmlformats.org/spreadsheetml/2006/main" name="postgres tructhuoc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6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topLeftCell="E1" zoomScaleNormal="100" workbookViewId="0">
      <pane xSplit="3" topLeftCell="H1" activePane="topRight" state="frozen"/>
      <selection activeCell="E1" sqref="E1"/>
      <selection pane="topRight" activeCell="E16" sqref="A16:XFD16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15.140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x14ac:dyDescent="0.25">
      <c r="A3" s="44"/>
      <c r="B3" s="45"/>
      <c r="C3" s="44"/>
      <c r="D3" s="44"/>
      <c r="E3" s="44"/>
      <c r="F3" s="45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9"/>
      <c r="V3" s="9"/>
      <c r="W3" s="9"/>
      <c r="X3" s="9"/>
      <c r="Y3" s="9"/>
      <c r="Z3" s="9"/>
      <c r="AA3" s="9"/>
    </row>
    <row r="4" spans="1:66" x14ac:dyDescent="0.25">
      <c r="A4" s="44"/>
      <c r="B4" s="45"/>
      <c r="C4" s="44"/>
      <c r="D4" s="44"/>
      <c r="E4" s="44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9"/>
      <c r="V4" s="9"/>
      <c r="W4" s="9"/>
      <c r="X4" s="9"/>
      <c r="Y4" s="9"/>
      <c r="Z4" s="9"/>
      <c r="AA4" s="9"/>
    </row>
    <row r="5" spans="1:66" x14ac:dyDescent="0.25">
      <c r="A5" s="44"/>
      <c r="B5" s="45"/>
      <c r="C5" s="44"/>
      <c r="D5" s="44"/>
      <c r="E5" s="44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9"/>
      <c r="V5" s="9"/>
      <c r="W5" s="9"/>
      <c r="X5" s="9"/>
      <c r="Y5" s="9"/>
      <c r="Z5" s="9"/>
      <c r="AA5" s="9"/>
    </row>
    <row r="6" spans="1:66" ht="15.75" x14ac:dyDescent="0.25">
      <c r="C6" s="9"/>
      <c r="D6" s="9"/>
      <c r="E6" s="9"/>
      <c r="F6" s="55" t="s">
        <v>274</v>
      </c>
      <c r="G6" s="55" t="s">
        <v>273</v>
      </c>
      <c r="H6" s="46" t="str">
        <f>IF(H10="",$F$6, IF(ISNUMBER(SEARCH("Sum", H10)), "Tổng", H10))</f>
        <v>Tồn đầu kỳ</v>
      </c>
      <c r="I6" s="46" t="str">
        <f t="shared" ref="I6:AE6" si="0">IF(I10="",$F$6, IF(ISNUMBER(SEARCH("Sum", I10)), "Tổng", I10))</f>
        <v>Tồn đầu kỳ</v>
      </c>
      <c r="J6" s="46" t="str">
        <f t="shared" si="0"/>
        <v>Tổng</v>
      </c>
      <c r="K6" s="46" t="str">
        <f t="shared" si="0"/>
        <v>Nhập</v>
      </c>
      <c r="L6" s="46" t="str">
        <f t="shared" si="0"/>
        <v>Nhập</v>
      </c>
      <c r="M6" s="46" t="str">
        <f t="shared" si="0"/>
        <v>Nhập</v>
      </c>
      <c r="N6" s="46" t="str">
        <f t="shared" si="0"/>
        <v>Nhập</v>
      </c>
      <c r="O6" s="46" t="str">
        <f t="shared" si="0"/>
        <v>Nhập</v>
      </c>
      <c r="P6" s="46" t="str">
        <f t="shared" si="0"/>
        <v>Tổng</v>
      </c>
      <c r="Q6" s="46" t="str">
        <f t="shared" si="0"/>
        <v>Xuất</v>
      </c>
      <c r="R6" s="46" t="str">
        <f t="shared" si="0"/>
        <v>Xuất</v>
      </c>
      <c r="S6" s="46" t="str">
        <f t="shared" si="0"/>
        <v>Xuất</v>
      </c>
      <c r="T6" s="46" t="str">
        <f t="shared" si="0"/>
        <v>Xuất</v>
      </c>
      <c r="U6" s="46" t="str">
        <f t="shared" si="0"/>
        <v>Xuất</v>
      </c>
      <c r="V6" s="46" t="str">
        <f t="shared" si="0"/>
        <v>Xuất</v>
      </c>
      <c r="W6" s="46" t="str">
        <f t="shared" si="0"/>
        <v>Xuất</v>
      </c>
      <c r="X6" s="46" t="str">
        <f t="shared" si="0"/>
        <v>Xuất</v>
      </c>
      <c r="Y6" s="46" t="str">
        <f t="shared" si="0"/>
        <v>Xuất</v>
      </c>
      <c r="Z6" s="46" t="str">
        <f t="shared" si="0"/>
        <v>Tổng</v>
      </c>
      <c r="AA6" s="46" t="str">
        <f t="shared" si="0"/>
        <v>Tồn cuối kỳ</v>
      </c>
      <c r="AB6" s="46" t="str">
        <f t="shared" si="0"/>
        <v>Tồn cuối kỳ</v>
      </c>
      <c r="AC6" s="46" t="str">
        <f t="shared" si="0"/>
        <v>Tổng</v>
      </c>
      <c r="AD6" s="46" t="str">
        <f t="shared" si="0"/>
        <v>TT</v>
      </c>
      <c r="AE6" s="46" t="str">
        <f t="shared" si="0"/>
        <v>TT</v>
      </c>
    </row>
    <row r="7" spans="1:66" ht="15.75" customHeight="1" x14ac:dyDescent="0.25">
      <c r="C7" s="9"/>
      <c r="D7" s="9"/>
      <c r="E7" s="9"/>
      <c r="F7" s="55"/>
      <c r="G7" s="55"/>
      <c r="H7" s="46" t="str">
        <f t="shared" ref="H7:AE7" si="1">IF(H11="",$F$6, IF(ISNUMBER(SEARCH("Sum", H11)), "Tổng", H11))</f>
        <v>DT cho NV đột xuất</v>
      </c>
      <c r="I7" s="46" t="str">
        <f t="shared" si="1"/>
        <v>DT SSCD</v>
      </c>
      <c r="J7" s="46" t="str">
        <f t="shared" si="1"/>
        <v>TT</v>
      </c>
      <c r="K7" s="46" t="str">
        <f t="shared" si="1"/>
        <v>Nhập khác</v>
      </c>
      <c r="L7" s="46" t="str">
        <f t="shared" si="1"/>
        <v>CXD</v>
      </c>
      <c r="M7" s="46" t="str">
        <f t="shared" si="1"/>
        <v>QC</v>
      </c>
      <c r="N7" s="46" t="str">
        <f t="shared" si="1"/>
        <v>Mua P/cấp</v>
      </c>
      <c r="O7" s="46" t="str">
        <f t="shared" si="1"/>
        <v>Khác</v>
      </c>
      <c r="P7" s="46" t="str">
        <f t="shared" si="1"/>
        <v>TT</v>
      </c>
      <c r="Q7" s="46" t="str">
        <f t="shared" si="1"/>
        <v>Xuất khác</v>
      </c>
      <c r="R7" s="46" t="str">
        <f t="shared" si="1"/>
        <v>Nhập khác</v>
      </c>
      <c r="S7" s="46" t="str">
        <f t="shared" si="1"/>
        <v>CXD</v>
      </c>
      <c r="T7" s="46" t="str">
        <f t="shared" si="1"/>
        <v>Khác</v>
      </c>
      <c r="U7" s="46" t="str">
        <f t="shared" si="1"/>
        <v>TT Xe máy</v>
      </c>
      <c r="V7" s="46" t="str">
        <f t="shared" si="1"/>
        <v>BQ</v>
      </c>
      <c r="W7" s="46" t="str">
        <f t="shared" si="1"/>
        <v>Hao hụt</v>
      </c>
      <c r="X7" s="46" t="str">
        <f t="shared" si="1"/>
        <v>Tổn thất</v>
      </c>
      <c r="Y7" s="46" t="str">
        <f t="shared" si="1"/>
        <v>f nội bộ</v>
      </c>
      <c r="Z7" s="46" t="str">
        <f t="shared" si="1"/>
        <v>TT</v>
      </c>
      <c r="AA7" s="46" t="str">
        <f t="shared" si="1"/>
        <v>DT cho NV đột xuất</v>
      </c>
      <c r="AB7" s="46" t="str">
        <f t="shared" si="1"/>
        <v>DT SSCD</v>
      </c>
      <c r="AC7" s="46" t="str">
        <f t="shared" si="1"/>
        <v>TT</v>
      </c>
      <c r="AD7" s="46" t="str">
        <f t="shared" si="1"/>
        <v>TT</v>
      </c>
      <c r="AE7" s="46" t="str">
        <f t="shared" si="1"/>
        <v>TT</v>
      </c>
    </row>
    <row r="8" spans="1:66" ht="15.75" x14ac:dyDescent="0.25">
      <c r="C8" s="9"/>
      <c r="D8" s="9"/>
      <c r="E8" s="9"/>
      <c r="F8" s="55"/>
      <c r="G8" s="55"/>
      <c r="H8" s="46" t="str">
        <f t="shared" ref="H8:AE8" si="2">IF(H12="",$F$6, IF(ISNUMBER(SEARCH("Sum", H12)), "Tổng", H12))</f>
        <v>DT cho NV đột xuất</v>
      </c>
      <c r="I8" s="46" t="str">
        <f t="shared" si="2"/>
        <v>DT SSCD</v>
      </c>
      <c r="J8" s="46" t="str">
        <f t="shared" si="2"/>
        <v>TT</v>
      </c>
      <c r="K8" s="46" t="str">
        <f t="shared" si="2"/>
        <v>Trong QC</v>
      </c>
      <c r="L8" s="46" t="str">
        <f t="shared" si="2"/>
        <v>CXD</v>
      </c>
      <c r="M8" s="46" t="str">
        <f t="shared" si="2"/>
        <v>QC</v>
      </c>
      <c r="N8" s="46" t="str">
        <f t="shared" si="2"/>
        <v>Mua P/cấp</v>
      </c>
      <c r="O8" s="46" t="str">
        <f t="shared" si="2"/>
        <v>Khác</v>
      </c>
      <c r="P8" s="46" t="str">
        <f t="shared" si="2"/>
        <v>TT</v>
      </c>
      <c r="Q8" s="46" t="str">
        <f t="shared" si="2"/>
        <v>Ngoài QC</v>
      </c>
      <c r="R8" s="46" t="str">
        <f t="shared" si="2"/>
        <v>Trong QC</v>
      </c>
      <c r="S8" s="46" t="str">
        <f t="shared" si="2"/>
        <v>CXD</v>
      </c>
      <c r="T8" s="46" t="str">
        <f t="shared" si="2"/>
        <v>Khác</v>
      </c>
      <c r="U8" s="46" t="str">
        <f t="shared" si="2"/>
        <v>TT Xe máy</v>
      </c>
      <c r="V8" s="46" t="str">
        <f t="shared" si="2"/>
        <v>BQ</v>
      </c>
      <c r="W8" s="46" t="str">
        <f t="shared" si="2"/>
        <v>Hao hụt</v>
      </c>
      <c r="X8" s="46" t="str">
        <f t="shared" si="2"/>
        <v>Tổn thất</v>
      </c>
      <c r="Y8" s="46" t="str">
        <f t="shared" si="2"/>
        <v>F nội bộ</v>
      </c>
      <c r="Z8" s="46" t="str">
        <f t="shared" si="2"/>
        <v>TT</v>
      </c>
      <c r="AA8" s="46" t="str">
        <f t="shared" si="2"/>
        <v>DT cho NV đột xuất</v>
      </c>
      <c r="AB8" s="46" t="str">
        <f t="shared" si="2"/>
        <v>DT SSCD</v>
      </c>
      <c r="AC8" s="46" t="str">
        <f t="shared" si="2"/>
        <v>TT</v>
      </c>
      <c r="AD8" s="46" t="str">
        <f t="shared" si="2"/>
        <v>TT</v>
      </c>
      <c r="AE8" s="46" t="str">
        <f t="shared" si="2"/>
        <v>TT</v>
      </c>
    </row>
    <row r="9" spans="1:66" ht="19.5" hidden="1" customHeight="1" x14ac:dyDescent="0.25">
      <c r="F9" s="20"/>
      <c r="G9" s="38" t="s">
        <v>273</v>
      </c>
      <c r="H9" s="38" t="s">
        <v>216</v>
      </c>
      <c r="I9" s="48"/>
      <c r="J9" s="48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48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8" customFormat="1" hidden="1" x14ac:dyDescent="0.25">
      <c r="A10" s="13"/>
      <c r="B10" s="12"/>
      <c r="F10" s="21"/>
      <c r="G10" s="48"/>
      <c r="H10" s="51" t="s">
        <v>267</v>
      </c>
      <c r="I10" s="52" t="s">
        <v>267</v>
      </c>
      <c r="J10" s="53" t="s">
        <v>269</v>
      </c>
      <c r="K10" s="51" t="s">
        <v>265</v>
      </c>
      <c r="L10" s="54" t="s">
        <v>265</v>
      </c>
      <c r="M10" s="54" t="s">
        <v>265</v>
      </c>
      <c r="N10" s="54" t="s">
        <v>265</v>
      </c>
      <c r="O10" s="52" t="s">
        <v>265</v>
      </c>
      <c r="P10" s="53" t="s">
        <v>270</v>
      </c>
      <c r="Q10" s="51" t="s">
        <v>268</v>
      </c>
      <c r="R10" s="54" t="s">
        <v>268</v>
      </c>
      <c r="S10" s="54" t="s">
        <v>268</v>
      </c>
      <c r="T10" s="54" t="s">
        <v>268</v>
      </c>
      <c r="U10" s="54" t="s">
        <v>268</v>
      </c>
      <c r="V10" s="54" t="s">
        <v>268</v>
      </c>
      <c r="W10" s="54" t="s">
        <v>268</v>
      </c>
      <c r="X10" s="54" t="s">
        <v>268</v>
      </c>
      <c r="Y10" s="52" t="s">
        <v>268</v>
      </c>
      <c r="Z10" s="53" t="s">
        <v>271</v>
      </c>
      <c r="AA10" s="51" t="s">
        <v>266</v>
      </c>
      <c r="AB10" s="52" t="s">
        <v>266</v>
      </c>
      <c r="AC10" s="53" t="s">
        <v>272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8" customFormat="1" hidden="1" x14ac:dyDescent="0.25">
      <c r="A11" s="14"/>
      <c r="B11" s="12"/>
      <c r="F11" s="21"/>
      <c r="G11" s="48"/>
      <c r="H11" s="47" t="s">
        <v>247</v>
      </c>
      <c r="I11" s="49" t="s">
        <v>248</v>
      </c>
      <c r="J11" s="52"/>
      <c r="K11" s="47" t="s">
        <v>263</v>
      </c>
      <c r="L11" s="47" t="s">
        <v>246</v>
      </c>
      <c r="M11" s="47" t="s">
        <v>250</v>
      </c>
      <c r="N11" s="47" t="s">
        <v>249</v>
      </c>
      <c r="O11" s="49" t="s">
        <v>150</v>
      </c>
      <c r="P11" s="52"/>
      <c r="Q11" s="49" t="s">
        <v>264</v>
      </c>
      <c r="R11" s="47" t="s">
        <v>263</v>
      </c>
      <c r="S11" s="47" t="s">
        <v>246</v>
      </c>
      <c r="T11" s="47" t="s">
        <v>150</v>
      </c>
      <c r="U11" s="47" t="s">
        <v>251</v>
      </c>
      <c r="V11" s="47" t="s">
        <v>245</v>
      </c>
      <c r="W11" s="47" t="s">
        <v>160</v>
      </c>
      <c r="X11" s="49" t="s">
        <v>155</v>
      </c>
      <c r="Y11" s="47" t="s">
        <v>291</v>
      </c>
      <c r="Z11" s="52"/>
      <c r="AA11" s="47" t="s">
        <v>247</v>
      </c>
      <c r="AB11" s="49" t="s">
        <v>248</v>
      </c>
      <c r="AC11" s="52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8" customFormat="1" hidden="1" x14ac:dyDescent="0.25">
      <c r="A12" s="14"/>
      <c r="B12" s="12"/>
      <c r="F12" s="23"/>
      <c r="G12" s="38" t="s">
        <v>273</v>
      </c>
      <c r="H12" s="49" t="s">
        <v>247</v>
      </c>
      <c r="I12" s="49" t="s">
        <v>248</v>
      </c>
      <c r="J12" s="52"/>
      <c r="K12" s="49" t="s">
        <v>152</v>
      </c>
      <c r="L12" s="49" t="s">
        <v>246</v>
      </c>
      <c r="M12" s="49" t="s">
        <v>250</v>
      </c>
      <c r="N12" s="49" t="s">
        <v>249</v>
      </c>
      <c r="O12" s="49" t="s">
        <v>150</v>
      </c>
      <c r="P12" s="52"/>
      <c r="Q12" s="49" t="s">
        <v>154</v>
      </c>
      <c r="R12" s="47" t="s">
        <v>152</v>
      </c>
      <c r="S12" s="47" t="s">
        <v>246</v>
      </c>
      <c r="T12" s="49" t="s">
        <v>150</v>
      </c>
      <c r="U12" s="49" t="s">
        <v>251</v>
      </c>
      <c r="V12" s="49" t="s">
        <v>245</v>
      </c>
      <c r="W12" s="49" t="s">
        <v>160</v>
      </c>
      <c r="X12" s="49" t="s">
        <v>155</v>
      </c>
      <c r="Y12" s="47" t="s">
        <v>292</v>
      </c>
      <c r="Z12" s="52"/>
      <c r="AA12" s="49" t="s">
        <v>247</v>
      </c>
      <c r="AB12" s="49" t="s">
        <v>248</v>
      </c>
      <c r="AC12" s="5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9" customFormat="1" ht="14.25" x14ac:dyDescent="0.2">
      <c r="A13" s="39"/>
      <c r="B13" s="18"/>
      <c r="F13" s="22" t="s">
        <v>275</v>
      </c>
      <c r="G13" s="30" t="s">
        <v>262</v>
      </c>
      <c r="H13" s="40">
        <v>160000</v>
      </c>
      <c r="I13" s="40">
        <v>160000</v>
      </c>
      <c r="J13" s="40">
        <v>320000</v>
      </c>
      <c r="K13" s="40">
        <v>40362</v>
      </c>
      <c r="L13" s="40">
        <v>25399</v>
      </c>
      <c r="M13" s="40">
        <v>56200</v>
      </c>
      <c r="N13" s="40">
        <v>16111</v>
      </c>
      <c r="O13" s="40">
        <v>13400</v>
      </c>
      <c r="P13" s="40">
        <v>151472</v>
      </c>
      <c r="Q13" s="40">
        <v>0</v>
      </c>
      <c r="R13" s="40">
        <v>12099</v>
      </c>
      <c r="S13" s="40">
        <v>2300</v>
      </c>
      <c r="T13" s="40">
        <v>3200</v>
      </c>
      <c r="U13" s="40">
        <v>33079</v>
      </c>
      <c r="V13" s="40">
        <v>9700</v>
      </c>
      <c r="W13" s="40">
        <v>6000</v>
      </c>
      <c r="X13" s="40">
        <v>3700</v>
      </c>
      <c r="Y13" s="40">
        <v>0</v>
      </c>
      <c r="Z13" s="40">
        <v>70078</v>
      </c>
      <c r="AA13" s="40">
        <v>244172</v>
      </c>
      <c r="AB13" s="40">
        <v>160000</v>
      </c>
      <c r="AC13" s="41">
        <v>404172</v>
      </c>
    </row>
    <row r="14" spans="1:66" hidden="1" x14ac:dyDescent="0.25">
      <c r="F14" s="20"/>
      <c r="G14" s="31" t="s">
        <v>276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</row>
    <row r="15" spans="1:66" s="19" customFormat="1" ht="14.25" x14ac:dyDescent="0.2">
      <c r="A15" s="17"/>
      <c r="B15" s="18"/>
      <c r="F15" s="22">
        <v>1</v>
      </c>
      <c r="G15" s="33" t="s">
        <v>276</v>
      </c>
      <c r="H15" s="26">
        <v>40000</v>
      </c>
      <c r="I15" s="26">
        <v>40000</v>
      </c>
      <c r="J15" s="26">
        <v>80000</v>
      </c>
      <c r="K15" s="26">
        <v>26194</v>
      </c>
      <c r="L15" s="26">
        <v>8000</v>
      </c>
      <c r="M15" s="26">
        <v>20700</v>
      </c>
      <c r="N15" s="26">
        <v>7300</v>
      </c>
      <c r="O15" s="26">
        <v>13400</v>
      </c>
      <c r="P15" s="26">
        <v>75594</v>
      </c>
      <c r="Q15" s="26">
        <v>0</v>
      </c>
      <c r="R15" s="26">
        <v>4100</v>
      </c>
      <c r="S15" s="26">
        <v>2300</v>
      </c>
      <c r="T15" s="26">
        <v>3200</v>
      </c>
      <c r="U15" s="26">
        <v>7500</v>
      </c>
      <c r="V15" s="26">
        <v>700</v>
      </c>
      <c r="W15" s="26">
        <v>0</v>
      </c>
      <c r="X15" s="26">
        <v>2500</v>
      </c>
      <c r="Y15" s="26">
        <v>0</v>
      </c>
      <c r="Z15" s="26">
        <v>20300</v>
      </c>
      <c r="AA15" s="26">
        <v>95094</v>
      </c>
      <c r="AB15" s="26">
        <v>40000</v>
      </c>
      <c r="AC15" s="27">
        <v>135094</v>
      </c>
    </row>
    <row r="16" spans="1:66" x14ac:dyDescent="0.25">
      <c r="F16" s="20"/>
      <c r="G16" s="34" t="s">
        <v>45</v>
      </c>
      <c r="H16" s="24">
        <v>20000</v>
      </c>
      <c r="I16" s="24">
        <v>20000</v>
      </c>
      <c r="J16" s="24">
        <v>40000</v>
      </c>
      <c r="K16" s="24">
        <v>25800</v>
      </c>
      <c r="L16" s="24">
        <v>5000</v>
      </c>
      <c r="M16" s="24">
        <v>20400</v>
      </c>
      <c r="N16" s="24">
        <v>2300</v>
      </c>
      <c r="O16" s="24">
        <v>9400</v>
      </c>
      <c r="P16" s="24">
        <v>62900</v>
      </c>
      <c r="Q16" s="24">
        <v>0</v>
      </c>
      <c r="R16" s="24">
        <v>3700</v>
      </c>
      <c r="S16" s="24">
        <v>2300</v>
      </c>
      <c r="T16" s="24">
        <v>200</v>
      </c>
      <c r="U16" s="24">
        <v>2000</v>
      </c>
      <c r="V16" s="24">
        <v>500</v>
      </c>
      <c r="W16" s="24">
        <v>0</v>
      </c>
      <c r="X16" s="24">
        <v>0</v>
      </c>
      <c r="Y16" s="24">
        <v>0</v>
      </c>
      <c r="Z16" s="24">
        <v>8700</v>
      </c>
      <c r="AA16" s="24">
        <v>74200</v>
      </c>
      <c r="AB16" s="24">
        <v>20000</v>
      </c>
      <c r="AC16" s="25">
        <v>94200</v>
      </c>
    </row>
    <row r="17" spans="1:29" x14ac:dyDescent="0.25">
      <c r="F17" s="20"/>
      <c r="G17" s="35" t="s">
        <v>55</v>
      </c>
      <c r="H17" s="24">
        <v>20000</v>
      </c>
      <c r="I17" s="24">
        <v>20000</v>
      </c>
      <c r="J17" s="24">
        <v>40000</v>
      </c>
      <c r="K17" s="24">
        <v>394</v>
      </c>
      <c r="L17" s="24">
        <v>3000</v>
      </c>
      <c r="M17" s="24">
        <v>300</v>
      </c>
      <c r="N17" s="24">
        <v>5000</v>
      </c>
      <c r="O17" s="24">
        <v>4000</v>
      </c>
      <c r="P17" s="24">
        <v>12694</v>
      </c>
      <c r="Q17" s="24">
        <v>0</v>
      </c>
      <c r="R17" s="24">
        <v>400</v>
      </c>
      <c r="S17" s="24">
        <v>0</v>
      </c>
      <c r="T17" s="24">
        <v>3000</v>
      </c>
      <c r="U17" s="24">
        <v>5500</v>
      </c>
      <c r="V17" s="24">
        <v>200</v>
      </c>
      <c r="W17" s="24">
        <v>0</v>
      </c>
      <c r="X17" s="24">
        <v>2500</v>
      </c>
      <c r="Y17" s="24">
        <v>0</v>
      </c>
      <c r="Z17" s="24">
        <v>11600</v>
      </c>
      <c r="AA17" s="24">
        <v>20894</v>
      </c>
      <c r="AB17" s="24">
        <v>20000</v>
      </c>
      <c r="AC17" s="25">
        <v>40894</v>
      </c>
    </row>
    <row r="18" spans="1:29" hidden="1" x14ac:dyDescent="0.25">
      <c r="F18" s="20"/>
      <c r="G18" s="31" t="s">
        <v>277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</row>
    <row r="19" spans="1:29" s="19" customFormat="1" ht="14.25" x14ac:dyDescent="0.2">
      <c r="A19" s="17"/>
      <c r="B19" s="18"/>
      <c r="F19" s="22">
        <v>2</v>
      </c>
      <c r="G19" s="33" t="s">
        <v>277</v>
      </c>
      <c r="H19" s="26">
        <v>20000</v>
      </c>
      <c r="I19" s="26">
        <v>20000</v>
      </c>
      <c r="J19" s="26">
        <v>40000</v>
      </c>
      <c r="K19" s="26">
        <v>500</v>
      </c>
      <c r="L19" s="26">
        <v>3000</v>
      </c>
      <c r="M19" s="26">
        <v>3000</v>
      </c>
      <c r="N19" s="26">
        <v>1211</v>
      </c>
      <c r="O19" s="26">
        <v>0</v>
      </c>
      <c r="P19" s="26">
        <v>7711</v>
      </c>
      <c r="Q19" s="26">
        <v>0</v>
      </c>
      <c r="R19" s="26">
        <v>0</v>
      </c>
      <c r="S19" s="26">
        <v>0</v>
      </c>
      <c r="T19" s="26">
        <v>0</v>
      </c>
      <c r="U19" s="26">
        <v>10000</v>
      </c>
      <c r="V19" s="26">
        <v>9000</v>
      </c>
      <c r="W19" s="26">
        <v>0</v>
      </c>
      <c r="X19" s="26">
        <v>0</v>
      </c>
      <c r="Y19" s="26">
        <v>0</v>
      </c>
      <c r="Z19" s="26">
        <v>19000</v>
      </c>
      <c r="AA19" s="26">
        <v>15711</v>
      </c>
      <c r="AB19" s="26">
        <v>20000</v>
      </c>
      <c r="AC19" s="27">
        <v>35711</v>
      </c>
    </row>
    <row r="20" spans="1:29" x14ac:dyDescent="0.25">
      <c r="F20" s="20"/>
      <c r="G20" s="36" t="s">
        <v>103</v>
      </c>
      <c r="H20" s="24">
        <v>20000</v>
      </c>
      <c r="I20" s="24">
        <v>20000</v>
      </c>
      <c r="J20" s="24">
        <v>40000</v>
      </c>
      <c r="K20" s="24">
        <v>500</v>
      </c>
      <c r="L20" s="24">
        <v>3000</v>
      </c>
      <c r="M20" s="24">
        <v>3000</v>
      </c>
      <c r="N20" s="24">
        <v>1211</v>
      </c>
      <c r="O20" s="24">
        <v>0</v>
      </c>
      <c r="P20" s="24">
        <v>7711</v>
      </c>
      <c r="Q20" s="24">
        <v>0</v>
      </c>
      <c r="R20" s="24">
        <v>0</v>
      </c>
      <c r="S20" s="24">
        <v>0</v>
      </c>
      <c r="T20" s="24">
        <v>0</v>
      </c>
      <c r="U20" s="24">
        <v>10000</v>
      </c>
      <c r="V20" s="24">
        <v>9000</v>
      </c>
      <c r="W20" s="24">
        <v>0</v>
      </c>
      <c r="X20" s="24">
        <v>0</v>
      </c>
      <c r="Y20" s="24">
        <v>0</v>
      </c>
      <c r="Z20" s="24">
        <v>19000</v>
      </c>
      <c r="AA20" s="24">
        <v>15711</v>
      </c>
      <c r="AB20" s="24">
        <v>20000</v>
      </c>
      <c r="AC20" s="25">
        <v>35711</v>
      </c>
    </row>
    <row r="21" spans="1:29" hidden="1" x14ac:dyDescent="0.25">
      <c r="F21" s="20"/>
      <c r="G21" s="31" t="s">
        <v>278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</row>
    <row r="22" spans="1:29" s="19" customFormat="1" ht="14.25" x14ac:dyDescent="0.2">
      <c r="A22" s="17"/>
      <c r="B22" s="18"/>
      <c r="F22" s="22"/>
      <c r="G22" s="33" t="s">
        <v>278</v>
      </c>
      <c r="H22" s="26">
        <v>40000</v>
      </c>
      <c r="I22" s="26">
        <v>40000</v>
      </c>
      <c r="J22" s="26">
        <v>80000</v>
      </c>
      <c r="K22" s="26">
        <v>9000</v>
      </c>
      <c r="L22" s="26">
        <v>5999</v>
      </c>
      <c r="M22" s="26">
        <v>9000</v>
      </c>
      <c r="N22" s="26">
        <v>7600</v>
      </c>
      <c r="O22" s="26">
        <v>0</v>
      </c>
      <c r="P22" s="26">
        <v>31599</v>
      </c>
      <c r="Q22" s="26">
        <v>0</v>
      </c>
      <c r="R22" s="26">
        <v>7999</v>
      </c>
      <c r="S22" s="26">
        <v>0</v>
      </c>
      <c r="T22" s="26">
        <v>0</v>
      </c>
      <c r="U22" s="26">
        <v>2735</v>
      </c>
      <c r="V22" s="26">
        <v>0</v>
      </c>
      <c r="W22" s="26">
        <v>6000</v>
      </c>
      <c r="X22" s="26">
        <v>1200</v>
      </c>
      <c r="Y22" s="26">
        <v>0</v>
      </c>
      <c r="Z22" s="26">
        <v>17934</v>
      </c>
      <c r="AA22" s="26">
        <v>52643</v>
      </c>
      <c r="AB22" s="26">
        <v>40000</v>
      </c>
      <c r="AC22" s="27">
        <v>92643</v>
      </c>
    </row>
    <row r="23" spans="1:29" x14ac:dyDescent="0.25">
      <c r="F23" s="20"/>
      <c r="G23" s="34" t="s">
        <v>116</v>
      </c>
      <c r="H23" s="24">
        <v>20000</v>
      </c>
      <c r="I23" s="24">
        <v>20000</v>
      </c>
      <c r="J23" s="24">
        <v>40000</v>
      </c>
      <c r="K23" s="24">
        <v>0</v>
      </c>
      <c r="L23" s="24">
        <v>3999</v>
      </c>
      <c r="M23" s="24">
        <v>5000</v>
      </c>
      <c r="N23" s="24">
        <v>0</v>
      </c>
      <c r="O23" s="24">
        <v>0</v>
      </c>
      <c r="P23" s="24">
        <v>8999</v>
      </c>
      <c r="Q23" s="24">
        <v>0</v>
      </c>
      <c r="R23" s="24">
        <v>3999</v>
      </c>
      <c r="S23" s="24">
        <v>0</v>
      </c>
      <c r="T23" s="24">
        <v>0</v>
      </c>
      <c r="U23" s="24">
        <v>402</v>
      </c>
      <c r="V23" s="24">
        <v>0</v>
      </c>
      <c r="W23" s="24">
        <v>6000</v>
      </c>
      <c r="X23" s="24">
        <v>1200</v>
      </c>
      <c r="Y23" s="24">
        <v>0</v>
      </c>
      <c r="Z23" s="24">
        <v>11601</v>
      </c>
      <c r="AA23" s="24">
        <v>16376</v>
      </c>
      <c r="AB23" s="24">
        <v>20000</v>
      </c>
      <c r="AC23" s="25">
        <v>36376</v>
      </c>
    </row>
    <row r="24" spans="1:29" x14ac:dyDescent="0.25">
      <c r="F24" s="20"/>
      <c r="G24" s="35" t="s">
        <v>113</v>
      </c>
      <c r="H24" s="24">
        <v>20000</v>
      </c>
      <c r="I24" s="24">
        <v>20000</v>
      </c>
      <c r="J24" s="24">
        <v>40000</v>
      </c>
      <c r="K24" s="24">
        <v>9000</v>
      </c>
      <c r="L24" s="24">
        <v>2000</v>
      </c>
      <c r="M24" s="24">
        <v>4000</v>
      </c>
      <c r="N24" s="24">
        <v>7600</v>
      </c>
      <c r="O24" s="24">
        <v>0</v>
      </c>
      <c r="P24" s="24">
        <v>22600</v>
      </c>
      <c r="Q24" s="24">
        <v>0</v>
      </c>
      <c r="R24" s="24">
        <v>4000</v>
      </c>
      <c r="S24" s="24">
        <v>0</v>
      </c>
      <c r="T24" s="24">
        <v>0</v>
      </c>
      <c r="U24" s="24">
        <v>2333</v>
      </c>
      <c r="V24" s="24">
        <v>0</v>
      </c>
      <c r="W24" s="24">
        <v>0</v>
      </c>
      <c r="X24" s="24">
        <v>0</v>
      </c>
      <c r="Y24" s="24">
        <v>0</v>
      </c>
      <c r="Z24" s="24">
        <v>6333</v>
      </c>
      <c r="AA24" s="24">
        <v>36267</v>
      </c>
      <c r="AB24" s="24">
        <v>20000</v>
      </c>
      <c r="AC24" s="25">
        <v>56267</v>
      </c>
    </row>
    <row r="25" spans="1:29" hidden="1" x14ac:dyDescent="0.25">
      <c r="F25" s="20"/>
      <c r="G25" s="31" t="s">
        <v>279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</row>
    <row r="26" spans="1:29" s="19" customFormat="1" ht="14.25" x14ac:dyDescent="0.2">
      <c r="A26" s="17"/>
      <c r="B26" s="18"/>
      <c r="F26" s="22">
        <v>3</v>
      </c>
      <c r="G26" s="33" t="s">
        <v>279</v>
      </c>
      <c r="H26" s="26">
        <v>60000</v>
      </c>
      <c r="I26" s="26">
        <v>60000</v>
      </c>
      <c r="J26" s="26">
        <v>120000</v>
      </c>
      <c r="K26" s="26">
        <v>4668</v>
      </c>
      <c r="L26" s="26">
        <v>8400</v>
      </c>
      <c r="M26" s="26">
        <v>23500</v>
      </c>
      <c r="N26" s="26">
        <v>0</v>
      </c>
      <c r="O26" s="26">
        <v>0</v>
      </c>
      <c r="P26" s="26">
        <v>36568</v>
      </c>
      <c r="Q26" s="26">
        <v>0</v>
      </c>
      <c r="R26" s="26">
        <v>0</v>
      </c>
      <c r="S26" s="26">
        <v>0</v>
      </c>
      <c r="T26" s="26">
        <v>0</v>
      </c>
      <c r="U26" s="26">
        <v>12844</v>
      </c>
      <c r="V26" s="26">
        <v>0</v>
      </c>
      <c r="W26" s="26">
        <v>0</v>
      </c>
      <c r="X26" s="26">
        <v>0</v>
      </c>
      <c r="Y26" s="26">
        <v>0</v>
      </c>
      <c r="Z26" s="26">
        <v>12844</v>
      </c>
      <c r="AA26" s="26">
        <v>80724</v>
      </c>
      <c r="AB26" s="26">
        <v>60000</v>
      </c>
      <c r="AC26" s="27">
        <v>140724</v>
      </c>
    </row>
    <row r="27" spans="1:29" ht="15.75" x14ac:dyDescent="0.25">
      <c r="F27" s="20"/>
      <c r="G27" s="34" t="s">
        <v>106</v>
      </c>
      <c r="H27" s="24">
        <v>20000</v>
      </c>
      <c r="I27" s="24">
        <v>20000</v>
      </c>
      <c r="J27" s="24">
        <v>40000</v>
      </c>
      <c r="K27" s="24">
        <v>2222</v>
      </c>
      <c r="L27" s="24">
        <v>8400</v>
      </c>
      <c r="M27" s="42">
        <v>9000</v>
      </c>
      <c r="N27" s="24">
        <v>0</v>
      </c>
      <c r="O27" s="24">
        <v>0</v>
      </c>
      <c r="P27" s="24">
        <v>19622</v>
      </c>
      <c r="Q27" s="24">
        <v>0</v>
      </c>
      <c r="R27" s="24">
        <v>0</v>
      </c>
      <c r="S27" s="24">
        <v>0</v>
      </c>
      <c r="T27" s="24">
        <v>0</v>
      </c>
      <c r="U27" s="24">
        <v>6233</v>
      </c>
      <c r="V27" s="24">
        <v>0</v>
      </c>
      <c r="W27" s="24">
        <v>0</v>
      </c>
      <c r="X27" s="24">
        <v>0</v>
      </c>
      <c r="Y27" s="24">
        <v>0</v>
      </c>
      <c r="Z27" s="24">
        <v>6233</v>
      </c>
      <c r="AA27" s="24">
        <v>33389</v>
      </c>
      <c r="AB27" s="24">
        <v>20000</v>
      </c>
      <c r="AC27" s="25">
        <v>53389</v>
      </c>
    </row>
    <row r="28" spans="1:29" x14ac:dyDescent="0.25">
      <c r="F28" s="20"/>
      <c r="G28" s="37" t="s">
        <v>116</v>
      </c>
      <c r="H28" s="24">
        <v>20000</v>
      </c>
      <c r="I28" s="24">
        <v>20000</v>
      </c>
      <c r="J28" s="24">
        <v>40000</v>
      </c>
      <c r="K28" s="24">
        <v>2323</v>
      </c>
      <c r="L28" s="24">
        <v>0</v>
      </c>
      <c r="M28" s="24">
        <v>4500</v>
      </c>
      <c r="N28" s="24">
        <v>0</v>
      </c>
      <c r="O28" s="24">
        <v>0</v>
      </c>
      <c r="P28" s="24">
        <v>6823</v>
      </c>
      <c r="Q28" s="24">
        <v>0</v>
      </c>
      <c r="R28" s="24">
        <v>0</v>
      </c>
      <c r="S28" s="24">
        <v>0</v>
      </c>
      <c r="T28" s="24">
        <v>0</v>
      </c>
      <c r="U28" s="24">
        <v>3400</v>
      </c>
      <c r="V28" s="24">
        <v>0</v>
      </c>
      <c r="W28" s="24">
        <v>0</v>
      </c>
      <c r="X28" s="24">
        <v>0</v>
      </c>
      <c r="Y28" s="24">
        <v>0</v>
      </c>
      <c r="Z28" s="24">
        <v>3400</v>
      </c>
      <c r="AA28" s="24">
        <v>20423</v>
      </c>
      <c r="AB28" s="24">
        <v>20000</v>
      </c>
      <c r="AC28" s="25">
        <v>40423</v>
      </c>
    </row>
    <row r="29" spans="1:29" x14ac:dyDescent="0.25">
      <c r="F29" s="20"/>
      <c r="G29" s="35" t="s">
        <v>113</v>
      </c>
      <c r="H29" s="24">
        <v>20000</v>
      </c>
      <c r="I29" s="24">
        <v>20000</v>
      </c>
      <c r="J29" s="24">
        <v>40000</v>
      </c>
      <c r="K29" s="24">
        <v>123</v>
      </c>
      <c r="L29" s="24">
        <v>0</v>
      </c>
      <c r="M29" s="24">
        <v>10000</v>
      </c>
      <c r="N29" s="24">
        <v>0</v>
      </c>
      <c r="O29" s="24">
        <v>0</v>
      </c>
      <c r="P29" s="24">
        <v>10123</v>
      </c>
      <c r="Q29" s="24">
        <v>0</v>
      </c>
      <c r="R29" s="24">
        <v>0</v>
      </c>
      <c r="S29" s="24">
        <v>0</v>
      </c>
      <c r="T29" s="24">
        <v>0</v>
      </c>
      <c r="U29" s="24">
        <v>3211</v>
      </c>
      <c r="V29" s="24">
        <v>0</v>
      </c>
      <c r="W29" s="24">
        <v>0</v>
      </c>
      <c r="X29" s="24">
        <v>0</v>
      </c>
      <c r="Y29" s="24">
        <v>0</v>
      </c>
      <c r="Z29" s="24">
        <v>3211</v>
      </c>
      <c r="AA29" s="24">
        <v>26912</v>
      </c>
      <c r="AB29" s="24">
        <v>20000</v>
      </c>
      <c r="AC29" s="25">
        <v>46912</v>
      </c>
    </row>
    <row r="30" spans="1:29" s="19" customFormat="1" ht="14.25" x14ac:dyDescent="0.2">
      <c r="A30" s="17"/>
      <c r="B30" s="18"/>
      <c r="F30" s="22" t="s">
        <v>281</v>
      </c>
      <c r="G30" s="30" t="s">
        <v>280</v>
      </c>
      <c r="H30" s="26">
        <v>860000</v>
      </c>
      <c r="I30" s="26">
        <v>860000</v>
      </c>
      <c r="J30" s="26">
        <v>1720000</v>
      </c>
      <c r="K30" s="26">
        <v>7800</v>
      </c>
      <c r="L30" s="26">
        <v>0</v>
      </c>
      <c r="M30" s="26">
        <v>7000</v>
      </c>
      <c r="N30" s="26">
        <v>0</v>
      </c>
      <c r="O30" s="26">
        <v>6000</v>
      </c>
      <c r="P30" s="26">
        <v>20800</v>
      </c>
      <c r="Q30" s="26">
        <v>0</v>
      </c>
      <c r="R30" s="26">
        <v>23333</v>
      </c>
      <c r="S30" s="26">
        <v>0</v>
      </c>
      <c r="T30" s="26">
        <v>3200</v>
      </c>
      <c r="U30" s="26">
        <v>0</v>
      </c>
      <c r="V30" s="26">
        <v>500</v>
      </c>
      <c r="W30" s="26">
        <v>2000</v>
      </c>
      <c r="X30" s="26">
        <v>0</v>
      </c>
      <c r="Y30" s="26">
        <v>0</v>
      </c>
      <c r="Z30" s="26">
        <v>29033</v>
      </c>
      <c r="AA30" s="26">
        <v>851767</v>
      </c>
      <c r="AB30" s="26">
        <v>860000</v>
      </c>
      <c r="AC30" s="27">
        <v>1711767</v>
      </c>
    </row>
    <row r="31" spans="1:29" s="19" customFormat="1" ht="14.25" x14ac:dyDescent="0.2">
      <c r="A31" s="17"/>
      <c r="B31" s="18"/>
      <c r="F31" s="22" t="s">
        <v>282</v>
      </c>
      <c r="G31" s="32" t="s">
        <v>261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7"/>
    </row>
    <row r="32" spans="1:29" s="19" customFormat="1" ht="14.25" x14ac:dyDescent="0.2">
      <c r="A32" s="17"/>
      <c r="B32" s="18"/>
      <c r="F32" s="22">
        <v>1</v>
      </c>
      <c r="G32" s="33" t="s">
        <v>253</v>
      </c>
      <c r="H32" s="26">
        <v>200000</v>
      </c>
      <c r="I32" s="26">
        <v>200000</v>
      </c>
      <c r="J32" s="26">
        <v>400000</v>
      </c>
      <c r="K32" s="26">
        <v>0</v>
      </c>
      <c r="L32" s="26">
        <v>0</v>
      </c>
      <c r="M32" s="26">
        <v>7000</v>
      </c>
      <c r="N32" s="26">
        <v>0</v>
      </c>
      <c r="O32" s="26">
        <v>6000</v>
      </c>
      <c r="P32" s="26">
        <v>13000</v>
      </c>
      <c r="Q32" s="26">
        <v>0</v>
      </c>
      <c r="R32" s="26">
        <v>20000</v>
      </c>
      <c r="S32" s="26">
        <v>0</v>
      </c>
      <c r="T32" s="26">
        <v>3000</v>
      </c>
      <c r="U32" s="26">
        <v>0</v>
      </c>
      <c r="V32" s="26">
        <v>0</v>
      </c>
      <c r="W32" s="26">
        <v>2000</v>
      </c>
      <c r="X32" s="26">
        <v>0</v>
      </c>
      <c r="Y32" s="26">
        <v>0</v>
      </c>
      <c r="Z32" s="26">
        <v>25000</v>
      </c>
      <c r="AA32" s="26">
        <v>188000</v>
      </c>
      <c r="AB32" s="26">
        <v>200000</v>
      </c>
      <c r="AC32" s="27">
        <v>388000</v>
      </c>
    </row>
    <row r="33" spans="1:29" x14ac:dyDescent="0.25">
      <c r="F33" s="20"/>
      <c r="G33" s="34" t="s">
        <v>122</v>
      </c>
      <c r="H33" s="24">
        <v>20000</v>
      </c>
      <c r="I33" s="24">
        <v>20000</v>
      </c>
      <c r="J33" s="24">
        <v>40000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10000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10000</v>
      </c>
      <c r="AA33" s="24">
        <v>10000</v>
      </c>
      <c r="AB33" s="24">
        <v>20000</v>
      </c>
      <c r="AC33" s="25">
        <v>30000</v>
      </c>
    </row>
    <row r="34" spans="1:29" x14ac:dyDescent="0.25">
      <c r="F34" s="20"/>
      <c r="G34" s="37" t="s">
        <v>123</v>
      </c>
      <c r="H34" s="24">
        <v>20000</v>
      </c>
      <c r="I34" s="24">
        <v>20000</v>
      </c>
      <c r="J34" s="24">
        <v>40000</v>
      </c>
      <c r="K34" s="24">
        <v>0</v>
      </c>
      <c r="L34" s="24">
        <v>0</v>
      </c>
      <c r="M34" s="24">
        <v>0</v>
      </c>
      <c r="N34" s="24">
        <v>0</v>
      </c>
      <c r="O34" s="24">
        <v>6000</v>
      </c>
      <c r="P34" s="24">
        <v>6000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26000</v>
      </c>
      <c r="AB34" s="24">
        <v>20000</v>
      </c>
      <c r="AC34" s="25">
        <v>46000</v>
      </c>
    </row>
    <row r="35" spans="1:29" x14ac:dyDescent="0.25">
      <c r="F35" s="20"/>
      <c r="G35" s="37" t="s">
        <v>61</v>
      </c>
      <c r="H35" s="24">
        <v>20000</v>
      </c>
      <c r="I35" s="24">
        <v>20000</v>
      </c>
      <c r="J35" s="24">
        <v>40000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20000</v>
      </c>
      <c r="AB35" s="24">
        <v>20000</v>
      </c>
      <c r="AC35" s="25">
        <v>40000</v>
      </c>
    </row>
    <row r="36" spans="1:29" x14ac:dyDescent="0.25">
      <c r="F36" s="20"/>
      <c r="G36" s="37" t="s">
        <v>117</v>
      </c>
      <c r="H36" s="24">
        <v>20000</v>
      </c>
      <c r="I36" s="24">
        <v>20000</v>
      </c>
      <c r="J36" s="24">
        <v>40000</v>
      </c>
      <c r="K36" s="24">
        <v>0</v>
      </c>
      <c r="L36" s="24">
        <v>0</v>
      </c>
      <c r="M36" s="24">
        <v>7000</v>
      </c>
      <c r="N36" s="24">
        <v>0</v>
      </c>
      <c r="O36" s="24">
        <v>0</v>
      </c>
      <c r="P36" s="24">
        <v>7000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2000</v>
      </c>
      <c r="X36" s="24">
        <v>0</v>
      </c>
      <c r="Y36" s="24">
        <v>0</v>
      </c>
      <c r="Z36" s="24">
        <v>2000</v>
      </c>
      <c r="AA36" s="24">
        <v>25000</v>
      </c>
      <c r="AB36" s="24">
        <v>20000</v>
      </c>
      <c r="AC36" s="25">
        <v>45000</v>
      </c>
    </row>
    <row r="37" spans="1:29" x14ac:dyDescent="0.25">
      <c r="F37" s="20"/>
      <c r="G37" s="37" t="s">
        <v>120</v>
      </c>
      <c r="H37" s="24">
        <v>20000</v>
      </c>
      <c r="I37" s="24">
        <v>20000</v>
      </c>
      <c r="J37" s="24">
        <v>40000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20000</v>
      </c>
      <c r="AB37" s="24">
        <v>20000</v>
      </c>
      <c r="AC37" s="25">
        <v>40000</v>
      </c>
    </row>
    <row r="38" spans="1:29" x14ac:dyDescent="0.25">
      <c r="F38" s="20"/>
      <c r="G38" s="37" t="s">
        <v>121</v>
      </c>
      <c r="H38" s="24">
        <v>20000</v>
      </c>
      <c r="I38" s="24">
        <v>20000</v>
      </c>
      <c r="J38" s="24">
        <v>40000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3000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3000</v>
      </c>
      <c r="AA38" s="24">
        <v>17000</v>
      </c>
      <c r="AB38" s="24">
        <v>20000</v>
      </c>
      <c r="AC38" s="25">
        <v>37000</v>
      </c>
    </row>
    <row r="39" spans="1:29" x14ac:dyDescent="0.25">
      <c r="F39" s="20"/>
      <c r="G39" s="37" t="s">
        <v>125</v>
      </c>
      <c r="H39" s="24">
        <v>20000</v>
      </c>
      <c r="I39" s="24">
        <v>20000</v>
      </c>
      <c r="J39" s="24">
        <v>40000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10000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10000</v>
      </c>
      <c r="AA39" s="24">
        <v>10000</v>
      </c>
      <c r="AB39" s="24">
        <v>20000</v>
      </c>
      <c r="AC39" s="25">
        <v>30000</v>
      </c>
    </row>
    <row r="40" spans="1:29" x14ac:dyDescent="0.25">
      <c r="F40" s="20"/>
      <c r="G40" s="37" t="s">
        <v>127</v>
      </c>
      <c r="H40" s="24">
        <v>20000</v>
      </c>
      <c r="I40" s="24">
        <v>20000</v>
      </c>
      <c r="J40" s="24">
        <v>40000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20000</v>
      </c>
      <c r="AB40" s="24">
        <v>20000</v>
      </c>
      <c r="AC40" s="25">
        <v>40000</v>
      </c>
    </row>
    <row r="41" spans="1:29" x14ac:dyDescent="0.25">
      <c r="F41" s="20"/>
      <c r="G41" s="37" t="s">
        <v>126</v>
      </c>
      <c r="H41" s="24">
        <v>20000</v>
      </c>
      <c r="I41" s="24">
        <v>20000</v>
      </c>
      <c r="J41" s="24">
        <v>40000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20000</v>
      </c>
      <c r="AB41" s="24">
        <v>20000</v>
      </c>
      <c r="AC41" s="25">
        <v>40000</v>
      </c>
    </row>
    <row r="42" spans="1:29" x14ac:dyDescent="0.25">
      <c r="F42" s="20"/>
      <c r="G42" s="35" t="s">
        <v>124</v>
      </c>
      <c r="H42" s="24">
        <v>20000</v>
      </c>
      <c r="I42" s="24">
        <v>20000</v>
      </c>
      <c r="J42" s="24">
        <v>40000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20000</v>
      </c>
      <c r="AB42" s="24">
        <v>20000</v>
      </c>
      <c r="AC42" s="25">
        <v>40000</v>
      </c>
    </row>
    <row r="43" spans="1:29" s="19" customFormat="1" ht="14.25" x14ac:dyDescent="0.2">
      <c r="A43" s="17"/>
      <c r="B43" s="18"/>
      <c r="F43" s="22">
        <v>2</v>
      </c>
      <c r="G43" s="33" t="s">
        <v>252</v>
      </c>
      <c r="H43" s="26">
        <v>40000</v>
      </c>
      <c r="I43" s="26">
        <v>40000</v>
      </c>
      <c r="J43" s="26">
        <v>80000</v>
      </c>
      <c r="K43" s="26">
        <v>600</v>
      </c>
      <c r="L43" s="26">
        <v>0</v>
      </c>
      <c r="M43" s="26">
        <v>0</v>
      </c>
      <c r="N43" s="26">
        <v>0</v>
      </c>
      <c r="O43" s="26">
        <v>0</v>
      </c>
      <c r="P43" s="26">
        <v>600</v>
      </c>
      <c r="Q43" s="26">
        <v>0</v>
      </c>
      <c r="R43" s="26">
        <v>0</v>
      </c>
      <c r="S43" s="26">
        <v>0</v>
      </c>
      <c r="T43" s="26">
        <v>200</v>
      </c>
      <c r="U43" s="26">
        <v>0</v>
      </c>
      <c r="V43" s="26">
        <v>500</v>
      </c>
      <c r="W43" s="26">
        <v>0</v>
      </c>
      <c r="X43" s="26">
        <v>0</v>
      </c>
      <c r="Y43" s="26">
        <v>0</v>
      </c>
      <c r="Z43" s="26">
        <v>700</v>
      </c>
      <c r="AA43" s="26">
        <v>39900</v>
      </c>
      <c r="AB43" s="26">
        <v>40000</v>
      </c>
      <c r="AC43" s="27">
        <v>79900</v>
      </c>
    </row>
    <row r="44" spans="1:29" x14ac:dyDescent="0.25">
      <c r="F44" s="20"/>
      <c r="G44" s="34" t="s">
        <v>136</v>
      </c>
      <c r="H44" s="24">
        <v>20000</v>
      </c>
      <c r="I44" s="24">
        <v>20000</v>
      </c>
      <c r="J44" s="24">
        <v>40000</v>
      </c>
      <c r="K44" s="24">
        <v>600</v>
      </c>
      <c r="L44" s="24">
        <v>0</v>
      </c>
      <c r="M44" s="24">
        <v>0</v>
      </c>
      <c r="N44" s="24">
        <v>0</v>
      </c>
      <c r="O44" s="24">
        <v>0</v>
      </c>
      <c r="P44" s="24">
        <v>600</v>
      </c>
      <c r="Q44" s="24">
        <v>0</v>
      </c>
      <c r="R44" s="24">
        <v>0</v>
      </c>
      <c r="S44" s="24">
        <v>0</v>
      </c>
      <c r="T44" s="24">
        <v>200</v>
      </c>
      <c r="U44" s="24">
        <v>0</v>
      </c>
      <c r="V44" s="24">
        <v>500</v>
      </c>
      <c r="W44" s="24">
        <v>0</v>
      </c>
      <c r="X44" s="24">
        <v>0</v>
      </c>
      <c r="Y44" s="24">
        <v>0</v>
      </c>
      <c r="Z44" s="24">
        <v>700</v>
      </c>
      <c r="AA44" s="24">
        <v>19900</v>
      </c>
      <c r="AB44" s="24">
        <v>20000</v>
      </c>
      <c r="AC44" s="25">
        <v>39900</v>
      </c>
    </row>
    <row r="45" spans="1:29" x14ac:dyDescent="0.25">
      <c r="F45" s="20"/>
      <c r="G45" s="35" t="s">
        <v>134</v>
      </c>
      <c r="H45" s="24">
        <v>20000</v>
      </c>
      <c r="I45" s="24">
        <v>20000</v>
      </c>
      <c r="J45" s="24">
        <v>40000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20000</v>
      </c>
      <c r="AB45" s="24">
        <v>20000</v>
      </c>
      <c r="AC45" s="25">
        <v>40000</v>
      </c>
    </row>
    <row r="46" spans="1:29" s="19" customFormat="1" ht="14.25" x14ac:dyDescent="0.2">
      <c r="A46" s="17"/>
      <c r="B46" s="18"/>
      <c r="F46" s="22">
        <v>3</v>
      </c>
      <c r="G46" s="33" t="s">
        <v>257</v>
      </c>
      <c r="H46" s="26">
        <v>100000</v>
      </c>
      <c r="I46" s="26">
        <v>100000</v>
      </c>
      <c r="J46" s="26">
        <v>200000</v>
      </c>
      <c r="K46" s="26">
        <v>3000</v>
      </c>
      <c r="L46" s="26">
        <v>0</v>
      </c>
      <c r="M46" s="26">
        <v>0</v>
      </c>
      <c r="N46" s="26">
        <v>0</v>
      </c>
      <c r="O46" s="26">
        <v>0</v>
      </c>
      <c r="P46" s="26">
        <v>3000</v>
      </c>
      <c r="Q46" s="26">
        <v>0</v>
      </c>
      <c r="R46" s="26">
        <v>3333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3333</v>
      </c>
      <c r="AA46" s="26">
        <v>99667</v>
      </c>
      <c r="AB46" s="26">
        <v>100000</v>
      </c>
      <c r="AC46" s="27">
        <v>199667</v>
      </c>
    </row>
    <row r="47" spans="1:29" x14ac:dyDescent="0.25">
      <c r="F47" s="20"/>
      <c r="G47" s="34" t="s">
        <v>128</v>
      </c>
      <c r="H47" s="24">
        <v>20000</v>
      </c>
      <c r="I47" s="24">
        <v>20000</v>
      </c>
      <c r="J47" s="24">
        <v>40000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20000</v>
      </c>
      <c r="AB47" s="24">
        <v>20000</v>
      </c>
      <c r="AC47" s="25">
        <v>40000</v>
      </c>
    </row>
    <row r="48" spans="1:29" x14ac:dyDescent="0.25">
      <c r="F48" s="20"/>
      <c r="G48" s="37" t="s">
        <v>132</v>
      </c>
      <c r="H48" s="24">
        <v>20000</v>
      </c>
      <c r="I48" s="24">
        <v>20000</v>
      </c>
      <c r="J48" s="24">
        <v>40000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20000</v>
      </c>
      <c r="AB48" s="24">
        <v>20000</v>
      </c>
      <c r="AC48" s="25">
        <v>40000</v>
      </c>
    </row>
    <row r="49" spans="1:29" x14ac:dyDescent="0.25">
      <c r="F49" s="20"/>
      <c r="G49" s="37" t="s">
        <v>130</v>
      </c>
      <c r="H49" s="24">
        <v>20000</v>
      </c>
      <c r="I49" s="24">
        <v>20000</v>
      </c>
      <c r="J49" s="24">
        <v>40000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3333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3333</v>
      </c>
      <c r="AA49" s="24">
        <v>16667</v>
      </c>
      <c r="AB49" s="24">
        <v>20000</v>
      </c>
      <c r="AC49" s="25">
        <v>36667</v>
      </c>
    </row>
    <row r="50" spans="1:29" x14ac:dyDescent="0.25">
      <c r="F50" s="20"/>
      <c r="G50" s="37" t="s">
        <v>131</v>
      </c>
      <c r="H50" s="24">
        <v>20000</v>
      </c>
      <c r="I50" s="24">
        <v>20000</v>
      </c>
      <c r="J50" s="24">
        <v>40000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20000</v>
      </c>
      <c r="AB50" s="24">
        <v>20000</v>
      </c>
      <c r="AC50" s="25">
        <v>40000</v>
      </c>
    </row>
    <row r="51" spans="1:29" x14ac:dyDescent="0.25">
      <c r="F51" s="20"/>
      <c r="G51" s="35" t="s">
        <v>133</v>
      </c>
      <c r="H51" s="24">
        <v>20000</v>
      </c>
      <c r="I51" s="24">
        <v>20000</v>
      </c>
      <c r="J51" s="24">
        <v>40000</v>
      </c>
      <c r="K51" s="24">
        <v>3000</v>
      </c>
      <c r="L51" s="24">
        <v>0</v>
      </c>
      <c r="M51" s="24">
        <v>0</v>
      </c>
      <c r="N51" s="24">
        <v>0</v>
      </c>
      <c r="O51" s="24">
        <v>0</v>
      </c>
      <c r="P51" s="24">
        <v>3000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23000</v>
      </c>
      <c r="AB51" s="24">
        <v>20000</v>
      </c>
      <c r="AC51" s="25">
        <v>43000</v>
      </c>
    </row>
    <row r="52" spans="1:29" s="19" customFormat="1" ht="14.25" x14ac:dyDescent="0.2">
      <c r="A52" s="17"/>
      <c r="B52" s="18"/>
      <c r="F52" s="22">
        <v>4</v>
      </c>
      <c r="G52" s="33" t="s">
        <v>254</v>
      </c>
      <c r="H52" s="26">
        <v>120000</v>
      </c>
      <c r="I52" s="26">
        <v>120000</v>
      </c>
      <c r="J52" s="26">
        <v>240000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120000</v>
      </c>
      <c r="AB52" s="26">
        <v>120000</v>
      </c>
      <c r="AC52" s="27">
        <v>240000</v>
      </c>
    </row>
    <row r="53" spans="1:29" x14ac:dyDescent="0.25">
      <c r="F53" s="20"/>
      <c r="G53" s="34" t="s">
        <v>140</v>
      </c>
      <c r="H53" s="24">
        <v>20000</v>
      </c>
      <c r="I53" s="24">
        <v>20000</v>
      </c>
      <c r="J53" s="24">
        <v>40000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20000</v>
      </c>
      <c r="AB53" s="24">
        <v>20000</v>
      </c>
      <c r="AC53" s="25">
        <v>40000</v>
      </c>
    </row>
    <row r="54" spans="1:29" x14ac:dyDescent="0.25">
      <c r="F54" s="20"/>
      <c r="G54" s="37" t="s">
        <v>137</v>
      </c>
      <c r="H54" s="24">
        <v>20000</v>
      </c>
      <c r="I54" s="24">
        <v>20000</v>
      </c>
      <c r="J54" s="24">
        <v>40000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20000</v>
      </c>
      <c r="AB54" s="24">
        <v>20000</v>
      </c>
      <c r="AC54" s="25">
        <v>40000</v>
      </c>
    </row>
    <row r="55" spans="1:29" x14ac:dyDescent="0.25">
      <c r="F55" s="20"/>
      <c r="G55" s="37" t="s">
        <v>141</v>
      </c>
      <c r="H55" s="24">
        <v>20000</v>
      </c>
      <c r="I55" s="24">
        <v>20000</v>
      </c>
      <c r="J55" s="24">
        <v>40000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20000</v>
      </c>
      <c r="AB55" s="24">
        <v>20000</v>
      </c>
      <c r="AC55" s="25">
        <v>40000</v>
      </c>
    </row>
    <row r="56" spans="1:29" x14ac:dyDescent="0.25">
      <c r="F56" s="20"/>
      <c r="G56" s="37" t="s">
        <v>142</v>
      </c>
      <c r="H56" s="24">
        <v>20000</v>
      </c>
      <c r="I56" s="24">
        <v>20000</v>
      </c>
      <c r="J56" s="24">
        <v>40000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20000</v>
      </c>
      <c r="AB56" s="24">
        <v>20000</v>
      </c>
      <c r="AC56" s="25">
        <v>40000</v>
      </c>
    </row>
    <row r="57" spans="1:29" x14ac:dyDescent="0.25">
      <c r="F57" s="20"/>
      <c r="G57" s="37" t="s">
        <v>139</v>
      </c>
      <c r="H57" s="24">
        <v>20000</v>
      </c>
      <c r="I57" s="24">
        <v>20000</v>
      </c>
      <c r="J57" s="24">
        <v>40000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20000</v>
      </c>
      <c r="AB57" s="24">
        <v>20000</v>
      </c>
      <c r="AC57" s="25">
        <v>40000</v>
      </c>
    </row>
    <row r="58" spans="1:29" x14ac:dyDescent="0.25">
      <c r="F58" s="20"/>
      <c r="G58" s="35" t="s">
        <v>143</v>
      </c>
      <c r="H58" s="24">
        <v>20000</v>
      </c>
      <c r="I58" s="24">
        <v>20000</v>
      </c>
      <c r="J58" s="24">
        <v>40000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20000</v>
      </c>
      <c r="AB58" s="24">
        <v>20000</v>
      </c>
      <c r="AC58" s="25">
        <v>40000</v>
      </c>
    </row>
    <row r="59" spans="1:29" s="19" customFormat="1" ht="14.25" x14ac:dyDescent="0.2">
      <c r="A59" s="17"/>
      <c r="B59" s="18"/>
      <c r="F59" s="22" t="s">
        <v>283</v>
      </c>
      <c r="G59" s="32" t="s">
        <v>260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7"/>
    </row>
    <row r="60" spans="1:29" s="19" customFormat="1" ht="14.25" x14ac:dyDescent="0.2">
      <c r="A60" s="17"/>
      <c r="B60" s="18"/>
      <c r="F60" s="22">
        <v>1</v>
      </c>
      <c r="G60" s="33" t="s">
        <v>256</v>
      </c>
      <c r="H60" s="26">
        <v>100000</v>
      </c>
      <c r="I60" s="26">
        <v>100000</v>
      </c>
      <c r="J60" s="26">
        <v>200000</v>
      </c>
      <c r="K60" s="26">
        <v>4200</v>
      </c>
      <c r="L60" s="26">
        <v>0</v>
      </c>
      <c r="M60" s="26">
        <v>0</v>
      </c>
      <c r="N60" s="26">
        <v>0</v>
      </c>
      <c r="O60" s="26">
        <v>0</v>
      </c>
      <c r="P60" s="26">
        <v>4200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104200</v>
      </c>
      <c r="AB60" s="26">
        <v>100000</v>
      </c>
      <c r="AC60" s="27">
        <v>204200</v>
      </c>
    </row>
    <row r="61" spans="1:29" x14ac:dyDescent="0.25">
      <c r="F61" s="20"/>
      <c r="G61" s="34" t="s">
        <v>77</v>
      </c>
      <c r="H61" s="24">
        <v>20000</v>
      </c>
      <c r="I61" s="24">
        <v>20000</v>
      </c>
      <c r="J61" s="24">
        <v>40000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20000</v>
      </c>
      <c r="AB61" s="24">
        <v>20000</v>
      </c>
      <c r="AC61" s="25">
        <v>40000</v>
      </c>
    </row>
    <row r="62" spans="1:29" x14ac:dyDescent="0.25">
      <c r="F62" s="20"/>
      <c r="G62" s="37" t="s">
        <v>78</v>
      </c>
      <c r="H62" s="24">
        <v>20000</v>
      </c>
      <c r="I62" s="24">
        <v>20000</v>
      </c>
      <c r="J62" s="24">
        <v>40000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20000</v>
      </c>
      <c r="AB62" s="24">
        <v>20000</v>
      </c>
      <c r="AC62" s="25">
        <v>40000</v>
      </c>
    </row>
    <row r="63" spans="1:29" x14ac:dyDescent="0.25">
      <c r="F63" s="20"/>
      <c r="G63" s="37" t="s">
        <v>62</v>
      </c>
      <c r="H63" s="24">
        <v>20000</v>
      </c>
      <c r="I63" s="24">
        <v>20000</v>
      </c>
      <c r="J63" s="24">
        <v>40000</v>
      </c>
      <c r="K63" s="24">
        <v>4000</v>
      </c>
      <c r="L63" s="24">
        <v>0</v>
      </c>
      <c r="M63" s="24">
        <v>0</v>
      </c>
      <c r="N63" s="24">
        <v>0</v>
      </c>
      <c r="O63" s="24">
        <v>0</v>
      </c>
      <c r="P63" s="24">
        <v>4000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24000</v>
      </c>
      <c r="AB63" s="24">
        <v>20000</v>
      </c>
      <c r="AC63" s="25">
        <v>44000</v>
      </c>
    </row>
    <row r="64" spans="1:29" x14ac:dyDescent="0.25">
      <c r="F64" s="20"/>
      <c r="G64" s="37" t="s">
        <v>73</v>
      </c>
      <c r="H64" s="24">
        <v>20000</v>
      </c>
      <c r="I64" s="24">
        <v>20000</v>
      </c>
      <c r="J64" s="24">
        <v>40000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20000</v>
      </c>
      <c r="AB64" s="24">
        <v>20000</v>
      </c>
      <c r="AC64" s="25">
        <v>40000</v>
      </c>
    </row>
    <row r="65" spans="1:29" x14ac:dyDescent="0.25">
      <c r="F65" s="20"/>
      <c r="G65" s="35" t="s">
        <v>79</v>
      </c>
      <c r="H65" s="24">
        <v>20000</v>
      </c>
      <c r="I65" s="24">
        <v>20000</v>
      </c>
      <c r="J65" s="24">
        <v>40000</v>
      </c>
      <c r="K65" s="24">
        <v>200</v>
      </c>
      <c r="L65" s="24">
        <v>0</v>
      </c>
      <c r="M65" s="24">
        <v>0</v>
      </c>
      <c r="N65" s="24">
        <v>0</v>
      </c>
      <c r="O65" s="24">
        <v>0</v>
      </c>
      <c r="P65" s="24">
        <v>200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20200</v>
      </c>
      <c r="AB65" s="24">
        <v>20000</v>
      </c>
      <c r="AC65" s="25">
        <v>40200</v>
      </c>
    </row>
    <row r="66" spans="1:29" s="19" customFormat="1" ht="14.25" x14ac:dyDescent="0.2">
      <c r="A66" s="17"/>
      <c r="B66" s="18"/>
      <c r="F66" s="22">
        <v>2</v>
      </c>
      <c r="G66" s="33" t="s">
        <v>252</v>
      </c>
      <c r="H66" s="26">
        <v>180000</v>
      </c>
      <c r="I66" s="26">
        <v>180000</v>
      </c>
      <c r="J66" s="26">
        <v>360000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180000</v>
      </c>
      <c r="AB66" s="26">
        <v>180000</v>
      </c>
      <c r="AC66" s="27">
        <v>360000</v>
      </c>
    </row>
    <row r="67" spans="1:29" x14ac:dyDescent="0.25">
      <c r="F67" s="20"/>
      <c r="G67" s="34" t="s">
        <v>84</v>
      </c>
      <c r="H67" s="24">
        <v>20000</v>
      </c>
      <c r="I67" s="24">
        <v>20000</v>
      </c>
      <c r="J67" s="24">
        <v>40000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20000</v>
      </c>
      <c r="AB67" s="24">
        <v>20000</v>
      </c>
      <c r="AC67" s="25">
        <v>40000</v>
      </c>
    </row>
    <row r="68" spans="1:29" x14ac:dyDescent="0.25">
      <c r="F68" s="20"/>
      <c r="G68" s="37" t="s">
        <v>87</v>
      </c>
      <c r="H68" s="24">
        <v>20000</v>
      </c>
      <c r="I68" s="24">
        <v>20000</v>
      </c>
      <c r="J68" s="24">
        <v>40000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20000</v>
      </c>
      <c r="AB68" s="24">
        <v>20000</v>
      </c>
      <c r="AC68" s="25">
        <v>40000</v>
      </c>
    </row>
    <row r="69" spans="1:29" x14ac:dyDescent="0.25">
      <c r="F69" s="20"/>
      <c r="G69" s="37" t="s">
        <v>90</v>
      </c>
      <c r="H69" s="24">
        <v>20000</v>
      </c>
      <c r="I69" s="24">
        <v>20000</v>
      </c>
      <c r="J69" s="24">
        <v>40000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20000</v>
      </c>
      <c r="AB69" s="24">
        <v>20000</v>
      </c>
      <c r="AC69" s="25">
        <v>40000</v>
      </c>
    </row>
    <row r="70" spans="1:29" x14ac:dyDescent="0.25">
      <c r="F70" s="20"/>
      <c r="G70" s="37" t="s">
        <v>88</v>
      </c>
      <c r="H70" s="24">
        <v>20000</v>
      </c>
      <c r="I70" s="24">
        <v>20000</v>
      </c>
      <c r="J70" s="24">
        <v>40000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20000</v>
      </c>
      <c r="AB70" s="24">
        <v>20000</v>
      </c>
      <c r="AC70" s="25">
        <v>40000</v>
      </c>
    </row>
    <row r="71" spans="1:29" x14ac:dyDescent="0.25">
      <c r="F71" s="20"/>
      <c r="G71" s="37" t="s">
        <v>89</v>
      </c>
      <c r="H71" s="24">
        <v>20000</v>
      </c>
      <c r="I71" s="24">
        <v>20000</v>
      </c>
      <c r="J71" s="24">
        <v>40000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20000</v>
      </c>
      <c r="AB71" s="24">
        <v>20000</v>
      </c>
      <c r="AC71" s="25">
        <v>40000</v>
      </c>
    </row>
    <row r="72" spans="1:29" x14ac:dyDescent="0.25">
      <c r="F72" s="20"/>
      <c r="G72" s="37" t="s">
        <v>91</v>
      </c>
      <c r="H72" s="24">
        <v>20000</v>
      </c>
      <c r="I72" s="24">
        <v>20000</v>
      </c>
      <c r="J72" s="24">
        <v>40000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20000</v>
      </c>
      <c r="AB72" s="24">
        <v>20000</v>
      </c>
      <c r="AC72" s="25">
        <v>40000</v>
      </c>
    </row>
    <row r="73" spans="1:29" x14ac:dyDescent="0.25">
      <c r="F73" s="20"/>
      <c r="G73" s="37" t="s">
        <v>85</v>
      </c>
      <c r="H73" s="24">
        <v>20000</v>
      </c>
      <c r="I73" s="24">
        <v>20000</v>
      </c>
      <c r="J73" s="24">
        <v>40000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20000</v>
      </c>
      <c r="AB73" s="24">
        <v>20000</v>
      </c>
      <c r="AC73" s="25">
        <v>40000</v>
      </c>
    </row>
    <row r="74" spans="1:29" x14ac:dyDescent="0.25">
      <c r="F74" s="20"/>
      <c r="G74" s="37" t="s">
        <v>86</v>
      </c>
      <c r="H74" s="24">
        <v>20000</v>
      </c>
      <c r="I74" s="24">
        <v>20000</v>
      </c>
      <c r="J74" s="24">
        <v>40000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20000</v>
      </c>
      <c r="AB74" s="24">
        <v>20000</v>
      </c>
      <c r="AC74" s="25">
        <v>40000</v>
      </c>
    </row>
    <row r="75" spans="1:29" x14ac:dyDescent="0.25">
      <c r="F75" s="20"/>
      <c r="G75" s="35" t="s">
        <v>82</v>
      </c>
      <c r="H75" s="24">
        <v>20000</v>
      </c>
      <c r="I75" s="24">
        <v>20000</v>
      </c>
      <c r="J75" s="24">
        <v>40000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20000</v>
      </c>
      <c r="AB75" s="24">
        <v>20000</v>
      </c>
      <c r="AC75" s="25">
        <v>40000</v>
      </c>
    </row>
    <row r="76" spans="1:29" s="19" customFormat="1" ht="14.25" x14ac:dyDescent="0.2">
      <c r="A76" s="17"/>
      <c r="B76" s="18"/>
      <c r="F76" s="22">
        <v>3</v>
      </c>
      <c r="G76" s="33" t="s">
        <v>255</v>
      </c>
      <c r="H76" s="26">
        <v>20000</v>
      </c>
      <c r="I76" s="26">
        <v>20000</v>
      </c>
      <c r="J76" s="26">
        <v>40000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20000</v>
      </c>
      <c r="AB76" s="26">
        <v>20000</v>
      </c>
      <c r="AC76" s="27">
        <v>40000</v>
      </c>
    </row>
    <row r="77" spans="1:29" x14ac:dyDescent="0.25">
      <c r="F77" s="20"/>
      <c r="G77" s="36" t="s">
        <v>80</v>
      </c>
      <c r="H77" s="24">
        <v>20000</v>
      </c>
      <c r="I77" s="24">
        <v>20000</v>
      </c>
      <c r="J77" s="24">
        <v>40000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20000</v>
      </c>
      <c r="AB77" s="24">
        <v>20000</v>
      </c>
      <c r="AC77" s="25">
        <v>40000</v>
      </c>
    </row>
    <row r="78" spans="1:29" s="19" customFormat="1" ht="14.25" x14ac:dyDescent="0.2">
      <c r="A78" s="17"/>
      <c r="B78" s="18"/>
      <c r="F78" s="22">
        <v>4</v>
      </c>
      <c r="G78" s="33" t="s">
        <v>259</v>
      </c>
      <c r="H78" s="26">
        <v>20000</v>
      </c>
      <c r="I78" s="26">
        <v>20000</v>
      </c>
      <c r="J78" s="26">
        <v>40000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20000</v>
      </c>
      <c r="AB78" s="26">
        <v>20000</v>
      </c>
      <c r="AC78" s="27">
        <v>40000</v>
      </c>
    </row>
    <row r="79" spans="1:29" x14ac:dyDescent="0.25">
      <c r="F79" s="20"/>
      <c r="G79" s="36" t="s">
        <v>97</v>
      </c>
      <c r="H79" s="24">
        <v>20000</v>
      </c>
      <c r="I79" s="24">
        <v>20000</v>
      </c>
      <c r="J79" s="24">
        <v>40000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20000</v>
      </c>
      <c r="AB79" s="24">
        <v>20000</v>
      </c>
      <c r="AC79" s="25">
        <v>40000</v>
      </c>
    </row>
    <row r="80" spans="1:29" s="19" customFormat="1" ht="14.25" x14ac:dyDescent="0.2">
      <c r="A80" s="17"/>
      <c r="B80" s="18"/>
      <c r="F80" s="22">
        <v>5</v>
      </c>
      <c r="G80" s="33" t="s">
        <v>258</v>
      </c>
      <c r="H80" s="26">
        <v>80000</v>
      </c>
      <c r="I80" s="26">
        <v>80000</v>
      </c>
      <c r="J80" s="26">
        <v>160000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80000</v>
      </c>
      <c r="AB80" s="26">
        <v>80000</v>
      </c>
      <c r="AC80" s="27">
        <v>160000</v>
      </c>
    </row>
    <row r="81" spans="6:29" x14ac:dyDescent="0.25">
      <c r="F81" s="20"/>
      <c r="G81" s="34" t="s">
        <v>92</v>
      </c>
      <c r="H81" s="24">
        <v>20000</v>
      </c>
      <c r="I81" s="24">
        <v>20000</v>
      </c>
      <c r="J81" s="24">
        <v>40000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20000</v>
      </c>
      <c r="AB81" s="24">
        <v>20000</v>
      </c>
      <c r="AC81" s="25">
        <v>40000</v>
      </c>
    </row>
    <row r="82" spans="6:29" x14ac:dyDescent="0.25">
      <c r="F82" s="20"/>
      <c r="G82" s="37" t="s">
        <v>94</v>
      </c>
      <c r="H82" s="24">
        <v>20000</v>
      </c>
      <c r="I82" s="24">
        <v>20000</v>
      </c>
      <c r="J82" s="24">
        <v>40000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20000</v>
      </c>
      <c r="AB82" s="24">
        <v>20000</v>
      </c>
      <c r="AC82" s="25">
        <v>40000</v>
      </c>
    </row>
    <row r="83" spans="6:29" x14ac:dyDescent="0.25">
      <c r="F83" s="20"/>
      <c r="G83" s="37" t="s">
        <v>95</v>
      </c>
      <c r="H83" s="24">
        <v>20000</v>
      </c>
      <c r="I83" s="24">
        <v>20000</v>
      </c>
      <c r="J83" s="24">
        <v>40000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20000</v>
      </c>
      <c r="AB83" s="24">
        <v>20000</v>
      </c>
      <c r="AC83" s="25">
        <v>40000</v>
      </c>
    </row>
    <row r="84" spans="6:29" x14ac:dyDescent="0.25">
      <c r="F84" s="20"/>
      <c r="G84" s="35" t="s">
        <v>96</v>
      </c>
      <c r="H84" s="28">
        <v>20000</v>
      </c>
      <c r="I84" s="28">
        <v>20000</v>
      </c>
      <c r="J84" s="28">
        <v>40000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20000</v>
      </c>
      <c r="AB84" s="28">
        <v>20000</v>
      </c>
      <c r="AC84" s="29">
        <v>40000</v>
      </c>
    </row>
  </sheetData>
  <mergeCells count="10">
    <mergeCell ref="Z10:Z12"/>
    <mergeCell ref="AA10:AB10"/>
    <mergeCell ref="AC10:AC12"/>
    <mergeCell ref="F6:F8"/>
    <mergeCell ref="G6:G8"/>
    <mergeCell ref="H10:I10"/>
    <mergeCell ref="J10:J12"/>
    <mergeCell ref="K10:O10"/>
    <mergeCell ref="P10:P12"/>
    <mergeCell ref="Q10:Y10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IF(bc_nxt!J10="",$F$7, IF(ISNUMBER(SEARCH("Sum", bc_nxt!J10)), "Tổng", bc_nxt!J10))</f>
        <v>Tổng</v>
      </c>
      <c r="D1" s="10" t="str">
        <f>IF(bc_nxt!K10="",$F$7, IF(ISNUMBER(SEARCH("Sum", bc_nxt!K10)), "Tổng", bc_nxt!K10))</f>
        <v>Nhập</v>
      </c>
      <c r="E1" s="10" t="str">
        <f>IF(bc_nxt!L10="",$F$7, IF(ISNUMBER(SEARCH("Sum", bc_nxt!L10)), "Tổng", bc_nxt!L10))</f>
        <v>Nhập</v>
      </c>
      <c r="F1" s="10" t="str">
        <f>IF(bc_nxt!M10="",$F$7, IF(ISNUMBER(SEARCH("Sum", bc_nxt!M10)), "Tổng", bc_nxt!M10))</f>
        <v>Nhập</v>
      </c>
      <c r="G1" s="10" t="str">
        <f>IF(bc_nxt!N10="",$F$7, IF(ISNUMBER(SEARCH("Sum", bc_nxt!N10)), "Tổng", bc_nxt!N10))</f>
        <v>Nhập</v>
      </c>
      <c r="H1" s="10" t="str">
        <f>IF(bc_nxt!O10="",$F$7, IF(ISNUMBER(SEARCH("Sum", bc_nxt!O10)), "Tổng", bc_nxt!O10))</f>
        <v>Nhập</v>
      </c>
      <c r="I1" s="10" t="str">
        <f>IF(bc_nxt!P10="",$F$7, IF(ISNUMBER(SEARCH("Sum", bc_nxt!P10)), "Tổng", bc_nxt!P10))</f>
        <v>Tổng</v>
      </c>
      <c r="J1" s="43"/>
      <c r="K1" s="10" t="str">
        <f>IF(bc_nxt!Q10="",$F$7, IF(ISNUMBER(SEARCH("Sum", bc_nxt!Q10)), "Tổng", bc_nxt!Q10))</f>
        <v>Xuất</v>
      </c>
      <c r="L1" s="10" t="str">
        <f>IF(bc_nxt!R10="",$F$7, IF(ISNUMBER(SEARCH("Sum", bc_nxt!R10)), "Tổng", bc_nxt!R10))</f>
        <v>Xuất</v>
      </c>
      <c r="M1" s="10" t="str">
        <f>IF(bc_nxt!S10="",$F$7, IF(ISNUMBER(SEARCH("Sum", bc_nxt!S10)), "Tổng", bc_nxt!S10))</f>
        <v>Xuất</v>
      </c>
      <c r="N1" s="10" t="str">
        <f>IF(bc_nxt!T10="",$F$7, IF(ISNUMBER(SEARCH("Sum", bc_nxt!T10)), "Tổng", bc_nxt!T10))</f>
        <v>Xuất</v>
      </c>
      <c r="O1" s="10" t="str">
        <f>IF(bc_nxt!U10="",$F$7, IF(ISNUMBER(SEARCH("Sum", bc_nxt!U10)), "Tổng", bc_nxt!U10))</f>
        <v>Xuất</v>
      </c>
      <c r="P1" s="10" t="str">
        <f>IF(bc_nxt!V10="",$F$7, IF(ISNUMBER(SEARCH("Sum", bc_nxt!V10)), "Tổng", bc_nxt!V10))</f>
        <v>Xuất</v>
      </c>
      <c r="Q1" s="10" t="str">
        <f>IF(bc_nxt!W10="",$F$7, IF(ISNUMBER(SEARCH("Sum", bc_nxt!W10)), "Tổng", bc_nxt!W10))</f>
        <v>Xuất</v>
      </c>
      <c r="R1" s="10" t="str">
        <f>IF(bc_nxt!X10="",$F$7, IF(ISNUMBER(SEARCH("Sum", bc_nxt!X10)), "Tổng", bc_nxt!X10))</f>
        <v>Xuất</v>
      </c>
      <c r="S1" s="10" t="str">
        <f>IF(bc_nxt!Y10="",$F$7, IF(ISNUMBER(SEARCH("Sum", bc_nxt!Y10)), "Tổng", bc_nxt!Y10))</f>
        <v>Xuất</v>
      </c>
      <c r="T1" s="10" t="str">
        <f>IF(bc_nxt!Z10="",$F$7, IF(ISNUMBER(SEARCH("Sum", bc_nxt!Z10)), "Tổng", bc_nxt!Z10))</f>
        <v>Tổng</v>
      </c>
      <c r="U1" s="10" t="str">
        <f>IF(bc_nxt!AA10="",$F$7, IF(ISNUMBER(SEARCH("Sum", bc_nxt!AA10)), "Tổng", bc_nxt!AA10))</f>
        <v>Tồn cuối kỳ</v>
      </c>
      <c r="V1" s="10"/>
      <c r="W1" s="10"/>
    </row>
    <row r="2" spans="1:23" x14ac:dyDescent="0.25">
      <c r="A2" s="10" t="str">
        <f>IF(bc_nxt!H11="",$F$7, IF(ISNUMBER(SEARCH("Sum", bc_nxt!H11)), "Tổng", bc_nxt!H11))</f>
        <v>DT cho NV đột xuất</v>
      </c>
      <c r="B2" s="11" t="str">
        <f>IF(bc_nxt!I11="",$F$7, IF(ISNUMBER(SEARCH("Sum", bc_nxt!I11)), "Tổng", bc_nxt!I11))</f>
        <v>DT SSCD</v>
      </c>
      <c r="C2" s="56">
        <f>IF(bc_nxt!J11="",$F$7, IF(ISNUMBER(SEARCH("Sum", bc_nxt!J11)), "Tổng", bc_nxt!J11))</f>
        <v>0</v>
      </c>
      <c r="D2" s="10" t="str">
        <f>IF(bc_nxt!K11="",$F$7, IF(ISNUMBER(SEARCH("Sum", bc_nxt!K11)), "Tổng", bc_nxt!K11))</f>
        <v>Nhập khác</v>
      </c>
      <c r="E2" s="10" t="str">
        <f>IF(bc_nxt!L11="",$F$7, IF(ISNUMBER(SEARCH("Sum", bc_nxt!L11)), "Tổng", bc_nxt!L11))</f>
        <v>CXD</v>
      </c>
      <c r="F2" s="10" t="str">
        <f>IF(bc_nxt!M11="",$F$7, IF(ISNUMBER(SEARCH("Sum", bc_nxt!M11)), "Tổng", bc_nxt!M11))</f>
        <v>QC</v>
      </c>
      <c r="G2" s="10" t="str">
        <f>IF(bc_nxt!N11="",$F$7, IF(ISNUMBER(SEARCH("Sum", bc_nxt!N11)), "Tổng", bc_nxt!N11))</f>
        <v>Mua P/cấp</v>
      </c>
      <c r="H2" s="10" t="str">
        <f>IF(bc_nxt!O11="",$F$7, IF(ISNUMBER(SEARCH("Sum", bc_nxt!O11)), "Tổng", bc_nxt!O11))</f>
        <v>Khác</v>
      </c>
      <c r="I2" s="56">
        <f>IF(bc_nxt!P11="",$F$7, IF(ISNUMBER(SEARCH("Sum", bc_nxt!P11)), "Tổng", bc_nxt!P11))</f>
        <v>0</v>
      </c>
      <c r="J2" s="43"/>
      <c r="K2" s="10" t="str">
        <f>IF(bc_nxt!Q11="",$F$7, IF(ISNUMBER(SEARCH("Sum", bc_nxt!Q11)), "Tổng", bc_nxt!Q11))</f>
        <v>Xuất khác</v>
      </c>
      <c r="L2" s="10"/>
      <c r="M2" s="10" t="str">
        <f>IF(bc_nxt!S11="",$F$7, IF(ISNUMBER(SEARCH("Sum", bc_nxt!S11)), "Tổng", bc_nxt!S11))</f>
        <v>CXD</v>
      </c>
      <c r="N2" s="10" t="str">
        <f>IF(bc_nxt!T11="",$F$7, IF(ISNUMBER(SEARCH("Sum", bc_nxt!T11)), "Tổng", bc_nxt!T11))</f>
        <v>Khác</v>
      </c>
      <c r="O2" s="10" t="str">
        <f>IF(bc_nxt!U11="",$F$7, IF(ISNUMBER(SEARCH("Sum", bc_nxt!U11)), "Tổng", bc_nxt!U11))</f>
        <v>TT Xe máy</v>
      </c>
      <c r="P2" s="10" t="str">
        <f>IF(bc_nxt!V11="",$F$7, IF(ISNUMBER(SEARCH("Sum", bc_nxt!V11)), "Tổng", bc_nxt!V11))</f>
        <v>BQ</v>
      </c>
      <c r="Q2" s="10" t="str">
        <f>IF(bc_nxt!W11="",$F$7, IF(ISNUMBER(SEARCH("Sum", bc_nxt!W11)), "Tổng", bc_nxt!W11))</f>
        <v>Hao hụt</v>
      </c>
      <c r="R2" s="56" t="str">
        <f>IF(bc_nxt!X11="",$F$7, IF(ISNUMBER(SEARCH("Sum", bc_nxt!X11)), "Tổng", bc_nxt!X11))</f>
        <v>Tổn thất</v>
      </c>
      <c r="S2" s="10" t="str">
        <f>IF(bc_nxt!Y11="",$F$7, IF(ISNUMBER(SEARCH("Sum", bc_nxt!Y11)), "Tổng", bc_nxt!Y11))</f>
        <v>f nội bộ</v>
      </c>
      <c r="T2" s="10">
        <f>IF(bc_nxt!Z11="",$F$7, IF(ISNUMBER(SEARCH("Sum", bc_nxt!Z11)), "Tổng", bc_nxt!Z11))</f>
        <v>0</v>
      </c>
      <c r="U2" s="56" t="str">
        <f>IF(bc_nxt!AA11="",$F$7, IF(ISNUMBER(SEARCH("Sum", bc_nxt!AA11)), "Tổng", bc_nxt!AA11))</f>
        <v>DT cho NV đột xuất</v>
      </c>
      <c r="V2" s="9"/>
    </row>
    <row r="3" spans="1:23" x14ac:dyDescent="0.25">
      <c r="A3" s="56"/>
      <c r="B3" s="57"/>
      <c r="C3" s="56"/>
      <c r="D3" s="10" t="str">
        <f>IF(bc_nxt!K12="",$F$7, IF(ISNUMBER(SEARCH("Sum", bc_nxt!K12)), "Tổng", bc_nxt!K12))</f>
        <v>Trong QC</v>
      </c>
      <c r="E3" s="56"/>
      <c r="F3" s="56"/>
      <c r="G3" s="56"/>
      <c r="H3" s="56"/>
      <c r="I3" s="56"/>
      <c r="J3" s="43"/>
      <c r="K3" s="10" t="str">
        <f>IF(bc_nxt!Q12="",$F$7, IF(ISNUMBER(SEARCH("Sum", bc_nxt!Q12)), "Tổng", bc_nxt!Q12))</f>
        <v>Ngoài QC</v>
      </c>
      <c r="L3" s="10" t="str">
        <f>IF(bc_nxt!R12="",$F$7, IF(ISNUMBER(SEARCH("Sum", bc_nxt!R12)), "Tổng", bc_nxt!R12))</f>
        <v>Trong QC</v>
      </c>
      <c r="M3" s="56"/>
      <c r="N3" s="56"/>
      <c r="O3" s="56"/>
      <c r="P3" s="56"/>
      <c r="Q3" s="56"/>
      <c r="R3" s="56"/>
      <c r="S3" s="56"/>
      <c r="T3" s="56"/>
      <c r="U3" s="56"/>
      <c r="V3" s="9"/>
    </row>
    <row r="4" spans="1:23" x14ac:dyDescent="0.25">
      <c r="A4" s="56"/>
      <c r="B4" s="57"/>
      <c r="C4" s="56"/>
      <c r="D4" s="56"/>
      <c r="E4" s="56"/>
      <c r="F4" s="56"/>
      <c r="G4" s="56"/>
      <c r="H4" s="56"/>
      <c r="I4" s="56"/>
      <c r="J4" s="43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</row>
    <row r="5" spans="1:23" x14ac:dyDescent="0.25">
      <c r="A5" s="56"/>
      <c r="B5" s="57"/>
      <c r="C5" s="56"/>
      <c r="D5" s="56"/>
      <c r="E5" s="56"/>
      <c r="F5" s="56"/>
      <c r="G5" s="56"/>
      <c r="H5" s="56"/>
      <c r="I5" s="56"/>
      <c r="J5" s="43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</row>
    <row r="6" spans="1:23" x14ac:dyDescent="0.25">
      <c r="A6" s="56"/>
      <c r="B6" s="57"/>
      <c r="C6" s="56"/>
      <c r="D6" s="56"/>
      <c r="E6" s="56"/>
      <c r="F6" s="56"/>
      <c r="G6" s="56"/>
      <c r="H6" s="56"/>
      <c r="I6" s="56"/>
      <c r="J6" s="43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</row>
    <row r="7" spans="1:23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43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3" x14ac:dyDescent="0.25">
      <c r="A8" s="56"/>
      <c r="B8" s="11">
        <f>COLUMN()</f>
        <v>2</v>
      </c>
      <c r="C8" s="9" t="str">
        <f>IF(bc_nxt!H10="",$F$7, IF(ISNUMBER(SEARCH("Sum", bc_nxt!H10)), "Tổng", bc_nxt!H10))</f>
        <v>Tồn đầu kỳ</v>
      </c>
      <c r="D8" s="9" t="str">
        <f>IF(bc_nxt!I10="",$F$7, IF(ISNUMBER(SEARCH("Sum", bc_nxt!I10)), "Tổng", bc_nxt!I10))</f>
        <v>Tồn đầu kỳ</v>
      </c>
      <c r="E8" s="9" t="str">
        <f>IF(bc_nxt!J10="",$F$7, IF(ISNUMBER(SEARCH("Sum", bc_nxt!J10)), "Tổng", bc_nxt!J10))</f>
        <v>Tổng</v>
      </c>
      <c r="F8" s="9" t="str">
        <f>IF(bc_nxt!K10="",$F$7, IF(ISNUMBER(SEARCH("Sum", bc_nxt!K10)), "Tổng", bc_nxt!K10))</f>
        <v>Nhập</v>
      </c>
      <c r="G8" s="9" t="str">
        <f>IF(bc_nxt!L10="",$F$7, IF(ISNUMBER(SEARCH("Sum", bc_nxt!L10)), "Tổng", bc_nxt!L10))</f>
        <v>Nhập</v>
      </c>
      <c r="H8" s="9" t="str">
        <f>IF(bc_nxt!M10="",$F$7, IF(ISNUMBER(SEARCH("Sum", bc_nxt!M10)), "Tổng", bc_nxt!M10))</f>
        <v>Nhập</v>
      </c>
      <c r="I8" s="9" t="str">
        <f>IF(bc_nxt!N10="",$F$7, IF(ISNUMBER(SEARCH("Sum", bc_nxt!N10)), "Tổng", bc_nxt!N10))</f>
        <v>Nhập</v>
      </c>
      <c r="J8" s="9"/>
      <c r="K8" s="9" t="str">
        <f>IF(bc_nxt!O10="",$F$7, IF(ISNUMBER(SEARCH("Sum", bc_nxt!O10)), "Tổng", bc_nxt!O10))</f>
        <v>Nhập</v>
      </c>
      <c r="L8" s="9" t="str">
        <f>IF(bc_nxt!P10="",$F$7, IF(ISNUMBER(SEARCH("Sum", bc_nxt!P10)), "Tổng", bc_nxt!P10))</f>
        <v>Tổng</v>
      </c>
      <c r="M8" s="9" t="str">
        <f>IF(bc_nxt!Q10="",$F$7, IF(ISNUMBER(SEARCH("Sum", bc_nxt!Q10)), "Tổng", bc_nxt!Q10))</f>
        <v>Xuất</v>
      </c>
      <c r="N8" s="9" t="str">
        <f>IF(bc_nxt!R10="",$F$7, IF(ISNUMBER(SEARCH("Sum", bc_nxt!R10)), "Tổng", bc_nxt!R10))</f>
        <v>Xuất</v>
      </c>
      <c r="O8" s="9" t="str">
        <f>IF(bc_nxt!S10="",$F$7, IF(ISNUMBER(SEARCH("Sum", bc_nxt!S10)), "Tổng", bc_nxt!S10))</f>
        <v>Xuất</v>
      </c>
      <c r="P8" s="9" t="str">
        <f>IF(bc_nxt!T10="",$F$7, IF(ISNUMBER(SEARCH("Sum", bc_nxt!T10)), "Tổng", bc_nxt!T10))</f>
        <v>Xuất</v>
      </c>
      <c r="Q8" s="9" t="str">
        <f>IF(bc_nxt!U10="",$F$7, IF(ISNUMBER(SEARCH("Sum", bc_nxt!U10)), "Tổng", bc_nxt!U10))</f>
        <v>Xuất</v>
      </c>
      <c r="R8" s="9" t="str">
        <f>IF(bc_nxt!V10="",$F$7, IF(ISNUMBER(SEARCH("Sum", bc_nxt!V10)), "Tổng", bc_nxt!V10))</f>
        <v>Xuất</v>
      </c>
      <c r="S8" s="9" t="str">
        <f>IF(bc_nxt!W10="",$F$7, IF(ISNUMBER(SEARCH("Sum", bc_nxt!W10)), "Tổng", bc_nxt!W10))</f>
        <v>Xuất</v>
      </c>
      <c r="T8" s="9" t="str">
        <f>IF(bc_nxt!X10="",$F$7, IF(ISNUMBER(SEARCH("Sum", bc_nxt!X10)), "Tổng", bc_nxt!X10))</f>
        <v>Xuất</v>
      </c>
      <c r="U8" s="9" t="str">
        <f>IF(bc_nxt!Y10="",$F$7, IF(ISNUMBER(SEARCH("Sum", bc_nxt!Y10)), "Tổng", bc_nxt!Y10))</f>
        <v>Xuất</v>
      </c>
      <c r="V8" s="9" t="str">
        <f>IF(bc_nxt!Z10="",$F$7, IF(ISNUMBER(SEARCH("Sum", bc_nxt!Z10)), "Tổng", bc_nxt!Z10))</f>
        <v>Tổng</v>
      </c>
      <c r="W8" s="9" t="str">
        <f>IF(bc_nxt!AA10="",$F$7, IF(ISNUMBER(SEARCH("Sum", bc_nxt!AA10)), "Tổng", bc_nxt!AA10))</f>
        <v>Tồn cuối kỳ</v>
      </c>
    </row>
    <row r="9" spans="1:23" x14ac:dyDescent="0.25">
      <c r="A9" s="56"/>
      <c r="B9" s="57"/>
      <c r="C9" s="9" t="str">
        <f>IF(bc_nxt!H11="",$F$7, IF(ISNUMBER(SEARCH("Sum", bc_nxt!H11)), "Tổng", bc_nxt!H11))</f>
        <v>DT cho NV đột xuất</v>
      </c>
      <c r="D9" s="9" t="str">
        <f>IF(bc_nxt!I11="",$F$7, IF(ISNUMBER(SEARCH("Sum", bc_nxt!I11)), "Tổng", bc_nxt!I11))</f>
        <v>DT SSCD</v>
      </c>
      <c r="E9" s="9">
        <f>IF(bc_nxt!J11="",$F$7, IF(ISNUMBER(SEARCH("Sum", bc_nxt!J11)), "Tổng", bc_nxt!J11))</f>
        <v>0</v>
      </c>
      <c r="F9" s="9" t="str">
        <f>IF(bc_nxt!K11="",$F$7, IF(ISNUMBER(SEARCH("Sum", bc_nxt!K11)), "Tổng", bc_nxt!K11))</f>
        <v>Nhập khác</v>
      </c>
      <c r="G9" s="9" t="str">
        <f>IF(bc_nxt!L11="",$F$7, IF(ISNUMBER(SEARCH("Sum", bc_nxt!L11)), "Tổng", bc_nxt!L11))</f>
        <v>CXD</v>
      </c>
      <c r="H9" s="9" t="str">
        <f>IF(bc_nxt!M11="",$F$7, IF(ISNUMBER(SEARCH("Sum", bc_nxt!M11)), "Tổng", bc_nxt!M11))</f>
        <v>QC</v>
      </c>
      <c r="I9" s="9" t="str">
        <f>IF(bc_nxt!N11="",$F$7, IF(ISNUMBER(SEARCH("Sum", bc_nxt!N11)), "Tổng", bc_nxt!N11))</f>
        <v>Mua P/cấp</v>
      </c>
      <c r="J9" s="9"/>
      <c r="K9" s="9" t="str">
        <f>IF(bc_nxt!O11="",$F$7, IF(ISNUMBER(SEARCH("Sum", bc_nxt!O11)), "Tổng", bc_nxt!O11))</f>
        <v>Khác</v>
      </c>
      <c r="L9" s="9">
        <f>IF(bc_nxt!P11="",$F$7, IF(ISNUMBER(SEARCH("Sum", bc_nxt!P11)), "Tổng", bc_nxt!P11))</f>
        <v>0</v>
      </c>
      <c r="M9" s="9" t="str">
        <f>IF(bc_nxt!Q11="",$F$7, IF(ISNUMBER(SEARCH("Sum", bc_nxt!Q11)), "Tổng", bc_nxt!Q11))</f>
        <v>Xuất khác</v>
      </c>
      <c r="N9" s="9" t="str">
        <f>IF(bc_nxt!R11="",$F$7, IF(ISNUMBER(SEARCH("Sum", bc_nxt!R11)), "Tổng", bc_nxt!R11))</f>
        <v>Nhập khác</v>
      </c>
      <c r="O9" s="9" t="str">
        <f>IF(bc_nxt!S11="",$F$7, IF(ISNUMBER(SEARCH("Sum", bc_nxt!S11)), "Tổng", bc_nxt!S11))</f>
        <v>CXD</v>
      </c>
      <c r="P9" s="9" t="str">
        <f>IF(bc_nxt!T11="",$F$7, IF(ISNUMBER(SEARCH("Sum", bc_nxt!T11)), "Tổng", bc_nxt!T11))</f>
        <v>Khác</v>
      </c>
      <c r="Q9" s="9" t="str">
        <f>IF(bc_nxt!U11="",$F$7, IF(ISNUMBER(SEARCH("Sum", bc_nxt!U11)), "Tổng", bc_nxt!U11))</f>
        <v>TT Xe máy</v>
      </c>
      <c r="R9" s="9" t="str">
        <f>IF(bc_nxt!V11="",$F$7, IF(ISNUMBER(SEARCH("Sum", bc_nxt!V11)), "Tổng", bc_nxt!V11))</f>
        <v>BQ</v>
      </c>
      <c r="S9" s="9" t="str">
        <f>IF(bc_nxt!W11="",$F$7, IF(ISNUMBER(SEARCH("Sum", bc_nxt!W11)), "Tổng", bc_nxt!W11))</f>
        <v>Hao hụt</v>
      </c>
      <c r="T9" s="9" t="str">
        <f>IF(bc_nxt!X11="",$F$7, IF(ISNUMBER(SEARCH("Sum", bc_nxt!X11)), "Tổng", bc_nxt!X11))</f>
        <v>Tổn thất</v>
      </c>
      <c r="U9" s="9" t="str">
        <f>IF(bc_nxt!Y11="",$F$7, IF(ISNUMBER(SEARCH("Sum", bc_nxt!Y11)), "Tổng", bc_nxt!Y11))</f>
        <v>f nội bộ</v>
      </c>
      <c r="V9" s="9">
        <f>IF(bc_nxt!Z11="",$F$7, IF(ISNUMBER(SEARCH("Sum", bc_nxt!Z11)), "Tổng", bc_nxt!Z11))</f>
        <v>0</v>
      </c>
      <c r="W9" s="9" t="str">
        <f>IF(bc_nxt!AA11="",$F$7, IF(ISNUMBER(SEARCH("Sum", bc_nxt!AA11)), "Tổng", bc_nxt!AA11))</f>
        <v>DT cho NV đột xuất</v>
      </c>
    </row>
    <row r="10" spans="1:23" x14ac:dyDescent="0.25">
      <c r="A10" s="56"/>
      <c r="B10" s="57"/>
      <c r="C10" s="9" t="str">
        <f>IF(bc_nxt!H12="",$F$7, IF(ISNUMBER(SEARCH("Sum", bc_nxt!H12)), "Tổng", bc_nxt!H12))</f>
        <v>DT cho NV đột xuất</v>
      </c>
      <c r="D10" s="9" t="str">
        <f>IF(bc_nxt!I12="",$F$7, IF(ISNUMBER(SEARCH("Sum", bc_nxt!I12)), "Tổng", bc_nxt!I12))</f>
        <v>DT SSCD</v>
      </c>
      <c r="E10" s="9">
        <f>IF(bc_nxt!J12="",$F$7, IF(ISNUMBER(SEARCH("Sum", bc_nxt!J12)), "Tổng", bc_nxt!J12))</f>
        <v>0</v>
      </c>
      <c r="F10" s="9" t="str">
        <f>IF(bc_nxt!K12="",$F$7, IF(ISNUMBER(SEARCH("Sum", bc_nxt!K12)), "Tổng", bc_nxt!K12))</f>
        <v>Trong QC</v>
      </c>
      <c r="G10" s="9" t="str">
        <f>IF(bc_nxt!L12="",$F$7, IF(ISNUMBER(SEARCH("Sum", bc_nxt!L12)), "Tổng", bc_nxt!L12))</f>
        <v>CXD</v>
      </c>
      <c r="H10" s="9" t="str">
        <f>IF(bc_nxt!M12="",$F$7, IF(ISNUMBER(SEARCH("Sum", bc_nxt!M12)), "Tổng", bc_nxt!M12))</f>
        <v>QC</v>
      </c>
      <c r="I10" s="9" t="str">
        <f>IF(bc_nxt!N12="",$F$7, IF(ISNUMBER(SEARCH("Sum", bc_nxt!N12)), "Tổng", bc_nxt!N12))</f>
        <v>Mua P/cấp</v>
      </c>
      <c r="J10" s="9"/>
      <c r="K10" s="9" t="str">
        <f>IF(bc_nxt!O12="",$F$7, IF(ISNUMBER(SEARCH("Sum", bc_nxt!O12)), "Tổng", bc_nxt!O12))</f>
        <v>Khác</v>
      </c>
      <c r="L10" s="9">
        <f>IF(bc_nxt!P12="",$F$7, IF(ISNUMBER(SEARCH("Sum", bc_nxt!P12)), "Tổng", bc_nxt!P12))</f>
        <v>0</v>
      </c>
      <c r="M10" s="9" t="str">
        <f>IF(bc_nxt!Q12="",$F$7, IF(ISNUMBER(SEARCH("Sum", bc_nxt!Q12)), "Tổng", bc_nxt!Q12))</f>
        <v>Ngoài QC</v>
      </c>
      <c r="N10" s="9" t="str">
        <f>IF(bc_nxt!R12="",$F$7, IF(ISNUMBER(SEARCH("Sum", bc_nxt!R12)), "Tổng", bc_nxt!R12))</f>
        <v>Trong QC</v>
      </c>
      <c r="O10" s="9" t="str">
        <f>IF(bc_nxt!S12="",$F$7, IF(ISNUMBER(SEARCH("Sum", bc_nxt!S12)), "Tổng", bc_nxt!S12))</f>
        <v>CXD</v>
      </c>
      <c r="P10" s="9" t="str">
        <f>IF(bc_nxt!T12="",$F$7, IF(ISNUMBER(SEARCH("Sum", bc_nxt!T12)), "Tổng", bc_nxt!T12))</f>
        <v>Khác</v>
      </c>
      <c r="Q10" s="9" t="str">
        <f>IF(bc_nxt!U12="",$F$7, IF(ISNUMBER(SEARCH("Sum", bc_nxt!U12)), "Tổng", bc_nxt!U12))</f>
        <v>TT Xe máy</v>
      </c>
      <c r="R10" s="9" t="str">
        <f>IF(bc_nxt!V12="",$F$7, IF(ISNUMBER(SEARCH("Sum", bc_nxt!V12)), "Tổng", bc_nxt!V12))</f>
        <v>BQ</v>
      </c>
      <c r="S10" s="9" t="str">
        <f>IF(bc_nxt!W12="",$F$7, IF(ISNUMBER(SEARCH("Sum", bc_nxt!W12)), "Tổng", bc_nxt!W12))</f>
        <v>Hao hụt</v>
      </c>
      <c r="T10" s="9" t="str">
        <f>IF(bc_nxt!X12="",$F$7, IF(ISNUMBER(SEARCH("Sum", bc_nxt!X12)), "Tổng", bc_nxt!X12))</f>
        <v>Tổn thất</v>
      </c>
      <c r="U10" s="9" t="str">
        <f>IF(bc_nxt!Y12="",$F$7, IF(ISNUMBER(SEARCH("Sum", bc_nxt!Y12)), "Tổng", bc_nxt!Y12))</f>
        <v>F nội bộ</v>
      </c>
      <c r="V10" s="9">
        <f>IF(bc_nxt!Z12="",$F$7, IF(ISNUMBER(SEARCH("Sum", bc_nxt!Z12)), "Tổng", bc_nxt!Z12))</f>
        <v>0</v>
      </c>
      <c r="W10" s="9" t="str">
        <f>IF(bc_nxt!AA12="",$F$7, IF(ISNUMBER(SEARCH("Sum", bc_nxt!AA12)), "Tổng", bc_nxt!AA12))</f>
        <v>DT cho NV đột xuất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P3:P7"/>
    <mergeCell ref="O3:O7"/>
    <mergeCell ref="M3:M7"/>
    <mergeCell ref="N3:N7"/>
    <mergeCell ref="K4:K7"/>
    <mergeCell ref="L4:L7"/>
    <mergeCell ref="U2:U7"/>
    <mergeCell ref="T3:T7"/>
    <mergeCell ref="S3:S7"/>
    <mergeCell ref="R2:R7"/>
    <mergeCell ref="Q3:Q7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socai</vt:lpstr>
      <vt:lpstr>loaixd</vt:lpstr>
      <vt:lpstr>nguon_nx</vt:lpstr>
      <vt:lpstr>phuongtien</vt:lpstr>
      <vt:lpstr>z_a</vt:lpstr>
      <vt:lpstr>bc_nxt</vt:lpstr>
      <vt:lpstr>bc_ttxd_xe_may_tau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2024-11-01T10:37:45Z</dcterms:modified>
</cp:coreProperties>
</file>