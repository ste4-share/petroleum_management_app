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tga\Downloads\xd_mn-main\"/>
    </mc:Choice>
  </mc:AlternateContent>
  <bookViews>
    <workbookView xWindow="0" yWindow="0" windowWidth="23040" windowHeight="9210" activeTab="5"/>
  </bookViews>
  <sheets>
    <sheet name="socai" sheetId="1" r:id="rId1"/>
    <sheet name="loaixd" sheetId="2" r:id="rId2"/>
    <sheet name="nguon_nx" sheetId="3" r:id="rId3"/>
    <sheet name="phuongtien" sheetId="4" r:id="rId4"/>
    <sheet name="z_a" sheetId="6" r:id="rId5"/>
    <sheet name="bc_nxt" sheetId="10" r:id="rId6"/>
    <sheet name="title" sheetId="12" r:id="rId7"/>
    <sheet name="tructhuoc" sheetId="7" r:id="rId8"/>
    <sheet name="nguonnx_tructhuoc" sheetId="8" r:id="rId9"/>
  </sheets>
  <definedNames>
    <definedName name="_xlcn.WorksheetConnection_data3.xlsmtb_loaixd21" hidden="1">tb_loaixd2[]</definedName>
    <definedName name="_xlcn.WorksheetConnection_data3.xlsmtb_nguon_nx1" hidden="1">tb_nguon_nx[]</definedName>
    <definedName name="_xlcn.WorksheetConnection_data3.xlsmtb_nguonnx_tructhuoc1" hidden="1">tb_nguonnx_tructhuoc[]</definedName>
    <definedName name="_xlcn.WorksheetConnection_data3.xlsmtb_socai1" hidden="1">tb_socai[]</definedName>
    <definedName name="_xlcn.WorksheetConnection_data3.xlsmtb_tructhuoc1" hidden="1">tb_tructhuoc[]</definedName>
    <definedName name="postgres" localSheetId="0" hidden="1">socai!$B$2:$AR$11</definedName>
    <definedName name="postgres_loaixd2" localSheetId="1" hidden="1">loaixd!$B$2:$I$53</definedName>
    <definedName name="postgres_nguon_nx" localSheetId="2" hidden="1">nguon_nx!$A$1:$F$46</definedName>
    <definedName name="postgres_nguonnx_tructhuoc" localSheetId="8" hidden="1">nguonnx_tructhuoc!$A$1:$C$31</definedName>
    <definedName name="postgres_nxt_reporter" localSheetId="6" hidden="1">title!$D$20:$J$21</definedName>
    <definedName name="postgres_tructhuoc" localSheetId="7" hidden="1">tructhuoc!$A$1:$G$15</definedName>
  </definedNames>
  <calcPr calcId="162913"/>
  <pivotCaches>
    <pivotCache cacheId="0" r:id="rId10"/>
    <pivotCache cacheId="70" r:id="rId1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_tructhuoc" name="tb_tructhuoc" connection="WorksheetConnection_data3.xlsm!tb_tructhuoc"/>
          <x15:modelTable id="tb_socai" name="tb_socai" connection="WorksheetConnection_data3.xlsm!tb_socai"/>
          <x15:modelTable id="tb_nguonnx_tructhuoc" name="tb_nguonnx_tructhuoc" connection="WorksheetConnection_data3.xlsm!tb_nguonnx_tructhuoc"/>
          <x15:modelTable id="tb_nguon_nx" name="tb_nguon_nx" connection="WorksheetConnection_data3.xlsm!tb_nguon_nx"/>
          <x15:modelTable id="tb_loaixd2" name="tb_loaixd2" connection="WorksheetConnection_data3.xlsm!tb_loaixd2"/>
        </x15:modelTables>
        <x15:modelRelationships>
          <x15:modelRelationship fromTable="tb_socai" fromColumn="loaixd_id" toTable="tb_loaixd2" toColumn="id"/>
          <x15:modelRelationship fromTable="tb_socai" fromColumn="nguonnx_tructhuoc" toTable="tb_nguonnx_tructhuoc" toColumn="id"/>
          <x15:modelRelationship fromTable="tb_nguonnx_tructhuoc" fromColumn="nguonnx_id" toTable="tb_nguon_nx" toColumn="id"/>
          <x15:modelRelationship fromTable="tb_nguonnx_tructhuoc" fromColumn="tructhuoc_id" toTable="tb_tructhuoc" toColumn="id"/>
        </x15:modelRelationships>
      </x15:dataModel>
    </ext>
  </extLst>
</workbook>
</file>

<file path=xl/calcChain.xml><?xml version="1.0" encoding="utf-8"?>
<calcChain xmlns="http://schemas.openxmlformats.org/spreadsheetml/2006/main">
  <c r="H7" i="10" l="1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H8" i="10"/>
  <c r="I8" i="10"/>
  <c r="J8" i="10"/>
  <c r="K8" i="10"/>
  <c r="L8" i="10"/>
  <c r="M8" i="10"/>
  <c r="N8" i="10"/>
  <c r="O8" i="10"/>
  <c r="P8" i="10"/>
  <c r="Q8" i="10"/>
  <c r="R8" i="10"/>
  <c r="S8" i="10"/>
  <c r="T8" i="10"/>
  <c r="U8" i="10"/>
  <c r="V8" i="10"/>
  <c r="W8" i="10"/>
  <c r="X8" i="10"/>
  <c r="Y8" i="10"/>
  <c r="Z8" i="10"/>
  <c r="AA8" i="10"/>
  <c r="AB8" i="10"/>
  <c r="I6" i="10"/>
  <c r="J6" i="10"/>
  <c r="K6" i="10"/>
  <c r="L6" i="10"/>
  <c r="M6" i="10"/>
  <c r="N6" i="10"/>
  <c r="O6" i="10"/>
  <c r="P6" i="10"/>
  <c r="Q6" i="10"/>
  <c r="R6" i="10"/>
  <c r="S6" i="10"/>
  <c r="T6" i="10"/>
  <c r="U6" i="10"/>
  <c r="V6" i="10"/>
  <c r="W6" i="10"/>
  <c r="X6" i="10"/>
  <c r="Y6" i="10"/>
  <c r="Z6" i="10"/>
  <c r="AA6" i="10"/>
  <c r="AB6" i="10"/>
  <c r="H6" i="10" l="1"/>
  <c r="C9" i="12"/>
  <c r="D9" i="12"/>
  <c r="E9" i="12"/>
  <c r="F9" i="12"/>
  <c r="G9" i="12"/>
  <c r="H9" i="12"/>
  <c r="I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C10" i="12"/>
  <c r="D10" i="12"/>
  <c r="E10" i="12"/>
  <c r="F10" i="12"/>
  <c r="G10" i="12"/>
  <c r="H10" i="12"/>
  <c r="I10" i="12"/>
  <c r="K10" i="12"/>
  <c r="L10" i="12"/>
  <c r="M10" i="12"/>
  <c r="N10" i="12"/>
  <c r="O10" i="12"/>
  <c r="P10" i="12"/>
  <c r="Q10" i="12"/>
  <c r="R10" i="12"/>
  <c r="S10" i="12"/>
  <c r="T10" i="12"/>
  <c r="U10" i="12"/>
  <c r="V10" i="12"/>
  <c r="W10" i="12"/>
  <c r="B8" i="12"/>
  <c r="C7" i="12"/>
  <c r="W8" i="12"/>
  <c r="V8" i="12"/>
  <c r="D8" i="12"/>
  <c r="E8" i="12"/>
  <c r="F8" i="12"/>
  <c r="G8" i="12"/>
  <c r="H8" i="12"/>
  <c r="I8" i="12"/>
  <c r="K8" i="12"/>
  <c r="L8" i="12"/>
  <c r="M8" i="12"/>
  <c r="N8" i="12"/>
  <c r="O8" i="12"/>
  <c r="P8" i="12"/>
  <c r="Q8" i="12"/>
  <c r="R8" i="12"/>
  <c r="S8" i="12"/>
  <c r="T8" i="12"/>
  <c r="U8" i="12"/>
  <c r="C8" i="12"/>
  <c r="C1" i="12"/>
  <c r="D1" i="12"/>
  <c r="E1" i="12"/>
  <c r="F1" i="12"/>
  <c r="G1" i="12"/>
  <c r="H1" i="12"/>
  <c r="I1" i="12"/>
  <c r="K1" i="12"/>
  <c r="L1" i="12"/>
  <c r="M1" i="12"/>
  <c r="N1" i="12"/>
  <c r="O1" i="12"/>
  <c r="P1" i="12"/>
  <c r="Q1" i="12"/>
  <c r="R1" i="12"/>
  <c r="S1" i="12"/>
  <c r="T1" i="12"/>
  <c r="U1" i="12"/>
  <c r="A2" i="12"/>
  <c r="B2" i="12"/>
  <c r="C2" i="12"/>
  <c r="D2" i="12"/>
  <c r="E2" i="12"/>
  <c r="F2" i="12"/>
  <c r="G2" i="12"/>
  <c r="H2" i="12"/>
  <c r="I2" i="12"/>
  <c r="K2" i="12"/>
  <c r="M2" i="12"/>
  <c r="N2" i="12"/>
  <c r="O2" i="12"/>
  <c r="P2" i="12"/>
  <c r="Q2" i="12"/>
  <c r="R2" i="12"/>
  <c r="S2" i="12"/>
  <c r="T2" i="12"/>
  <c r="U2" i="12"/>
  <c r="D3" i="12"/>
  <c r="K3" i="12"/>
  <c r="L3" i="12"/>
  <c r="AI9" i="10" l="1"/>
  <c r="AH9" i="10"/>
  <c r="AI10" i="10"/>
  <c r="AJ10" i="10"/>
  <c r="AK10" i="10"/>
  <c r="AL10" i="10"/>
  <c r="AM10" i="10"/>
  <c r="AN10" i="10"/>
  <c r="AO10" i="10"/>
  <c r="AP10" i="10"/>
  <c r="AQ10" i="10"/>
  <c r="AR10" i="10"/>
  <c r="AS10" i="10"/>
  <c r="AT10" i="10"/>
  <c r="AU10" i="10"/>
  <c r="AV10" i="10"/>
  <c r="AW10" i="10"/>
  <c r="AX10" i="10"/>
  <c r="AY10" i="10"/>
  <c r="AZ10" i="10"/>
  <c r="BA10" i="10"/>
  <c r="BB10" i="10"/>
  <c r="AI11" i="10"/>
  <c r="AJ11" i="10"/>
  <c r="AK11" i="10"/>
  <c r="AL11" i="10"/>
  <c r="AM11" i="10"/>
  <c r="AN11" i="10"/>
  <c r="AO11" i="10"/>
  <c r="AP11" i="10"/>
  <c r="AQ11" i="10"/>
  <c r="AR11" i="10"/>
  <c r="AS11" i="10"/>
  <c r="AT11" i="10"/>
  <c r="AU11" i="10"/>
  <c r="AV11" i="10"/>
  <c r="AW11" i="10"/>
  <c r="AX11" i="10"/>
  <c r="AY11" i="10"/>
  <c r="AZ11" i="10"/>
  <c r="BA11" i="10"/>
  <c r="BB11" i="10"/>
  <c r="AW9" i="10"/>
  <c r="AX9" i="10"/>
  <c r="AY9" i="10"/>
  <c r="AZ9" i="10"/>
  <c r="BA9" i="10"/>
  <c r="BB9" i="10"/>
  <c r="AJ9" i="10"/>
  <c r="AK9" i="10"/>
  <c r="AL9" i="10"/>
  <c r="AM9" i="10"/>
  <c r="AN9" i="10"/>
  <c r="AO9" i="10"/>
  <c r="AP9" i="10"/>
  <c r="AQ9" i="10"/>
  <c r="AR9" i="10"/>
  <c r="AS9" i="10"/>
  <c r="AT9" i="10"/>
  <c r="AU9" i="10"/>
  <c r="AV9" i="10"/>
  <c r="BC10" i="10"/>
  <c r="BD10" i="10"/>
  <c r="BC11" i="10"/>
  <c r="BD11" i="10"/>
  <c r="BC9" i="10"/>
  <c r="BD9" i="10"/>
</calcChain>
</file>

<file path=xl/connections.xml><?xml version="1.0" encoding="utf-8"?>
<connections xmlns="http://schemas.openxmlformats.org/spreadsheetml/2006/main">
  <connection id="1" odcFile="C:\Users\tga\Documents\My Data Sources\postgres category.odc" name="postgres category" type="1" refreshedVersion="6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category&quot;"/>
  </connection>
  <connection id="2" odcFile="C:\Users\tga\Documents\My Data Sources\postgres inv_report_detail.odc" name="postgres inv_report_detail" type="1" refreshedVersion="6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inv_report_detail&quot;"/>
  </connection>
  <connection id="3" odcFile="C:\Users\tga\Documents\My Data Sources\postgres loaixd2.odc" name="postgres loaixd2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loaixd2&quot;"/>
  </connection>
  <connection id="4" odcFile="C:\Users\tga\Documents\My Data Sources\postgres nguon_nx.odc" name="postgres nguon_nx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guon_nx&quot;"/>
  </connection>
  <connection id="5" odcFile="C:\Users\tga\Documents\My Data Sources\postgres nguonnx_tructhuoc.odc" name="postgres nguonnx_tructhuoc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guonnx_tructhuoc&quot;"/>
  </connection>
  <connection id="6" odcFile="C:\Users\tga\Documents\My Data Sources\postgres nxt_reporter.odc" name="postgres nxt_reporter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xt_reporter&quot;"/>
  </connection>
  <connection id="7" odcFile="C:\Users\tga\Documents\My Data Sources\postgres tructhuoc.odc" name="postgres tructhuoc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tructhuoc&quot;"/>
  </connection>
  <connection id="8" odcFile="C:\Users\tga\Documents\My Data Sources\postgres.odc" name="postgres6666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so_cai&quot;"/>
  </connection>
  <connection id="9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0" name="WorksheetConnection_data3.xlsm!tb_loaixd2" type="102" refreshedVersion="6" minRefreshableVersion="5">
    <extLst>
      <ext xmlns:x15="http://schemas.microsoft.com/office/spreadsheetml/2010/11/main" uri="{DE250136-89BD-433C-8126-D09CA5730AF9}">
        <x15:connection id="tb_loaixd2">
          <x15:rangePr sourceName="_xlcn.WorksheetConnection_data3.xlsmtb_loaixd21"/>
        </x15:connection>
      </ext>
    </extLst>
  </connection>
  <connection id="11" name="WorksheetConnection_data3.xlsm!tb_nguon_nx" type="102" refreshedVersion="6" minRefreshableVersion="5">
    <extLst>
      <ext xmlns:x15="http://schemas.microsoft.com/office/spreadsheetml/2010/11/main" uri="{DE250136-89BD-433C-8126-D09CA5730AF9}">
        <x15:connection id="tb_nguon_nx">
          <x15:rangePr sourceName="_xlcn.WorksheetConnection_data3.xlsmtb_nguon_nx1"/>
        </x15:connection>
      </ext>
    </extLst>
  </connection>
  <connection id="12" name="WorksheetConnection_data3.xlsm!tb_nguonnx_tructhuoc" type="102" refreshedVersion="6" minRefreshableVersion="5">
    <extLst>
      <ext xmlns:x15="http://schemas.microsoft.com/office/spreadsheetml/2010/11/main" uri="{DE250136-89BD-433C-8126-D09CA5730AF9}">
        <x15:connection id="tb_nguonnx_tructhuoc">
          <x15:rangePr sourceName="_xlcn.WorksheetConnection_data3.xlsmtb_nguonnx_tructhuoc1"/>
        </x15:connection>
      </ext>
    </extLst>
  </connection>
  <connection id="13" name="WorksheetConnection_data3.xlsm!tb_socai" type="102" refreshedVersion="6" minRefreshableVersion="5">
    <extLst>
      <ext xmlns:x15="http://schemas.microsoft.com/office/spreadsheetml/2010/11/main" uri="{DE250136-89BD-433C-8126-D09CA5730AF9}">
        <x15:connection id="tb_socai" autoDelete="1">
          <x15:rangePr sourceName="_xlcn.WorksheetConnection_data3.xlsmtb_socai1"/>
        </x15:connection>
      </ext>
    </extLst>
  </connection>
  <connection id="14" name="WorksheetConnection_data3.xlsm!tb_tructhuoc" type="102" refreshedVersion="6" minRefreshableVersion="5">
    <extLst>
      <ext xmlns:x15="http://schemas.microsoft.com/office/spreadsheetml/2010/11/main" uri="{DE250136-89BD-433C-8126-D09CA5730AF9}">
        <x15:connection id="tb_tructhuoc">
          <x15:rangePr sourceName="_xlcn.WorksheetConnection_data3.xlsmtb_tructhuoc1"/>
        </x15:connection>
      </ext>
    </extLst>
  </connection>
</connections>
</file>

<file path=xl/sharedStrings.xml><?xml version="1.0" encoding="utf-8"?>
<sst xmlns="http://schemas.openxmlformats.org/spreadsheetml/2006/main" count="831" uniqueCount="293">
  <si>
    <t>dvi</t>
  </si>
  <si>
    <t>ngay</t>
  </si>
  <si>
    <t>ma_xd</t>
  </si>
  <si>
    <t>ten_xd</t>
  </si>
  <si>
    <t>chung_loai</t>
  </si>
  <si>
    <t>loai_phieu</t>
  </si>
  <si>
    <t>so</t>
  </si>
  <si>
    <t>theo_lenh_so</t>
  </si>
  <si>
    <t>nhiem_vu</t>
  </si>
  <si>
    <t>nguoi_nhan_hang</t>
  </si>
  <si>
    <t>so_xe</t>
  </si>
  <si>
    <t>chat_luong</t>
  </si>
  <si>
    <t>phai_xuat</t>
  </si>
  <si>
    <t>nhiet_do_tt</t>
  </si>
  <si>
    <t>ty_trong</t>
  </si>
  <si>
    <t>he_so_vcf</t>
  </si>
  <si>
    <t>thuc_xuat</t>
  </si>
  <si>
    <t>don_gia</t>
  </si>
  <si>
    <t>thanh_tien</t>
  </si>
  <si>
    <t>so_km</t>
  </si>
  <si>
    <t>so_gio</t>
  </si>
  <si>
    <t>dvvc</t>
  </si>
  <si>
    <t>id</t>
  </si>
  <si>
    <t>loaixd_id</t>
  </si>
  <si>
    <t>nguonnx_id</t>
  </si>
  <si>
    <t>cmt</t>
  </si>
  <si>
    <t>nguonnx_dvvc_id</t>
  </si>
  <si>
    <t>sscd</t>
  </si>
  <si>
    <t>denngay</t>
  </si>
  <si>
    <t>quarter_id</t>
  </si>
  <si>
    <t>timestamp</t>
  </si>
  <si>
    <t>tcn_id</t>
  </si>
  <si>
    <t>nhiemvu_id</t>
  </si>
  <si>
    <t>nvu_tcn_id</t>
  </si>
  <si>
    <t>nvu_tructhuoc</t>
  </si>
  <si>
    <t>nguonnx_tructhuoc</t>
  </si>
  <si>
    <t>nguonnx_tcn</t>
  </si>
  <si>
    <t>phuongtien_id</t>
  </si>
  <si>
    <t>nguonnx_nvu_id</t>
  </si>
  <si>
    <t>phuongtien_nvu_id</t>
  </si>
  <si>
    <t>so_phut</t>
  </si>
  <si>
    <t>tonkhotong_id</t>
  </si>
  <si>
    <t>tonkho_id</t>
  </si>
  <si>
    <t>f Bộ</t>
  </si>
  <si>
    <t>01-10-2024</t>
  </si>
  <si>
    <t>XANG E5 RON92</t>
  </si>
  <si>
    <t>N</t>
  </si>
  <si>
    <t>9444</t>
  </si>
  <si>
    <t>kh-239</t>
  </si>
  <si>
    <t>Nhập hạn mức</t>
  </si>
  <si>
    <t>Dc Thanh</t>
  </si>
  <si>
    <t>QA-2342</t>
  </si>
  <si>
    <t>0</t>
  </si>
  <si>
    <t>Kho 190</t>
  </si>
  <si>
    <t>09-10-2024</t>
  </si>
  <si>
    <t>Xăng A80</t>
  </si>
  <si>
    <t>9954</t>
  </si>
  <si>
    <t>kh-2302</t>
  </si>
  <si>
    <t>QA-3202</t>
  </si>
  <si>
    <t>Kho 671</t>
  </si>
  <si>
    <t>10-10-2024</t>
  </si>
  <si>
    <t>Lukoi 15W-40</t>
  </si>
  <si>
    <t>Dầu MC-20</t>
  </si>
  <si>
    <t>9322</t>
  </si>
  <si>
    <t/>
  </si>
  <si>
    <t>Kho K99</t>
  </si>
  <si>
    <t>17-10-2024</t>
  </si>
  <si>
    <t>maxd</t>
  </si>
  <si>
    <t>tenxd</t>
  </si>
  <si>
    <t>chungloai</t>
  </si>
  <si>
    <t>status</t>
  </si>
  <si>
    <t>ut</t>
  </si>
  <si>
    <t>type</t>
  </si>
  <si>
    <t>Dầu MC-8P</t>
  </si>
  <si>
    <t>DMN-HK-DDC</t>
  </si>
  <si>
    <t>ACTIVE</t>
  </si>
  <si>
    <t>DMN-HK</t>
  </si>
  <si>
    <t>Dầu B-3V</t>
  </si>
  <si>
    <t>Dầu IPM-10</t>
  </si>
  <si>
    <t>Hypôit (TC Gip)</t>
  </si>
  <si>
    <t>Dầu AMG-10</t>
  </si>
  <si>
    <t>DMN-HK-DTL</t>
  </si>
  <si>
    <t>Turbonicoil210A(IPM-10)</t>
  </si>
  <si>
    <t>DMN-HK-DK</t>
  </si>
  <si>
    <t>Aeroshell Fluid41(AMG-10)</t>
  </si>
  <si>
    <t>Turbonicoil 321(MC8P)</t>
  </si>
  <si>
    <t>Turbonicoil 35M (B3V)</t>
  </si>
  <si>
    <t>Dầu 132-25</t>
  </si>
  <si>
    <t>Grease28 (Mỡ 221)</t>
  </si>
  <si>
    <t>Grease33 (OKB)</t>
  </si>
  <si>
    <t>Grease22</t>
  </si>
  <si>
    <t>OKB122-7-5</t>
  </si>
  <si>
    <t>Mỡ 201</t>
  </si>
  <si>
    <t>DMN-HK-MN</t>
  </si>
  <si>
    <t>Mỡ 221</t>
  </si>
  <si>
    <t>Mỡ HK-50</t>
  </si>
  <si>
    <t>Mỡ số 9</t>
  </si>
  <si>
    <t>Xăng CN</t>
  </si>
  <si>
    <t>DMN-HK-DM</t>
  </si>
  <si>
    <t>E5-RON92</t>
  </si>
  <si>
    <t>NL-XANG-OTO</t>
  </si>
  <si>
    <t>NL</t>
  </si>
  <si>
    <t>A80</t>
  </si>
  <si>
    <t>DO 0,05% S</t>
  </si>
  <si>
    <t>DIEZEL-XANG-OTO</t>
  </si>
  <si>
    <t>JETA-01</t>
  </si>
  <si>
    <t>Dầu JETA-01</t>
  </si>
  <si>
    <t>DAUBAY</t>
  </si>
  <si>
    <t>TC-01</t>
  </si>
  <si>
    <t>Dầu TC-1</t>
  </si>
  <si>
    <t>JETA-1K</t>
  </si>
  <si>
    <t>Dầu JETA-1K</t>
  </si>
  <si>
    <t>TC-1</t>
  </si>
  <si>
    <t>DầU TC-1</t>
  </si>
  <si>
    <t>DAUHACAP</t>
  </si>
  <si>
    <t>JetA-1K</t>
  </si>
  <si>
    <t>DầU JetA-1K</t>
  </si>
  <si>
    <t>MILPCO1-SAE40</t>
  </si>
  <si>
    <t>DMN-MD-DCOTO</t>
  </si>
  <si>
    <t>DMN-MD</t>
  </si>
  <si>
    <t>MILPCO1-S-SAE40</t>
  </si>
  <si>
    <t>MT-16P</t>
  </si>
  <si>
    <t>CastrolCRB200W-50</t>
  </si>
  <si>
    <t>HelixHX-3</t>
  </si>
  <si>
    <t>Rimula R4X</t>
  </si>
  <si>
    <t>Niwanano ios32-HG32</t>
  </si>
  <si>
    <t>QUATVNM 20W50</t>
  </si>
  <si>
    <t>QUAT9000-0W20</t>
  </si>
  <si>
    <t>Galube90eps</t>
  </si>
  <si>
    <t>DMN-MD-DTD</t>
  </si>
  <si>
    <t>MILPC02-SAE90</t>
  </si>
  <si>
    <t>MILPC03-SAE90</t>
  </si>
  <si>
    <t>GearGL4 W90</t>
  </si>
  <si>
    <t>Morrisong 140ef90</t>
  </si>
  <si>
    <t>Phanh BCK</t>
  </si>
  <si>
    <t>DMN-MD-DK</t>
  </si>
  <si>
    <t>MIL PC06</t>
  </si>
  <si>
    <t>Mỡ 1-13</t>
  </si>
  <si>
    <t>DMN-MD-MGMS</t>
  </si>
  <si>
    <t>Mỡ SOLE DON</t>
  </si>
  <si>
    <t>Caxilium No2</t>
  </si>
  <si>
    <t>Mỡ Gzeose GL2</t>
  </si>
  <si>
    <t>Mỡ Gzeose GL3</t>
  </si>
  <si>
    <t>Opalgrease No3</t>
  </si>
  <si>
    <t>name</t>
  </si>
  <si>
    <t>transaction</t>
  </si>
  <si>
    <t>Tiêu thụ cho xe, máy</t>
  </si>
  <si>
    <t>tt_xm</t>
  </si>
  <si>
    <t>XUAT</t>
  </si>
  <si>
    <t>SHOW</t>
  </si>
  <si>
    <t>Khác</t>
  </si>
  <si>
    <t>NHAP</t>
  </si>
  <si>
    <t>Trong QC</t>
  </si>
  <si>
    <t>DV_Khac</t>
  </si>
  <si>
    <t>Ngoài QC</t>
  </si>
  <si>
    <t>Tổn thất</t>
  </si>
  <si>
    <t>Quân chủng</t>
  </si>
  <si>
    <t>Phân cấp</t>
  </si>
  <si>
    <t>Cục xăng dầu</t>
  </si>
  <si>
    <t>QK2</t>
  </si>
  <si>
    <t>Hao hụt</t>
  </si>
  <si>
    <t>Bảo quản</t>
  </si>
  <si>
    <t>tructhuoc_id</t>
  </si>
  <si>
    <t>ten</t>
  </si>
  <si>
    <t>loai</t>
  </si>
  <si>
    <t>createtime</t>
  </si>
  <si>
    <t>loai_tt</t>
  </si>
  <si>
    <t>may_bay</t>
  </si>
  <si>
    <t>NHM-CUC-XD</t>
  </si>
  <si>
    <t>2024-08-29</t>
  </si>
  <si>
    <t>N_KHAC</t>
  </si>
  <si>
    <t>Kho 661</t>
  </si>
  <si>
    <t>09-09-2024</t>
  </si>
  <si>
    <t>Kho K14 cap</t>
  </si>
  <si>
    <t>NQC</t>
  </si>
  <si>
    <t>f370</t>
  </si>
  <si>
    <t>N-DVK</t>
  </si>
  <si>
    <t>f372</t>
  </si>
  <si>
    <t>Trường SQKQ</t>
  </si>
  <si>
    <t>Bộ tham mưu</t>
  </si>
  <si>
    <t>Lữ đoàn 918</t>
  </si>
  <si>
    <t>Công ty XDQD</t>
  </si>
  <si>
    <t>MTC-MPC</t>
  </si>
  <si>
    <t>Cty XD PVOil HP</t>
  </si>
  <si>
    <t>Viettel S125VT</t>
  </si>
  <si>
    <t>NK</t>
  </si>
  <si>
    <t>Đổi hàng DT</t>
  </si>
  <si>
    <t>Cty XD Minh Đức</t>
  </si>
  <si>
    <t>Mua công tác lẻ</t>
  </si>
  <si>
    <t>MCTL-MPC</t>
  </si>
  <si>
    <t>Cty XD Lưu Nga</t>
  </si>
  <si>
    <t>Hạch toán(NM)</t>
  </si>
  <si>
    <t>QPQT-22</t>
  </si>
  <si>
    <t>Nhà máy A32</t>
  </si>
  <si>
    <t>Nhà máy A42</t>
  </si>
  <si>
    <t>XHM</t>
  </si>
  <si>
    <t>X_KHAC</t>
  </si>
  <si>
    <t>e921</t>
  </si>
  <si>
    <t>X_KH</t>
  </si>
  <si>
    <t>KE_HOACH</t>
  </si>
  <si>
    <t>e916</t>
  </si>
  <si>
    <t>e923</t>
  </si>
  <si>
    <t>e927</t>
  </si>
  <si>
    <t>d Kiến An</t>
  </si>
  <si>
    <t>d Vinh</t>
  </si>
  <si>
    <t>d Nà Sản</t>
  </si>
  <si>
    <t>d Nội Bài</t>
  </si>
  <si>
    <t>TQC</t>
  </si>
  <si>
    <t>KHAC</t>
  </si>
  <si>
    <t>Tiêu thụ cho xe máy</t>
  </si>
  <si>
    <t>XBN-TQC</t>
  </si>
  <si>
    <t>Học viện PK-KQ</t>
  </si>
  <si>
    <t>Hạ cấp</t>
  </si>
  <si>
    <t>XK</t>
  </si>
  <si>
    <t>Viettel</t>
  </si>
  <si>
    <t>Dự trữ Quốc Gia</t>
  </si>
  <si>
    <t>Column Labels</t>
  </si>
  <si>
    <t>Tên xăng dầu</t>
  </si>
  <si>
    <t>5665</t>
  </si>
  <si>
    <t>kh-3334</t>
  </si>
  <si>
    <t>QA-2302</t>
  </si>
  <si>
    <t>07-10-2024</t>
  </si>
  <si>
    <t>21-10-2024</t>
  </si>
  <si>
    <t>1111</t>
  </si>
  <si>
    <t>kh-2939</t>
  </si>
  <si>
    <t>QA-329</t>
  </si>
  <si>
    <t>28-10-2024</t>
  </si>
  <si>
    <t>6666</t>
  </si>
  <si>
    <t>kh-2393</t>
  </si>
  <si>
    <t>Nhập Quân Chủng</t>
  </si>
  <si>
    <t>Dc Khanh</t>
  </si>
  <si>
    <t>QA-3222</t>
  </si>
  <si>
    <t>15-10-2024</t>
  </si>
  <si>
    <t>so_luong</t>
  </si>
  <si>
    <t>9999</t>
  </si>
  <si>
    <t>kh-23030</t>
  </si>
  <si>
    <t>Nhập báo nợ</t>
  </si>
  <si>
    <t>Dc Giang</t>
  </si>
  <si>
    <t>QA-2322</t>
  </si>
  <si>
    <t>X</t>
  </si>
  <si>
    <t>9963</t>
  </si>
  <si>
    <t>kh-23929</t>
  </si>
  <si>
    <t>Xuất nội bộ f</t>
  </si>
  <si>
    <t>Dc Phong</t>
  </si>
  <si>
    <t>08-10-2024</t>
  </si>
  <si>
    <t>BQ</t>
  </si>
  <si>
    <t>CXD</t>
  </si>
  <si>
    <t>DT cho NV đột xuất</t>
  </si>
  <si>
    <t>DT SSCD</t>
  </si>
  <si>
    <t>Mua P/cấp</t>
  </si>
  <si>
    <t>QC</t>
  </si>
  <si>
    <t>TT Xe máy</t>
  </si>
  <si>
    <t>Dầu khác</t>
  </si>
  <si>
    <t>Dầu đ.cơ ô tô</t>
  </si>
  <si>
    <t>Mỡ giảm ma sát</t>
  </si>
  <si>
    <t>Dầu thủy lực</t>
  </si>
  <si>
    <t>Dầu động cơ</t>
  </si>
  <si>
    <t>Dầu truyền động</t>
  </si>
  <si>
    <t>Mỡ nhờn</t>
  </si>
  <si>
    <t>Dung môi</t>
  </si>
  <si>
    <t>DMN nhờn HK</t>
  </si>
  <si>
    <t>DMN nhờn MĐ</t>
  </si>
  <si>
    <t>Nhiên liệu</t>
  </si>
  <si>
    <t>Nhập khác</t>
  </si>
  <si>
    <t>Xuất khác</t>
  </si>
  <si>
    <t>Nhập</t>
  </si>
  <si>
    <t>Tồn cuối kỳ</t>
  </si>
  <si>
    <t>Tồn đầu kỳ</t>
  </si>
  <si>
    <t>Xuất</t>
  </si>
  <si>
    <t>Tồn đầu kỳ Sum</t>
  </si>
  <si>
    <t>Nhập Sum</t>
  </si>
  <si>
    <t>Xuất Sum</t>
  </si>
  <si>
    <t>Tồn cuối kỳ Sum</t>
  </si>
  <si>
    <t>Tên Xăng Dầu</t>
  </si>
  <si>
    <t>TT</t>
  </si>
  <si>
    <t>I</t>
  </si>
  <si>
    <t>Xăng ô tô</t>
  </si>
  <si>
    <t>Diezel</t>
  </si>
  <si>
    <t>Dầu hạ cấp</t>
  </si>
  <si>
    <t>Dầu bay</t>
  </si>
  <si>
    <t>DM nhờn2</t>
  </si>
  <si>
    <t>II</t>
  </si>
  <si>
    <t>a</t>
  </si>
  <si>
    <t>b</t>
  </si>
  <si>
    <t>petro_name</t>
  </si>
  <si>
    <t>petro_title_lv1</t>
  </si>
  <si>
    <t>petro_title_lv2</t>
  </si>
  <si>
    <t>title_lv1</t>
  </si>
  <si>
    <t>title_lv2</t>
  </si>
  <si>
    <t>title_lv3</t>
  </si>
  <si>
    <t>title_lv4</t>
  </si>
  <si>
    <t>f nội bộ</t>
  </si>
  <si>
    <t>F nội bộ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</si>
</sst>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@\ &quot;*&quot;"/>
    <numFmt numFmtId="165" formatCode="mm/dd/yy;@"/>
  </numFmts>
  <fonts count="5" x14ac:knownFonts="1">
    <font>
      <sz val="11"/>
      <color theme="1"/>
      <name val="Times New Roman"/>
      <family val="2"/>
    </font>
    <font>
      <b/>
      <sz val="11"/>
      <color theme="1"/>
      <name val="Times New Roman"/>
      <family val="2"/>
    </font>
    <font>
      <b/>
      <sz val="12"/>
      <color theme="1"/>
      <name val="Times New Roman"/>
      <family val="1"/>
    </font>
    <font>
      <b/>
      <sz val="11"/>
      <color theme="1"/>
      <name val="Times New Roman"/>
      <family val="1"/>
    </font>
    <font>
      <sz val="12"/>
      <color theme="1"/>
      <name val="Times New Roman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22" fontId="0" fillId="0" borderId="0" xfId="0" applyNumberFormat="1"/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pivotButton="1" applyAlignment="1">
      <alignment horizontal="left" vertical="center"/>
    </xf>
    <xf numFmtId="0" fontId="0" fillId="0" borderId="0" xfId="0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65" fontId="0" fillId="0" borderId="0" xfId="0" applyNumberFormat="1" applyAlignment="1">
      <alignment vertical="center"/>
    </xf>
    <xf numFmtId="165" fontId="0" fillId="0" borderId="0" xfId="0" applyNumberFormat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5" fontId="3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2" xfId="0" applyBorder="1" applyAlignment="1">
      <alignment horizontal="center" wrapText="1"/>
    </xf>
    <xf numFmtId="0" fontId="0" fillId="0" borderId="0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0" fontId="1" fillId="0" borderId="4" xfId="0" applyNumberFormat="1" applyFont="1" applyBorder="1" applyAlignment="1">
      <alignment horizontal="center" vertical="center"/>
    </xf>
    <xf numFmtId="0" fontId="0" fillId="0" borderId="8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left"/>
    </xf>
    <xf numFmtId="0" fontId="0" fillId="0" borderId="6" xfId="0" applyBorder="1" applyAlignment="1">
      <alignment horizontal="left" indent="1"/>
    </xf>
    <xf numFmtId="0" fontId="1" fillId="0" borderId="6" xfId="0" applyFont="1" applyBorder="1" applyAlignment="1">
      <alignment horizontal="left" indent="1"/>
    </xf>
    <xf numFmtId="0" fontId="1" fillId="0" borderId="6" xfId="0" applyFont="1" applyBorder="1" applyAlignment="1">
      <alignment horizontal="left" indent="2"/>
    </xf>
    <xf numFmtId="0" fontId="0" fillId="0" borderId="3" xfId="0" applyBorder="1" applyAlignment="1">
      <alignment horizontal="left" indent="3"/>
    </xf>
    <xf numFmtId="0" fontId="0" fillId="0" borderId="5" xfId="0" applyBorder="1" applyAlignment="1">
      <alignment horizontal="left" indent="3"/>
    </xf>
    <xf numFmtId="0" fontId="0" fillId="0" borderId="6" xfId="0" applyBorder="1" applyAlignment="1">
      <alignment horizontal="left" indent="3"/>
    </xf>
    <xf numFmtId="0" fontId="0" fillId="0" borderId="4" xfId="0" applyBorder="1" applyAlignment="1">
      <alignment horizontal="left" indent="3"/>
    </xf>
    <xf numFmtId="0" fontId="0" fillId="0" borderId="4" xfId="0" pivotButton="1" applyBorder="1" applyAlignment="1">
      <alignment horizontal="center"/>
    </xf>
    <xf numFmtId="165" fontId="3" fillId="0" borderId="0" xfId="0" applyNumberFormat="1" applyFont="1" applyAlignment="1">
      <alignment vertical="center" wrapText="1"/>
    </xf>
    <xf numFmtId="0" fontId="1" fillId="0" borderId="7" xfId="0" applyNumberFormat="1" applyFont="1" applyBorder="1" applyAlignment="1">
      <alignment horizontal="center" vertical="center"/>
    </xf>
    <xf numFmtId="0" fontId="1" fillId="0" borderId="3" xfId="0" applyNumberFormat="1" applyFont="1" applyBorder="1" applyAlignment="1">
      <alignment horizontal="center" vertical="center"/>
    </xf>
    <xf numFmtId="0" fontId="4" fillId="0" borderId="0" xfId="0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vertical="center"/>
    </xf>
  </cellXfs>
  <cellStyles count="1">
    <cellStyle name="Normal" xfId="0" builtinId="0"/>
  </cellStyles>
  <dxfs count="228">
    <dxf>
      <numFmt numFmtId="27" formatCode="m/d/yyyy\ h:mm"/>
    </dxf>
    <dxf>
      <font>
        <sz val="12"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vertical="center" readingOrder="0"/>
    </dxf>
    <dxf>
      <alignment horizontal="center" readingOrder="0"/>
    </dxf>
    <dxf>
      <font>
        <b/>
      </font>
    </dxf>
    <dxf>
      <font>
        <b/>
      </font>
    </dxf>
    <dxf>
      <font>
        <b/>
      </font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numFmt numFmtId="27" formatCode="m/d/yyyy\ h:mm"/>
    </dxf>
    <dxf>
      <numFmt numFmtId="27" formatCode="m/d/yyyy\ h:mm"/>
    </dxf>
    <dxf>
      <font>
        <u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PivotTable Style 1" table="0" count="1">
      <tableStyleElement type="pageFieldValues" dxfId="227"/>
    </tableStyle>
    <tableStyle name="PivotTable Style 2" table="0" count="2">
      <tableStyleElement type="wholeTable" dxfId="226"/>
      <tableStyleElement type="lastColumn" dxfId="22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323850</xdr:colOff>
      <xdr:row>0</xdr:row>
      <xdr:rowOff>47625</xdr:rowOff>
    </xdr:from>
    <xdr:to>
      <xdr:col>11</xdr:col>
      <xdr:colOff>514350</xdr:colOff>
      <xdr:row>1</xdr:row>
      <xdr:rowOff>152400</xdr:rowOff>
    </xdr:to>
    <xdr:sp macro="[0]!updateNew" textlink="">
      <xdr:nvSpPr>
        <xdr:cNvPr id="2" name="Rounded Rectangle 1"/>
        <xdr:cNvSpPr/>
      </xdr:nvSpPr>
      <xdr:spPr>
        <a:xfrm>
          <a:off x="6819900" y="47625"/>
          <a:ext cx="1171575" cy="295275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CẬP</a:t>
          </a:r>
          <a:r>
            <a:rPr lang="en-US" sz="1100" baseline="0">
              <a:solidFill>
                <a:schemeClr val="bg1"/>
              </a:solidFill>
            </a:rPr>
            <a:t> </a:t>
          </a:r>
          <a:r>
            <a:rPr lang="en-US" sz="1400" b="1" baseline="0">
              <a:solidFill>
                <a:schemeClr val="bg1"/>
              </a:solidFill>
            </a:rPr>
            <a:t>NHẬT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</xdr:wsDr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tga" refreshedDate="45575.701594328704" backgroundQuery="1" createdVersion="6" refreshedVersion="6" minRefreshableVersion="3" recordCount="0" supportSubquery="1" supportAdvancedDrill="1">
  <cacheSource type="external" connectionId="9"/>
  <cacheFields count="5">
    <cacheField name="[tb_loaixd2].[tenxd].[tenxd]" caption="tenxd" numFmtId="0" hierarchy="2" level="1">
      <sharedItems count="49">
        <s v="Dầu B-3V"/>
        <s v="Dầu IPM-10"/>
        <s v="Dầu MC-20"/>
        <s v="CastrolCRB200W-50"/>
        <s v="Lukoi 15W-40"/>
        <s v="DO 0,05% S"/>
        <s v="Xăng A80"/>
        <s v="XANG E5 RON92"/>
        <s v="Dầu MC-8P" u="1"/>
        <s v="Hypôit (TC Gip)" u="1"/>
        <s v="Aeroshell Fluid41(AMG-10)" u="1"/>
        <s v="Dầu 132-25" u="1"/>
        <s v="Grease22" u="1"/>
        <s v="Grease28 (Mỡ 221)" u="1"/>
        <s v="Grease33 (OKB)" u="1"/>
        <s v="OKB122-7-5" u="1"/>
        <s v="Turbonicoil 321(MC8P)" u="1"/>
        <s v="Turbonicoil 35M (B3V)" u="1"/>
        <s v="Turbonicoil210A(IPM-10)" u="1"/>
        <s v="Xăng CN" u="1"/>
        <s v="Dầu AMG-10" u="1"/>
        <s v="Mỡ 201" u="1"/>
        <s v="Mỡ 221" u="1"/>
        <s v="Mỡ HK-50" u="1"/>
        <s v="Mỡ số 9" u="1"/>
        <s v="HelixHX-3" u="1"/>
        <s v="MILPCO1-SAE40" u="1"/>
        <s v="MILPCO1-S-SAE40" u="1"/>
        <s v="MT-16P" u="1"/>
        <s v="Niwanano ios32-HG32" u="1"/>
        <s v="QUAT9000-0W20" u="1"/>
        <s v="QUATVNM 20W50" u="1"/>
        <s v="Rimula R4X" u="1"/>
        <s v="MIL PC06" u="1"/>
        <s v="Phanh BCK" u="1"/>
        <s v="Galube90eps" u="1"/>
        <s v="GearGL4 W90" u="1"/>
        <s v="MILPC02-SAE90" u="1"/>
        <s v="MILPC03-SAE90" u="1"/>
        <s v="Morrisong 140ef90" u="1"/>
        <s v="Caxilium No2" u="1"/>
        <s v="Mỡ 1-13" u="1"/>
        <s v="Mỡ Gzeose GL2" u="1"/>
        <s v="Mỡ Gzeose GL3" u="1"/>
        <s v="Mỡ SOLE DON" u="1"/>
        <s v="Opalgrease No3" u="1"/>
        <s v="Dầu JETA-01" u="1"/>
        <s v="Dầu JETA-1K" u="1"/>
        <s v="Dầu TC-1" u="1"/>
      </sharedItems>
    </cacheField>
    <cacheField name="[tb_loaixd2].[chungloai].[chungloai]" caption="chungloai" numFmtId="0" hierarchy="3" level="1">
      <sharedItems count="13">
        <s v="DMN-HK-DDC"/>
        <s v="DMN-MD-DCOTO"/>
        <s v="DIEZEL-XANG-OTO"/>
        <s v="NL-XANG-OTO"/>
        <s v="DMN-HK-DK" u="1"/>
        <s v="DMN-HK-DM" u="1"/>
        <s v="DMN-HK-DTL" u="1"/>
        <s v="DMN-HK-MN" u="1"/>
        <s v="DMN-MD-DK" u="1"/>
        <s v="DMN-MD-DTD" u="1"/>
        <s v="DMN-MD-MGMS" u="1"/>
        <s v="DAUBAY" u="1"/>
        <s v="DAUHACAP" u="1"/>
      </sharedItems>
    </cacheField>
    <cacheField name="[tb_loaixd2].[type].[type]" caption="type" numFmtId="0" hierarchy="7" level="1">
      <sharedItems count="3">
        <s v="DMN-HK"/>
        <s v="DMN-MD"/>
        <s v="NL"/>
      </sharedItems>
    </cacheField>
    <cacheField name="[Measures].[Sum of thuc_xuat]" caption="Sum of thuc_xuat" numFmtId="0" hierarchy="68" level="32767"/>
    <cacheField name="[tb_tructhuoc].[name].[name]" caption="name" numFmtId="0" hierarchy="61" level="1">
      <sharedItems count="4">
        <s v="Cục xăng dầu"/>
        <s v="Khác"/>
        <s v="Quân chủng"/>
        <s v="Trong QC"/>
      </sharedItems>
    </cacheField>
  </cacheFields>
  <cacheHierarchies count="81">
    <cacheHierarchy uniqueName="[tb_loaixd2].[id]" caption="id" attribute="1" defaultMemberUniqueName="[tb_loaixd2].[id].[All]" allUniqueName="[tb_loaixd2].[id].[All]" dimensionUniqueName="[tb_loaixd2]" displayFolder="" count="0" memberValueDatatype="20" unbalanced="0"/>
    <cacheHierarchy uniqueName="[tb_loaixd2].[maxd]" caption="maxd" attribute="1" defaultMemberUniqueName="[tb_loaixd2].[maxd].[All]" allUniqueName="[tb_loaixd2].[maxd].[All]" dimensionUniqueName="[tb_loaixd2]" displayFolder="" count="0" memberValueDatatype="130" unbalanced="0"/>
    <cacheHierarchy uniqueName="[tb_loaixd2].[tenxd]" caption="tenxd" attribute="1" defaultMemberUniqueName="[tb_loaixd2].[tenxd].[All]" allUniqueName="[tb_loaixd2].[tenxd].[All]" dimensionUniqueName="[tb_loaixd2]" displayFolder="" count="2" memberValueDatatype="130" unbalanced="0">
      <fieldsUsage count="2">
        <fieldUsage x="-1"/>
        <fieldUsage x="0"/>
      </fieldsUsage>
    </cacheHierarchy>
    <cacheHierarchy uniqueName="[tb_loaixd2].[chungloai]" caption="chungloai" attribute="1" defaultMemberUniqueName="[tb_loaixd2].[chungloai].[All]" allUniqueName="[tb_loaixd2].[chungloai].[All]" dimensionUniqueName="[tb_loaixd2]" displayFolder="" count="2" memberValueDatatype="130" unbalanced="0">
      <fieldsUsage count="2">
        <fieldUsage x="-1"/>
        <fieldUsage x="1"/>
      </fieldsUsage>
    </cacheHierarchy>
    <cacheHierarchy uniqueName="[tb_loaixd2].[status]" caption="status" attribute="1" defaultMemberUniqueName="[tb_loaixd2].[status].[All]" allUniqueName="[tb_loaixd2].[status].[All]" dimensionUniqueName="[tb_loaixd2]" displayFolder="" count="0" memberValueDatatype="130" unbalanced="0"/>
    <cacheHierarchy uniqueName="[tb_loaixd2].[timestamp]" caption="timestamp" attribute="1" time="1" defaultMemberUniqueName="[tb_loaixd2].[timestamp].[All]" allUniqueName="[tb_loaixd2].[timestamp].[All]" dimensionUniqueName="[tb_loaixd2]" displayFolder="" count="0" memberValueDatatype="7" unbalanced="0"/>
    <cacheHierarchy uniqueName="[tb_loaixd2].[ut]" caption="ut" attribute="1" defaultMemberUniqueName="[tb_loaixd2].[ut].[All]" allUniqueName="[tb_loaixd2].[ut].[All]" dimensionUniqueName="[tb_loaixd2]" displayFolder="" count="0" memberValueDatatype="20" unbalanced="0"/>
    <cacheHierarchy uniqueName="[tb_loaixd2].[type]" caption="type" attribute="1" defaultMemberUniqueName="[tb_loaixd2].[type].[All]" allUniqueName="[tb_loaixd2].[type].[All]" dimensionUniqueName="[tb_loaixd2]" displayFolder="" count="2" memberValueDatatype="130" unbalanced="0">
      <fieldsUsage count="2">
        <fieldUsage x="-1"/>
        <fieldUsage x="2"/>
      </fieldsUsage>
    </cacheHierarchy>
    <cacheHierarchy uniqueName="[tb_nguon_nx].[id]" caption="id" attribute="1" defaultMemberUniqueName="[tb_nguon_nx].[id].[All]" allUniqueName="[tb_nguon_nx].[id].[All]" dimensionUniqueName="[tb_nguon_nx]" displayFolder="" count="0" memberValueDatatype="20" unbalanced="0"/>
    <cacheHierarchy uniqueName="[tb_nguon_nx].[ten]" caption="ten" attribute="1" defaultMemberUniqueName="[tb_nguon_nx].[ten].[All]" allUniqueName="[tb_nguon_nx].[ten].[All]" dimensionUniqueName="[tb_nguon_nx]" displayFolder="" count="0" memberValueDatatype="130" unbalanced="0"/>
    <cacheHierarchy uniqueName="[tb_nguon_nx].[loai]" caption="loai" attribute="1" defaultMemberUniqueName="[tb_nguon_nx].[loai].[All]" allUniqueName="[tb_nguon_nx].[loai].[All]" dimensionUniqueName="[tb_nguon_nx]" displayFolder="" count="0" memberValueDatatype="130" unbalanced="0"/>
    <cacheHierarchy uniqueName="[tb_nguon_nx].[createtime]" caption="createtime" attribute="1" defaultMemberUniqueName="[tb_nguon_nx].[createtime].[All]" allUniqueName="[tb_nguon_nx].[createtime].[All]" dimensionUniqueName="[tb_nguon_nx]" displayFolder="" count="0" memberValueDatatype="130" unbalanced="0"/>
    <cacheHierarchy uniqueName="[tb_nguon_nx].[loai_tt]" caption="loai_tt" attribute="1" defaultMemberUniqueName="[tb_nguon_nx].[loai_tt].[All]" allUniqueName="[tb_nguon_nx].[loai_tt].[All]" dimensionUniqueName="[tb_nguon_nx]" displayFolder="" count="0" memberValueDatatype="130" unbalanced="0"/>
    <cacheHierarchy uniqueName="[tb_nguon_nx].[may_bay]" caption="may_bay" attribute="1" defaultMemberUniqueName="[tb_nguon_nx].[may_bay].[All]" allUniqueName="[tb_nguon_nx].[may_bay].[All]" dimensionUniqueName="[tb_nguon_nx]" displayFolder="" count="0" memberValueDatatype="130" unbalanced="0"/>
    <cacheHierarchy uniqueName="[tb_nguonnx_tructhuoc].[id]" caption="id" attribute="1" defaultMemberUniqueName="[tb_nguonnx_tructhuoc].[id].[All]" allUniqueName="[tb_nguonnx_tructhuoc].[id].[All]" dimensionUniqueName="[tb_nguonnx_tructhuoc]" displayFolder="" count="0" memberValueDatatype="20" unbalanced="0"/>
    <cacheHierarchy uniqueName="[tb_nguonnx_tructhuoc].[nguonnx_id]" caption="nguonnx_id" attribute="1" defaultMemberUniqueName="[tb_nguonnx_tructhuoc].[nguonnx_id].[All]" allUniqueName="[tb_nguonnx_tructhuoc].[nguonnx_id].[All]" dimensionUniqueName="[tb_nguonnx_tructhuoc]" displayFolder="" count="0" memberValueDatatype="20" unbalanced="0"/>
    <cacheHierarchy uniqueName="[tb_nguonnx_tructhuoc].[tructhuoc_id]" caption="tructhuoc_id" attribute="1" defaultMemberUniqueName="[tb_nguonnx_tructhuoc].[tructhuoc_id].[All]" allUniqueName="[tb_nguonnx_tructhuoc].[tructhuoc_id].[All]" dimensionUniqueName="[tb_nguonnx_tructhuoc]" displayFolder="" count="0" memberValueDatatype="20" unbalanced="0"/>
    <cacheHierarchy uniqueName="[tb_socai].[dvi]" caption="dvi" attribute="1" defaultMemberUniqueName="[tb_socai].[dvi].[All]" allUniqueName="[tb_socai].[dvi].[All]" dimensionUniqueName="[tb_socai]" displayFolder="" count="0" memberValueDatatype="130" unbalanced="0"/>
    <cacheHierarchy uniqueName="[tb_socai].[ngay]" caption="ngay" attribute="1" defaultMemberUniqueName="[tb_socai].[ngay].[All]" allUniqueName="[tb_socai].[ngay].[All]" dimensionUniqueName="[tb_socai]" displayFolder="" count="0" memberValueDatatype="130" unbalanced="0"/>
    <cacheHierarchy uniqueName="[tb_socai].[ma_xd]" caption="ma_xd" attribute="1" defaultMemberUniqueName="[tb_socai].[ma_xd].[All]" allUniqueName="[tb_socai].[ma_xd].[All]" dimensionUniqueName="[tb_socai]" displayFolder="" count="0" memberValueDatatype="130" unbalanced="0"/>
    <cacheHierarchy uniqueName="[tb_socai].[ten_xd]" caption="ten_xd" attribute="1" defaultMemberUniqueName="[tb_socai].[ten_xd].[All]" allUniqueName="[tb_socai].[ten_xd].[All]" dimensionUniqueName="[tb_socai]" displayFolder="" count="0" memberValueDatatype="130" unbalanced="0"/>
    <cacheHierarchy uniqueName="[tb_socai].[chung_loai]" caption="chung_loai" attribute="1" defaultMemberUniqueName="[tb_socai].[chung_loai].[All]" allUniqueName="[tb_socai].[chung_loai].[All]" dimensionUniqueName="[tb_socai]" displayFolder="" count="0" memberValueDatatype="130" unbalanced="0"/>
    <cacheHierarchy uniqueName="[tb_socai].[loai_phieu]" caption="loai_phieu" attribute="1" defaultMemberUniqueName="[tb_socai].[loai_phieu].[All]" allUniqueName="[tb_socai].[loai_phieu].[All]" dimensionUniqueName="[tb_socai]" displayFolder="" count="0" memberValueDatatype="130" unbalanced="0"/>
    <cacheHierarchy uniqueName="[tb_socai].[so]" caption="so" attribute="1" defaultMemberUniqueName="[tb_socai].[so].[All]" allUniqueName="[tb_socai].[so].[All]" dimensionUniqueName="[tb_socai]" displayFolder="" count="0" memberValueDatatype="130" unbalanced="0"/>
    <cacheHierarchy uniqueName="[tb_socai].[theo_lenh_so]" caption="theo_lenh_so" attribute="1" defaultMemberUniqueName="[tb_socai].[theo_lenh_so].[All]" allUniqueName="[tb_socai].[theo_lenh_so].[All]" dimensionUniqueName="[tb_socai]" displayFolder="" count="0" memberValueDatatype="130" unbalanced="0"/>
    <cacheHierarchy uniqueName="[tb_socai].[nhiem_vu]" caption="nhiem_vu" attribute="1" defaultMemberUniqueName="[tb_socai].[nhiem_vu].[All]" allUniqueName="[tb_socai].[nhiem_vu].[All]" dimensionUniqueName="[tb_socai]" displayFolder="" count="0" memberValueDatatype="130" unbalanced="0"/>
    <cacheHierarchy uniqueName="[tb_socai].[nguoi_nhan_hang]" caption="nguoi_nhan_hang" attribute="1" defaultMemberUniqueName="[tb_socai].[nguoi_nhan_hang].[All]" allUniqueName="[tb_socai].[nguoi_nhan_hang].[All]" dimensionUniqueName="[tb_socai]" displayFolder="" count="0" memberValueDatatype="130" unbalanced="0"/>
    <cacheHierarchy uniqueName="[tb_socai].[so_xe]" caption="so_xe" attribute="1" defaultMemberUniqueName="[tb_socai].[so_xe].[All]" allUniqueName="[tb_socai].[so_xe].[All]" dimensionUniqueName="[tb_socai]" displayFolder="" count="0" memberValueDatatype="130" unbalanced="0"/>
    <cacheHierarchy uniqueName="[tb_socai].[chat_luong]" caption="chat_luong" attribute="1" defaultMemberUniqueName="[tb_socai].[chat_luong].[All]" allUniqueName="[tb_socai].[chat_luong].[All]" dimensionUniqueName="[tb_socai]" displayFolder="" count="0" memberValueDatatype="130" unbalanced="0"/>
    <cacheHierarchy uniqueName="[tb_socai].[phai_xuat]" caption="phai_xuat" attribute="1" defaultMemberUniqueName="[tb_socai].[phai_xuat].[All]" allUniqueName="[tb_socai].[phai_xuat].[All]" dimensionUniqueName="[tb_socai]" displayFolder="" count="0" memberValueDatatype="20" unbalanced="0"/>
    <cacheHierarchy uniqueName="[tb_socai].[nhiet_do_tt]" caption="nhiet_do_tt" attribute="1" defaultMemberUniqueName="[tb_socai].[nhiet_do_tt].[All]" allUniqueName="[tb_socai].[nhiet_do_tt].[All]" dimensionUniqueName="[tb_socai]" displayFolder="" count="0" memberValueDatatype="130" unbalanced="0"/>
    <cacheHierarchy uniqueName="[tb_socai].[ty_trong]" caption="ty_trong" attribute="1" defaultMemberUniqueName="[tb_socai].[ty_trong].[All]" allUniqueName="[tb_socai].[ty_trong].[All]" dimensionUniqueName="[tb_socai]" displayFolder="" count="0" memberValueDatatype="20" unbalanced="0"/>
    <cacheHierarchy uniqueName="[tb_socai].[he_so_vcf]" caption="he_so_vcf" attribute="1" defaultMemberUniqueName="[tb_socai].[he_so_vcf].[All]" allUniqueName="[tb_socai].[he_so_vcf].[All]" dimensionUniqueName="[tb_socai]" displayFolder="" count="0" memberValueDatatype="20" unbalanced="0"/>
    <cacheHierarchy uniqueName="[tb_socai].[thuc_xuat]" caption="thuc_xuat" attribute="1" defaultMemberUniqueName="[tb_socai].[thuc_xuat].[All]" allUniqueName="[tb_socai].[thuc_xuat].[All]" dimensionUniqueName="[tb_socai]" displayFolder="" count="0" memberValueDatatype="20" unbalanced="0"/>
    <cacheHierarchy uniqueName="[tb_socai].[don_gia]" caption="don_gia" attribute="1" defaultMemberUniqueName="[tb_socai].[don_gia].[All]" allUniqueName="[tb_socai].[don_gia].[All]" dimensionUniqueName="[tb_socai]" displayFolder="" count="0" memberValueDatatype="20" unbalanced="0"/>
    <cacheHierarchy uniqueName="[tb_socai].[thanh_tien]" caption="thanh_tien" attribute="1" defaultMemberUniqueName="[tb_socai].[thanh_tien].[All]" allUniqueName="[tb_socai].[thanh_tien].[All]" dimensionUniqueName="[tb_socai]" displayFolder="" count="0" memberValueDatatype="20" unbalanced="0"/>
    <cacheHierarchy uniqueName="[tb_socai].[so_km]" caption="so_km" attribute="1" defaultMemberUniqueName="[tb_socai].[so_km].[All]" allUniqueName="[tb_socai].[so_km].[All]" dimensionUniqueName="[tb_socai]" displayFolder="" count="0" memberValueDatatype="20" unbalanced="0"/>
    <cacheHierarchy uniqueName="[tb_socai].[so_gio]" caption="so_gio" attribute="1" defaultMemberUniqueName="[tb_socai].[so_gio].[All]" allUniqueName="[tb_socai].[so_gio].[All]" dimensionUniqueName="[tb_socai]" displayFolder="" count="0" memberValueDatatype="20" unbalanced="0"/>
    <cacheHierarchy uniqueName="[tb_socai].[dvvc]" caption="dvvc" attribute="1" defaultMemberUniqueName="[tb_socai].[dvvc].[All]" allUniqueName="[tb_socai].[dvvc].[All]" dimensionUniqueName="[tb_socai]" displayFolder="" count="0" memberValueDatatype="130" unbalanced="0"/>
    <cacheHierarchy uniqueName="[tb_socai].[id]" caption="id" attribute="1" defaultMemberUniqueName="[tb_socai].[id].[All]" allUniqueName="[tb_socai].[id].[All]" dimensionUniqueName="[tb_socai]" displayFolder="" count="0" memberValueDatatype="20" unbalanced="0"/>
    <cacheHierarchy uniqueName="[tb_socai].[loaixd_id]" caption="loaixd_id" attribute="1" defaultMemberUniqueName="[tb_socai].[loaixd_id].[All]" allUniqueName="[tb_socai].[loaixd_id].[All]" dimensionUniqueName="[tb_socai]" displayFolder="" count="0" memberValueDatatype="20" unbalanced="0"/>
    <cacheHierarchy uniqueName="[tb_socai].[nguonnx_id]" caption="nguonnx_id" attribute="1" defaultMemberUniqueName="[tb_socai].[nguonnx_id].[All]" allUniqueName="[tb_socai].[nguonnx_id].[All]" dimensionUniqueName="[tb_socai]" displayFolder="" count="0" memberValueDatatype="20" unbalanced="0"/>
    <cacheHierarchy uniqueName="[tb_socai].[cmt]" caption="cmt" attribute="1" defaultMemberUniqueName="[tb_socai].[cmt].[All]" allUniqueName="[tb_socai].[cmt].[All]" dimensionUniqueName="[tb_socai]" displayFolder="" count="0" memberValueDatatype="130" unbalanced="0"/>
    <cacheHierarchy uniqueName="[tb_socai].[nguonnx_dvvc_id]" caption="nguonnx_dvvc_id" attribute="1" defaultMemberUniqueName="[tb_socai].[nguonnx_dvvc_id].[All]" allUniqueName="[tb_socai].[nguonnx_dvvc_id].[All]" dimensionUniqueName="[tb_socai]" displayFolder="" count="0" memberValueDatatype="20" unbalanced="0"/>
    <cacheHierarchy uniqueName="[tb_socai].[sscd]" caption="sscd" attribute="1" defaultMemberUniqueName="[tb_socai].[sscd].[All]" allUniqueName="[tb_socai].[sscd].[All]" dimensionUniqueName="[tb_socai]" displayFolder="" count="0" memberValueDatatype="130" unbalanced="0"/>
    <cacheHierarchy uniqueName="[tb_socai].[denngay]" caption="denngay" attribute="1" defaultMemberUniqueName="[tb_socai].[denngay].[All]" allUniqueName="[tb_socai].[denngay].[All]" dimensionUniqueName="[tb_socai]" displayFolder="" count="0" memberValueDatatype="130" unbalanced="0"/>
    <cacheHierarchy uniqueName="[tb_socai].[quarter_id]" caption="quarter_id" attribute="1" defaultMemberUniqueName="[tb_socai].[quarter_id].[All]" allUniqueName="[tb_socai].[quarter_id].[All]" dimensionUniqueName="[tb_socai]" displayFolder="" count="0" memberValueDatatype="20" unbalanced="0"/>
    <cacheHierarchy uniqueName="[tb_socai].[timestamp]" caption="timestamp" attribute="1" time="1" defaultMemberUniqueName="[tb_socai].[timestamp].[All]" allUniqueName="[tb_socai].[timestamp].[All]" dimensionUniqueName="[tb_socai]" displayFolder="" count="0" memberValueDatatype="7" unbalanced="0"/>
    <cacheHierarchy uniqueName="[tb_socai].[tcn_id]" caption="tcn_id" attribute="1" defaultMemberUniqueName="[tb_socai].[tcn_id].[All]" allUniqueName="[tb_socai].[tcn_id].[All]" dimensionUniqueName="[tb_socai]" displayFolder="" count="0" memberValueDatatype="130" unbalanced="0"/>
    <cacheHierarchy uniqueName="[tb_socai].[nhiemvu_id]" caption="nhiemvu_id" attribute="1" defaultMemberUniqueName="[tb_socai].[nhiemvu_id].[All]" allUniqueName="[tb_socai].[nhiemvu_id].[All]" dimensionUniqueName="[tb_socai]" displayFolder="" count="0" memberValueDatatype="20" unbalanced="0"/>
    <cacheHierarchy uniqueName="[tb_socai].[nvu_tcn_id]" caption="nvu_tcn_id" attribute="1" defaultMemberUniqueName="[tb_socai].[nvu_tcn_id].[All]" allUniqueName="[tb_socai].[nvu_tcn_id].[All]" dimensionUniqueName="[tb_socai]" displayFolder="" count="0" memberValueDatatype="20" unbalanced="0"/>
    <cacheHierarchy uniqueName="[tb_socai].[nvu_tructhuoc]" caption="nvu_tructhuoc" attribute="1" defaultMemberUniqueName="[tb_socai].[nvu_tructhuoc].[All]" allUniqueName="[tb_socai].[nvu_tructhuoc].[All]" dimensionUniqueName="[tb_socai]" displayFolder="" count="0" memberValueDatatype="20" unbalanced="0"/>
    <cacheHierarchy uniqueName="[tb_socai].[nguonnx_tructhuoc]" caption="nguonnx_tructhuoc" attribute="1" defaultMemberUniqueName="[tb_socai].[nguonnx_tructhuoc].[All]" allUniqueName="[tb_socai].[nguonnx_tructhuoc].[All]" dimensionUniqueName="[tb_socai]" displayFolder="" count="0" memberValueDatatype="20" unbalanced="0"/>
    <cacheHierarchy uniqueName="[tb_socai].[nguonnx_tcn]" caption="nguonnx_tcn" attribute="1" defaultMemberUniqueName="[tb_socai].[nguonnx_tcn].[All]" allUniqueName="[tb_socai].[nguonnx_tcn].[All]" dimensionUniqueName="[tb_socai]" displayFolder="" count="0" memberValueDatatype="20" unbalanced="0"/>
    <cacheHierarchy uniqueName="[tb_socai].[phuongtien_id]" caption="phuongtien_id" attribute="1" defaultMemberUniqueName="[tb_socai].[phuongtien_id].[All]" allUniqueName="[tb_socai].[phuongtien_id].[All]" dimensionUniqueName="[tb_socai]" displayFolder="" count="0" memberValueDatatype="20" unbalanced="0"/>
    <cacheHierarchy uniqueName="[tb_socai].[nguonnx_nvu_id]" caption="nguonnx_nvu_id" attribute="1" defaultMemberUniqueName="[tb_socai].[nguonnx_nvu_id].[All]" allUniqueName="[tb_socai].[nguonnx_nvu_id].[All]" dimensionUniqueName="[tb_socai]" displayFolder="" count="0" memberValueDatatype="20" unbalanced="0"/>
    <cacheHierarchy uniqueName="[tb_socai].[phuongtien_nvu_id]" caption="phuongtien_nvu_id" attribute="1" defaultMemberUniqueName="[tb_socai].[phuongtien_nvu_id].[All]" allUniqueName="[tb_socai].[phuongtien_nvu_id].[All]" dimensionUniqueName="[tb_socai]" displayFolder="" count="0" memberValueDatatype="20" unbalanced="0"/>
    <cacheHierarchy uniqueName="[tb_socai].[so_phut]" caption="so_phut" attribute="1" defaultMemberUniqueName="[tb_socai].[so_phut].[All]" allUniqueName="[tb_socai].[so_phut].[All]" dimensionUniqueName="[tb_socai]" displayFolder="" count="0" memberValueDatatype="20" unbalanced="0"/>
    <cacheHierarchy uniqueName="[tb_socai].[tonkhotong_id]" caption="tonkhotong_id" attribute="1" defaultMemberUniqueName="[tb_socai].[tonkhotong_id].[All]" allUniqueName="[tb_socai].[tonkhotong_id].[All]" dimensionUniqueName="[tb_socai]" displayFolder="" count="0" memberValueDatatype="20" unbalanced="0"/>
    <cacheHierarchy uniqueName="[tb_socai].[tonkho_id]" caption="tonkho_id" attribute="1" defaultMemberUniqueName="[tb_socai].[tonkho_id].[All]" allUniqueName="[tb_socai].[tonkho_id].[All]" dimensionUniqueName="[tb_socai]" displayFolder="" count="0" memberValueDatatype="20" unbalanced="0"/>
    <cacheHierarchy uniqueName="[tb_tructhuoc].[id]" caption="id" attribute="1" defaultMemberUniqueName="[tb_tructhuoc].[id].[All]" allUniqueName="[tb_tructhuoc].[id].[All]" dimensionUniqueName="[tb_tructhuoc]" displayFolder="" count="0" memberValueDatatype="20" unbalanced="0"/>
    <cacheHierarchy uniqueName="[tb_tructhuoc].[name]" caption="name" attribute="1" defaultMemberUniqueName="[tb_tructhuoc].[name].[All]" allUniqueName="[tb_tructhuoc].[name].[All]" dimensionUniqueName="[tb_tructhuoc]" displayFolder="" count="2" memberValueDatatype="130" unbalanced="0">
      <fieldsUsage count="2">
        <fieldUsage x="-1"/>
        <fieldUsage x="4"/>
      </fieldsUsage>
    </cacheHierarchy>
    <cacheHierarchy uniqueName="[tb_tructhuoc].[type]" caption="type" attribute="1" defaultMemberUniqueName="[tb_tructhuoc].[type].[All]" allUniqueName="[tb_tructhuoc].[type].[All]" dimensionUniqueName="[tb_tructhuoc]" displayFolder="" count="0" memberValueDatatype="130" unbalanced="0"/>
    <cacheHierarchy uniqueName="[tb_tructhuoc].[transaction]" caption="transaction" attribute="1" defaultMemberUniqueName="[tb_tructhuoc].[transaction].[All]" allUniqueName="[tb_tructhuoc].[transaction].[All]" dimensionUniqueName="[tb_tructhuoc]" displayFolder="" count="0" memberValueDatatype="20" unbalanced="0"/>
    <cacheHierarchy uniqueName="[tb_tructhuoc].[timestamp]" caption="timestamp" attribute="1" time="1" defaultMemberUniqueName="[tb_tructhuoc].[timestamp].[All]" allUniqueName="[tb_tructhuoc].[timestamp].[All]" dimensionUniqueName="[tb_tructhuoc]" displayFolder="" count="0" memberValueDatatype="7" unbalanced="0"/>
    <cacheHierarchy uniqueName="[tb_tructhuoc].[loai_phieu]" caption="loai_phieu" attribute="1" defaultMemberUniqueName="[tb_tructhuoc].[loai_phieu].[All]" allUniqueName="[tb_tructhuoc].[loai_phieu].[All]" dimensionUniqueName="[tb_tructhuoc]" displayFolder="" count="0" memberValueDatatype="130" unbalanced="0"/>
    <cacheHierarchy uniqueName="[tb_tructhuoc].[status]" caption="status" attribute="1" defaultMemberUniqueName="[tb_tructhuoc].[status].[All]" allUniqueName="[tb_tructhuoc].[status].[All]" dimensionUniqueName="[tb_tructhuoc]" displayFolder="" count="0" memberValueDatatype="130" unbalanced="0"/>
    <cacheHierarchy uniqueName="[Measures].[Sum of don_gia]" caption="Sum of don_gia" measure="1" displayFolder="" measureGroup="tb_socai" count="0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 of thuc_xuat]" caption="Sum of thuc_xuat" measure="1" displayFolder="" measureGroup="tb_socai" count="0" oneField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id]" caption="Sum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Var of id]" caption="Var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tdDev of id]" caption="StdDev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tdDevp of id]" caption="StdDevp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Distinct Count of id]" caption="Distinct Count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thuc_xuat]" caption="Count of thuc_xuat" measure="1" displayFolder="" measureGroup="tb_socai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__XL_Count tb_socai]" caption="__XL_Count tb_socai" measure="1" displayFolder="" measureGroup="tb_socai" count="0" hidden="1"/>
    <cacheHierarchy uniqueName="[Measures].[__XL_Count tb_loaixd2]" caption="__XL_Count tb_loaixd2" measure="1" displayFolder="" measureGroup="tb_loaixd2" count="0" hidden="1"/>
    <cacheHierarchy uniqueName="[Measures].[__XL_Count tb_nguonnx_tructhuoc]" caption="__XL_Count tb_nguonnx_tructhuoc" measure="1" displayFolder="" measureGroup="tb_nguonnx_tructhuoc" count="0" hidden="1"/>
    <cacheHierarchy uniqueName="[Measures].[__XL_Count tb_nguon_nx]" caption="__XL_Count tb_nguon_nx" measure="1" displayFolder="" measureGroup="tb_nguon_nx" count="0" hidden="1"/>
    <cacheHierarchy uniqueName="[Measures].[__XL_Count tb_tructhuoc]" caption="__XL_Count tb_tructhuoc" measure="1" displayFolder="" measureGroup="tb_tructhuoc" count="0" hidden="1"/>
    <cacheHierarchy uniqueName="[Measures].[__No measures defined]" caption="__No measures defined" measure="1" displayFolder="" count="0" hidden="1"/>
  </cacheHierarchies>
  <kpis count="0"/>
  <dimensions count="6">
    <dimension measure="1" name="Measures" uniqueName="[Measures]" caption="Measures"/>
    <dimension name="tb_loaixd2" uniqueName="[tb_loaixd2]" caption="tb_loaixd2"/>
    <dimension name="tb_nguon_nx" uniqueName="[tb_nguon_nx]" caption="tb_nguon_nx"/>
    <dimension name="tb_nguonnx_tructhuoc" uniqueName="[tb_nguonnx_tructhuoc]" caption="tb_nguonnx_tructhuoc"/>
    <dimension name="tb_socai" uniqueName="[tb_socai]" caption="tb_socai"/>
    <dimension name="tb_tructhuoc" uniqueName="[tb_tructhuoc]" caption="tb_tructhuoc"/>
  </dimensions>
  <measureGroups count="5">
    <measureGroup name="tb_loaixd2" caption="tb_loaixd2"/>
    <measureGroup name="tb_nguon_nx" caption="tb_nguon_nx"/>
    <measureGroup name="tb_nguonnx_tructhuoc" caption="tb_nguonnx_tructhuoc"/>
    <measureGroup name="tb_socai" caption="tb_socai"/>
    <measureGroup name="tb_tructhuoc" caption="tb_tructhuoc"/>
  </measureGroups>
  <maps count="11">
    <map measureGroup="0" dimension="1"/>
    <map measureGroup="1" dimension="2"/>
    <map measureGroup="2" dimension="2"/>
    <map measureGroup="2" dimension="3"/>
    <map measureGroup="2" dimension="5"/>
    <map measureGroup="3" dimension="1"/>
    <map measureGroup="3" dimension="2"/>
    <map measureGroup="3" dimension="3"/>
    <map measureGroup="3" dimension="4"/>
    <map measureGroup="3" dimension="5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tga" refreshedDate="45595.745453703705" createdVersion="6" refreshedVersion="6" minRefreshableVersion="3" recordCount="867">
  <cacheSource type="external" connectionId="2"/>
  <cacheFields count="13">
    <cacheField name="id" numFmtId="0" sqlType="4">
      <sharedItems containsSemiMixedTypes="0" containsString="0" containsNumber="1" containsInteger="1" minValue="42540" maxValue="43406"/>
    </cacheField>
    <cacheField name="loaixd" numFmtId="0" sqlType="-10">
      <sharedItems count="49">
        <s v="XANG E5 RON92"/>
        <s v="Xăng A80"/>
        <s v="DO 0,05% S"/>
        <s v="DầU TC-1"/>
        <s v="DầU JetA-1K"/>
        <s v="Dầu JETA-01"/>
        <s v="MILPCO1-SAE40"/>
        <s v="MILPCO1-S-SAE40"/>
        <s v="MT-16P"/>
        <s v="CastrolCRB200W-50"/>
        <s v="HelixHX-3"/>
        <s v="Lukoi 15W-40"/>
        <s v="Rimula R4X"/>
        <s v="Niwanano ios32-HG32"/>
        <s v="QUATVNM 20W50"/>
        <s v="QUAT9000-0W20"/>
        <s v="Galube90eps"/>
        <s v="MILPC02-SAE90"/>
        <s v="MILPC03-SAE90"/>
        <s v="GearGL4 W90"/>
        <s v="Morrisong 140ef90"/>
        <s v="Phanh BCK"/>
        <s v="MIL PC06"/>
        <s v="Mỡ 1-13"/>
        <s v="Mỡ SOLE DON"/>
        <s v="Caxilium No2"/>
        <s v="Mỡ Gzeose GL2"/>
        <s v="Mỡ Gzeose GL3"/>
        <s v="Opalgrease No3"/>
        <s v="Dầu MC-8P"/>
        <s v="Dầu MC-20"/>
        <s v="Dầu B-3V"/>
        <s v="Dầu IPM-10"/>
        <s v="Hypôit (TC Gip)"/>
        <s v="Dầu AMG-10"/>
        <s v="Turbonicoil210A(IPM-10)"/>
        <s v="Aeroshell Fluid41(AMG-10)"/>
        <s v="Turbonicoil 321(MC8P)"/>
        <s v="Turbonicoil 35M (B3V)"/>
        <s v="Dầu 132-25"/>
        <s v="Grease28 (Mỡ 221)"/>
        <s v="Grease33 (OKB)"/>
        <s v="Grease22"/>
        <s v="OKB122-7-5"/>
        <s v="Mỡ 201"/>
        <s v="Mỡ 221"/>
        <s v="Mỡ HK-50"/>
        <s v="Mỡ số 9"/>
        <s v="Xăng CN"/>
      </sharedItems>
    </cacheField>
    <cacheField name="soluong" numFmtId="0" sqlType="-5">
      <sharedItems containsSemiMixedTypes="0" containsString="0" containsNumber="1" containsInteger="1" minValue="0" maxValue="43400"/>
    </cacheField>
    <cacheField name="title_lv1" numFmtId="0" sqlType="-10">
      <sharedItems count="14">
        <s v="DT cho NV đột xuất"/>
        <s v="DT SSCD"/>
        <s v="TT Xe máy"/>
        <s v="BQ"/>
        <s v="Hao hụt"/>
        <s v="Ngoài QC"/>
        <s v="Tổn thất"/>
        <s v="Khác"/>
        <s v="Trong QC"/>
        <s v="CXD"/>
        <s v="Mua P/cấp"/>
        <s v="F nội bộ"/>
        <s v="QC"/>
        <s v="Nội bộ f" u="1"/>
      </sharedItems>
    </cacheField>
    <cacheField name="title_lv2" numFmtId="0" sqlType="-10">
      <sharedItems containsBlank="1" count="15">
        <s v="DT cho NV đột xuất"/>
        <s v="DT SSCD"/>
        <s v="TT Xe máy"/>
        <s v="BQ"/>
        <s v="Hao hụt"/>
        <s v="Xuất khác"/>
        <s v="Tổn thất"/>
        <s v="Khác"/>
        <s v="Nhập khác"/>
        <s v="CXD"/>
        <s v="Mua P/cấp"/>
        <s v="f nội bộ"/>
        <s v="QC"/>
        <m u="1"/>
        <s v="Trong QC" u="1"/>
      </sharedItems>
    </cacheField>
    <cacheField name="title_lv3" numFmtId="0" sqlType="-10">
      <sharedItems count="5">
        <s v="Tồn đầu kỳ"/>
        <s v="Xuất"/>
        <s v="Nhập"/>
        <s v="Tồn cuối kỳ"/>
        <s v="" u="1"/>
      </sharedItems>
    </cacheField>
    <cacheField name="title_lxd_lv1" numFmtId="0" sqlType="-10">
      <sharedItems containsBlank="1" count="14">
        <s v="Xăng ô tô"/>
        <s v="Diezel"/>
        <s v="Dầu hạ cấp"/>
        <s v="Dầu bay"/>
        <s v="Dầu đ.cơ ô tô"/>
        <s v="Dầu truyền động"/>
        <s v="Dầu khác"/>
        <s v="Mỡ giảm ma sát"/>
        <s v="Dầu động cơ"/>
        <s v="Dầu thủy lực"/>
        <s v="Mỡ nhờn"/>
        <s v="Dung môi"/>
        <m u="1"/>
        <s v="NL-XANG-OTO" u="1"/>
      </sharedItems>
    </cacheField>
    <cacheField name="title_lxd_lv2" numFmtId="0" sqlType="-10">
      <sharedItems containsBlank="1" count="8">
        <s v="Xăng ô tô"/>
        <s v="Diezel"/>
        <s v="Dầu hạ cấp"/>
        <s v="Dầu bay"/>
        <s v="DMN nhờn MĐ"/>
        <s v="DMN nhờn HK"/>
        <m u="1"/>
        <s v="XANG-OTO" u="1"/>
      </sharedItems>
    </cacheField>
    <cacheField name="title_lxd_lv3" numFmtId="0" sqlType="-10">
      <sharedItems containsBlank="1" count="4">
        <s v="Nhiên liệu"/>
        <s v="DM nhờn"/>
        <m u="1"/>
        <s v="NL" u="1"/>
      </sharedItems>
    </cacheField>
    <cacheField name="xd_id" numFmtId="0" sqlType="4">
      <sharedItems containsSemiMixedTypes="0" containsString="0" containsNumber="1" containsInteger="1" minValue="20" maxValue="70"/>
    </cacheField>
    <cacheField name="title_id" numFmtId="0" sqlType="4">
      <sharedItems containsSemiMixedTypes="0" containsString="0" containsNumber="1" containsInteger="1" minValue="1" maxValue="38" count="17">
        <n v="1"/>
        <n v="2"/>
        <n v="8"/>
        <n v="9"/>
        <n v="10"/>
        <n v="12"/>
        <n v="13"/>
        <n v="32"/>
        <n v="36"/>
        <n v="35"/>
        <n v="31"/>
        <n v="30"/>
        <n v="15"/>
        <n v="5"/>
        <n v="38"/>
        <n v="4"/>
        <n v="16"/>
      </sharedItems>
    </cacheField>
    <cacheField name="quarter_id" numFmtId="0" sqlType="4">
      <sharedItems containsSemiMixedTypes="0" containsString="0" containsNumber="1" containsInteger="1" minValue="20" maxValue="20" count="1">
        <n v="20"/>
      </sharedItems>
    </cacheField>
    <cacheField name="Field1" numFmtId="0" formula=" 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67">
  <r>
    <n v="42540"/>
    <x v="0"/>
    <n v="20000"/>
    <x v="0"/>
    <x v="0"/>
    <x v="0"/>
    <x v="0"/>
    <x v="0"/>
    <x v="0"/>
    <n v="20"/>
    <x v="0"/>
    <x v="0"/>
  </r>
  <r>
    <n v="42541"/>
    <x v="0"/>
    <n v="20000"/>
    <x v="1"/>
    <x v="1"/>
    <x v="0"/>
    <x v="0"/>
    <x v="0"/>
    <x v="0"/>
    <n v="20"/>
    <x v="1"/>
    <x v="0"/>
  </r>
  <r>
    <n v="42544"/>
    <x v="0"/>
    <n v="0"/>
    <x v="2"/>
    <x v="2"/>
    <x v="1"/>
    <x v="0"/>
    <x v="0"/>
    <x v="0"/>
    <n v="20"/>
    <x v="2"/>
    <x v="0"/>
  </r>
  <r>
    <n v="42545"/>
    <x v="0"/>
    <n v="0"/>
    <x v="3"/>
    <x v="3"/>
    <x v="1"/>
    <x v="0"/>
    <x v="0"/>
    <x v="0"/>
    <n v="20"/>
    <x v="3"/>
    <x v="0"/>
  </r>
  <r>
    <n v="42546"/>
    <x v="0"/>
    <n v="0"/>
    <x v="4"/>
    <x v="4"/>
    <x v="1"/>
    <x v="0"/>
    <x v="0"/>
    <x v="0"/>
    <n v="20"/>
    <x v="4"/>
    <x v="0"/>
  </r>
  <r>
    <n v="42547"/>
    <x v="0"/>
    <n v="0"/>
    <x v="5"/>
    <x v="5"/>
    <x v="1"/>
    <x v="0"/>
    <x v="0"/>
    <x v="0"/>
    <n v="20"/>
    <x v="5"/>
    <x v="0"/>
  </r>
  <r>
    <n v="42548"/>
    <x v="0"/>
    <n v="0"/>
    <x v="6"/>
    <x v="6"/>
    <x v="1"/>
    <x v="0"/>
    <x v="0"/>
    <x v="0"/>
    <n v="20"/>
    <x v="6"/>
    <x v="0"/>
  </r>
  <r>
    <n v="42553"/>
    <x v="0"/>
    <n v="0"/>
    <x v="7"/>
    <x v="7"/>
    <x v="1"/>
    <x v="0"/>
    <x v="0"/>
    <x v="0"/>
    <n v="20"/>
    <x v="7"/>
    <x v="0"/>
  </r>
  <r>
    <n v="42555"/>
    <x v="0"/>
    <n v="0"/>
    <x v="8"/>
    <x v="8"/>
    <x v="1"/>
    <x v="0"/>
    <x v="0"/>
    <x v="0"/>
    <n v="20"/>
    <x v="8"/>
    <x v="0"/>
  </r>
  <r>
    <n v="42557"/>
    <x v="1"/>
    <n v="20000"/>
    <x v="0"/>
    <x v="0"/>
    <x v="0"/>
    <x v="0"/>
    <x v="0"/>
    <x v="0"/>
    <n v="21"/>
    <x v="0"/>
    <x v="0"/>
  </r>
  <r>
    <n v="42558"/>
    <x v="1"/>
    <n v="20000"/>
    <x v="1"/>
    <x v="1"/>
    <x v="0"/>
    <x v="0"/>
    <x v="0"/>
    <x v="0"/>
    <n v="21"/>
    <x v="1"/>
    <x v="0"/>
  </r>
  <r>
    <n v="42561"/>
    <x v="1"/>
    <n v="0"/>
    <x v="2"/>
    <x v="2"/>
    <x v="1"/>
    <x v="0"/>
    <x v="0"/>
    <x v="0"/>
    <n v="21"/>
    <x v="2"/>
    <x v="0"/>
  </r>
  <r>
    <n v="42562"/>
    <x v="1"/>
    <n v="0"/>
    <x v="3"/>
    <x v="3"/>
    <x v="1"/>
    <x v="0"/>
    <x v="0"/>
    <x v="0"/>
    <n v="21"/>
    <x v="3"/>
    <x v="0"/>
  </r>
  <r>
    <n v="42563"/>
    <x v="1"/>
    <n v="0"/>
    <x v="4"/>
    <x v="4"/>
    <x v="1"/>
    <x v="0"/>
    <x v="0"/>
    <x v="0"/>
    <n v="21"/>
    <x v="4"/>
    <x v="0"/>
  </r>
  <r>
    <n v="42564"/>
    <x v="1"/>
    <n v="0"/>
    <x v="5"/>
    <x v="5"/>
    <x v="1"/>
    <x v="0"/>
    <x v="0"/>
    <x v="0"/>
    <n v="21"/>
    <x v="5"/>
    <x v="0"/>
  </r>
  <r>
    <n v="42565"/>
    <x v="1"/>
    <n v="0"/>
    <x v="6"/>
    <x v="6"/>
    <x v="1"/>
    <x v="0"/>
    <x v="0"/>
    <x v="0"/>
    <n v="21"/>
    <x v="6"/>
    <x v="0"/>
  </r>
  <r>
    <n v="42570"/>
    <x v="1"/>
    <n v="0"/>
    <x v="7"/>
    <x v="7"/>
    <x v="1"/>
    <x v="0"/>
    <x v="0"/>
    <x v="0"/>
    <n v="21"/>
    <x v="7"/>
    <x v="0"/>
  </r>
  <r>
    <n v="42571"/>
    <x v="1"/>
    <n v="0"/>
    <x v="8"/>
    <x v="8"/>
    <x v="2"/>
    <x v="0"/>
    <x v="0"/>
    <x v="0"/>
    <n v="21"/>
    <x v="9"/>
    <x v="0"/>
  </r>
  <r>
    <n v="42572"/>
    <x v="1"/>
    <n v="0"/>
    <x v="8"/>
    <x v="8"/>
    <x v="1"/>
    <x v="0"/>
    <x v="0"/>
    <x v="0"/>
    <n v="21"/>
    <x v="8"/>
    <x v="0"/>
  </r>
  <r>
    <n v="42574"/>
    <x v="2"/>
    <n v="20000"/>
    <x v="0"/>
    <x v="0"/>
    <x v="0"/>
    <x v="1"/>
    <x v="1"/>
    <x v="0"/>
    <n v="22"/>
    <x v="0"/>
    <x v="0"/>
  </r>
  <r>
    <n v="42575"/>
    <x v="2"/>
    <n v="20000"/>
    <x v="1"/>
    <x v="1"/>
    <x v="0"/>
    <x v="1"/>
    <x v="1"/>
    <x v="0"/>
    <n v="22"/>
    <x v="1"/>
    <x v="0"/>
  </r>
  <r>
    <n v="42578"/>
    <x v="2"/>
    <n v="0"/>
    <x v="2"/>
    <x v="2"/>
    <x v="1"/>
    <x v="1"/>
    <x v="1"/>
    <x v="0"/>
    <n v="22"/>
    <x v="2"/>
    <x v="0"/>
  </r>
  <r>
    <n v="42579"/>
    <x v="2"/>
    <n v="0"/>
    <x v="3"/>
    <x v="3"/>
    <x v="1"/>
    <x v="1"/>
    <x v="1"/>
    <x v="0"/>
    <n v="22"/>
    <x v="3"/>
    <x v="0"/>
  </r>
  <r>
    <n v="42580"/>
    <x v="2"/>
    <n v="0"/>
    <x v="4"/>
    <x v="4"/>
    <x v="1"/>
    <x v="1"/>
    <x v="1"/>
    <x v="0"/>
    <n v="22"/>
    <x v="4"/>
    <x v="0"/>
  </r>
  <r>
    <n v="42581"/>
    <x v="2"/>
    <n v="0"/>
    <x v="5"/>
    <x v="5"/>
    <x v="1"/>
    <x v="1"/>
    <x v="1"/>
    <x v="0"/>
    <n v="22"/>
    <x v="5"/>
    <x v="0"/>
  </r>
  <r>
    <n v="42582"/>
    <x v="2"/>
    <n v="0"/>
    <x v="6"/>
    <x v="6"/>
    <x v="1"/>
    <x v="1"/>
    <x v="1"/>
    <x v="0"/>
    <n v="22"/>
    <x v="6"/>
    <x v="0"/>
  </r>
  <r>
    <n v="42586"/>
    <x v="2"/>
    <n v="0"/>
    <x v="7"/>
    <x v="7"/>
    <x v="2"/>
    <x v="1"/>
    <x v="1"/>
    <x v="0"/>
    <n v="22"/>
    <x v="10"/>
    <x v="0"/>
  </r>
  <r>
    <n v="42587"/>
    <x v="2"/>
    <n v="0"/>
    <x v="7"/>
    <x v="7"/>
    <x v="1"/>
    <x v="1"/>
    <x v="1"/>
    <x v="0"/>
    <n v="22"/>
    <x v="7"/>
    <x v="0"/>
  </r>
  <r>
    <n v="42588"/>
    <x v="2"/>
    <n v="0"/>
    <x v="8"/>
    <x v="8"/>
    <x v="2"/>
    <x v="1"/>
    <x v="1"/>
    <x v="0"/>
    <n v="22"/>
    <x v="9"/>
    <x v="0"/>
  </r>
  <r>
    <n v="42589"/>
    <x v="2"/>
    <n v="0"/>
    <x v="8"/>
    <x v="8"/>
    <x v="1"/>
    <x v="1"/>
    <x v="1"/>
    <x v="0"/>
    <n v="22"/>
    <x v="8"/>
    <x v="0"/>
  </r>
  <r>
    <n v="42591"/>
    <x v="3"/>
    <n v="20000"/>
    <x v="0"/>
    <x v="0"/>
    <x v="0"/>
    <x v="2"/>
    <x v="2"/>
    <x v="0"/>
    <n v="23"/>
    <x v="0"/>
    <x v="0"/>
  </r>
  <r>
    <n v="42592"/>
    <x v="3"/>
    <n v="20000"/>
    <x v="1"/>
    <x v="1"/>
    <x v="0"/>
    <x v="2"/>
    <x v="2"/>
    <x v="0"/>
    <n v="23"/>
    <x v="1"/>
    <x v="0"/>
  </r>
  <r>
    <n v="42568"/>
    <x v="1"/>
    <n v="3000"/>
    <x v="9"/>
    <x v="9"/>
    <x v="2"/>
    <x v="0"/>
    <x v="0"/>
    <x v="0"/>
    <n v="21"/>
    <x v="11"/>
    <x v="0"/>
  </r>
  <r>
    <n v="42585"/>
    <x v="2"/>
    <n v="3000"/>
    <x v="9"/>
    <x v="9"/>
    <x v="2"/>
    <x v="1"/>
    <x v="1"/>
    <x v="0"/>
    <n v="22"/>
    <x v="11"/>
    <x v="0"/>
  </r>
  <r>
    <n v="42566"/>
    <x v="1"/>
    <n v="32694"/>
    <x v="0"/>
    <x v="0"/>
    <x v="3"/>
    <x v="0"/>
    <x v="0"/>
    <x v="0"/>
    <n v="21"/>
    <x v="12"/>
    <x v="0"/>
  </r>
  <r>
    <n v="42577"/>
    <x v="2"/>
    <n v="1211"/>
    <x v="10"/>
    <x v="10"/>
    <x v="2"/>
    <x v="1"/>
    <x v="1"/>
    <x v="0"/>
    <n v="22"/>
    <x v="13"/>
    <x v="0"/>
  </r>
  <r>
    <n v="42554"/>
    <x v="0"/>
    <n v="6800"/>
    <x v="8"/>
    <x v="8"/>
    <x v="2"/>
    <x v="0"/>
    <x v="0"/>
    <x v="0"/>
    <n v="20"/>
    <x v="9"/>
    <x v="0"/>
  </r>
  <r>
    <n v="42560"/>
    <x v="1"/>
    <n v="5000"/>
    <x v="10"/>
    <x v="10"/>
    <x v="2"/>
    <x v="0"/>
    <x v="0"/>
    <x v="0"/>
    <n v="21"/>
    <x v="13"/>
    <x v="0"/>
  </r>
  <r>
    <n v="42594"/>
    <x v="3"/>
    <n v="7600"/>
    <x v="10"/>
    <x v="10"/>
    <x v="2"/>
    <x v="2"/>
    <x v="2"/>
    <x v="0"/>
    <n v="23"/>
    <x v="13"/>
    <x v="0"/>
  </r>
  <r>
    <n v="42543"/>
    <x v="0"/>
    <n v="300"/>
    <x v="10"/>
    <x v="10"/>
    <x v="2"/>
    <x v="0"/>
    <x v="0"/>
    <x v="0"/>
    <n v="20"/>
    <x v="13"/>
    <x v="0"/>
  </r>
  <r>
    <n v="42556"/>
    <x v="0"/>
    <n v="500"/>
    <x v="11"/>
    <x v="11"/>
    <x v="2"/>
    <x v="0"/>
    <x v="0"/>
    <x v="0"/>
    <n v="20"/>
    <x v="14"/>
    <x v="0"/>
  </r>
  <r>
    <n v="42573"/>
    <x v="1"/>
    <n v="394"/>
    <x v="11"/>
    <x v="11"/>
    <x v="2"/>
    <x v="0"/>
    <x v="0"/>
    <x v="0"/>
    <n v="21"/>
    <x v="14"/>
    <x v="0"/>
  </r>
  <r>
    <n v="42590"/>
    <x v="2"/>
    <n v="500"/>
    <x v="11"/>
    <x v="11"/>
    <x v="2"/>
    <x v="1"/>
    <x v="1"/>
    <x v="0"/>
    <n v="22"/>
    <x v="14"/>
    <x v="0"/>
  </r>
  <r>
    <n v="42542"/>
    <x v="0"/>
    <n v="4400"/>
    <x v="12"/>
    <x v="12"/>
    <x v="2"/>
    <x v="0"/>
    <x v="0"/>
    <x v="0"/>
    <n v="20"/>
    <x v="15"/>
    <x v="0"/>
  </r>
  <r>
    <n v="42567"/>
    <x v="1"/>
    <n v="20000"/>
    <x v="1"/>
    <x v="1"/>
    <x v="3"/>
    <x v="0"/>
    <x v="0"/>
    <x v="0"/>
    <n v="21"/>
    <x v="16"/>
    <x v="0"/>
  </r>
  <r>
    <n v="42552"/>
    <x v="0"/>
    <n v="9400"/>
    <x v="7"/>
    <x v="7"/>
    <x v="2"/>
    <x v="0"/>
    <x v="0"/>
    <x v="0"/>
    <n v="20"/>
    <x v="10"/>
    <x v="0"/>
  </r>
  <r>
    <n v="42550"/>
    <x v="0"/>
    <n v="20000"/>
    <x v="1"/>
    <x v="1"/>
    <x v="3"/>
    <x v="0"/>
    <x v="0"/>
    <x v="0"/>
    <n v="20"/>
    <x v="16"/>
    <x v="0"/>
  </r>
  <r>
    <n v="42559"/>
    <x v="1"/>
    <n v="300"/>
    <x v="12"/>
    <x v="12"/>
    <x v="2"/>
    <x v="0"/>
    <x v="0"/>
    <x v="0"/>
    <n v="21"/>
    <x v="15"/>
    <x v="0"/>
  </r>
  <r>
    <n v="42569"/>
    <x v="1"/>
    <n v="4000"/>
    <x v="7"/>
    <x v="7"/>
    <x v="2"/>
    <x v="0"/>
    <x v="0"/>
    <x v="0"/>
    <n v="21"/>
    <x v="10"/>
    <x v="0"/>
  </r>
  <r>
    <n v="42583"/>
    <x v="2"/>
    <n v="27711"/>
    <x v="0"/>
    <x v="0"/>
    <x v="3"/>
    <x v="1"/>
    <x v="1"/>
    <x v="0"/>
    <n v="22"/>
    <x v="12"/>
    <x v="0"/>
  </r>
  <r>
    <n v="42584"/>
    <x v="2"/>
    <n v="20000"/>
    <x v="1"/>
    <x v="1"/>
    <x v="3"/>
    <x v="1"/>
    <x v="1"/>
    <x v="0"/>
    <n v="22"/>
    <x v="16"/>
    <x v="0"/>
  </r>
  <r>
    <n v="42576"/>
    <x v="2"/>
    <n v="3000"/>
    <x v="12"/>
    <x v="12"/>
    <x v="2"/>
    <x v="1"/>
    <x v="1"/>
    <x v="0"/>
    <n v="22"/>
    <x v="15"/>
    <x v="0"/>
  </r>
  <r>
    <n v="42593"/>
    <x v="3"/>
    <n v="4000"/>
    <x v="12"/>
    <x v="12"/>
    <x v="2"/>
    <x v="2"/>
    <x v="2"/>
    <x v="0"/>
    <n v="23"/>
    <x v="15"/>
    <x v="0"/>
  </r>
  <r>
    <n v="42595"/>
    <x v="3"/>
    <n v="0"/>
    <x v="2"/>
    <x v="2"/>
    <x v="1"/>
    <x v="2"/>
    <x v="2"/>
    <x v="0"/>
    <n v="23"/>
    <x v="2"/>
    <x v="0"/>
  </r>
  <r>
    <n v="42596"/>
    <x v="3"/>
    <n v="0"/>
    <x v="3"/>
    <x v="3"/>
    <x v="1"/>
    <x v="2"/>
    <x v="2"/>
    <x v="0"/>
    <n v="23"/>
    <x v="3"/>
    <x v="0"/>
  </r>
  <r>
    <n v="42597"/>
    <x v="3"/>
    <n v="0"/>
    <x v="4"/>
    <x v="4"/>
    <x v="1"/>
    <x v="2"/>
    <x v="2"/>
    <x v="0"/>
    <n v="23"/>
    <x v="4"/>
    <x v="0"/>
  </r>
  <r>
    <n v="42598"/>
    <x v="3"/>
    <n v="0"/>
    <x v="5"/>
    <x v="5"/>
    <x v="1"/>
    <x v="2"/>
    <x v="2"/>
    <x v="0"/>
    <n v="23"/>
    <x v="5"/>
    <x v="0"/>
  </r>
  <r>
    <n v="42599"/>
    <x v="3"/>
    <n v="0"/>
    <x v="6"/>
    <x v="6"/>
    <x v="1"/>
    <x v="2"/>
    <x v="2"/>
    <x v="0"/>
    <n v="23"/>
    <x v="6"/>
    <x v="0"/>
  </r>
  <r>
    <n v="42604"/>
    <x v="3"/>
    <n v="0"/>
    <x v="7"/>
    <x v="7"/>
    <x v="1"/>
    <x v="2"/>
    <x v="2"/>
    <x v="0"/>
    <n v="23"/>
    <x v="7"/>
    <x v="0"/>
  </r>
  <r>
    <n v="42605"/>
    <x v="3"/>
    <n v="0"/>
    <x v="8"/>
    <x v="8"/>
    <x v="2"/>
    <x v="2"/>
    <x v="2"/>
    <x v="0"/>
    <n v="23"/>
    <x v="9"/>
    <x v="0"/>
  </r>
  <r>
    <n v="42606"/>
    <x v="3"/>
    <n v="0"/>
    <x v="8"/>
    <x v="8"/>
    <x v="1"/>
    <x v="2"/>
    <x v="2"/>
    <x v="0"/>
    <n v="23"/>
    <x v="8"/>
    <x v="0"/>
  </r>
  <r>
    <n v="42607"/>
    <x v="3"/>
    <n v="0"/>
    <x v="11"/>
    <x v="11"/>
    <x v="2"/>
    <x v="2"/>
    <x v="2"/>
    <x v="0"/>
    <n v="23"/>
    <x v="14"/>
    <x v="0"/>
  </r>
  <r>
    <n v="42608"/>
    <x v="4"/>
    <n v="20000"/>
    <x v="0"/>
    <x v="0"/>
    <x v="0"/>
    <x v="2"/>
    <x v="2"/>
    <x v="0"/>
    <n v="24"/>
    <x v="0"/>
    <x v="0"/>
  </r>
  <r>
    <n v="42609"/>
    <x v="4"/>
    <n v="20000"/>
    <x v="1"/>
    <x v="1"/>
    <x v="0"/>
    <x v="2"/>
    <x v="2"/>
    <x v="0"/>
    <n v="24"/>
    <x v="1"/>
    <x v="0"/>
  </r>
  <r>
    <n v="42611"/>
    <x v="4"/>
    <n v="0"/>
    <x v="10"/>
    <x v="10"/>
    <x v="2"/>
    <x v="2"/>
    <x v="2"/>
    <x v="0"/>
    <n v="24"/>
    <x v="13"/>
    <x v="0"/>
  </r>
  <r>
    <n v="42612"/>
    <x v="4"/>
    <n v="0"/>
    <x v="2"/>
    <x v="2"/>
    <x v="1"/>
    <x v="2"/>
    <x v="2"/>
    <x v="0"/>
    <n v="24"/>
    <x v="2"/>
    <x v="0"/>
  </r>
  <r>
    <n v="42613"/>
    <x v="4"/>
    <n v="0"/>
    <x v="3"/>
    <x v="3"/>
    <x v="1"/>
    <x v="2"/>
    <x v="2"/>
    <x v="0"/>
    <n v="24"/>
    <x v="3"/>
    <x v="0"/>
  </r>
  <r>
    <n v="42614"/>
    <x v="4"/>
    <n v="0"/>
    <x v="4"/>
    <x v="4"/>
    <x v="1"/>
    <x v="2"/>
    <x v="2"/>
    <x v="0"/>
    <n v="24"/>
    <x v="4"/>
    <x v="0"/>
  </r>
  <r>
    <n v="42615"/>
    <x v="4"/>
    <n v="0"/>
    <x v="5"/>
    <x v="5"/>
    <x v="1"/>
    <x v="2"/>
    <x v="2"/>
    <x v="0"/>
    <n v="24"/>
    <x v="5"/>
    <x v="0"/>
  </r>
  <r>
    <n v="42616"/>
    <x v="4"/>
    <n v="0"/>
    <x v="6"/>
    <x v="6"/>
    <x v="1"/>
    <x v="2"/>
    <x v="2"/>
    <x v="0"/>
    <n v="24"/>
    <x v="6"/>
    <x v="0"/>
  </r>
  <r>
    <n v="42620"/>
    <x v="4"/>
    <n v="0"/>
    <x v="7"/>
    <x v="7"/>
    <x v="2"/>
    <x v="2"/>
    <x v="2"/>
    <x v="0"/>
    <n v="24"/>
    <x v="10"/>
    <x v="0"/>
  </r>
  <r>
    <n v="42621"/>
    <x v="4"/>
    <n v="0"/>
    <x v="7"/>
    <x v="7"/>
    <x v="1"/>
    <x v="2"/>
    <x v="2"/>
    <x v="0"/>
    <n v="24"/>
    <x v="7"/>
    <x v="0"/>
  </r>
  <r>
    <n v="42622"/>
    <x v="4"/>
    <n v="0"/>
    <x v="8"/>
    <x v="8"/>
    <x v="2"/>
    <x v="2"/>
    <x v="2"/>
    <x v="0"/>
    <n v="24"/>
    <x v="9"/>
    <x v="0"/>
  </r>
  <r>
    <n v="42623"/>
    <x v="4"/>
    <n v="0"/>
    <x v="8"/>
    <x v="8"/>
    <x v="1"/>
    <x v="2"/>
    <x v="2"/>
    <x v="0"/>
    <n v="24"/>
    <x v="8"/>
    <x v="0"/>
  </r>
  <r>
    <n v="42624"/>
    <x v="4"/>
    <n v="0"/>
    <x v="11"/>
    <x v="11"/>
    <x v="2"/>
    <x v="2"/>
    <x v="2"/>
    <x v="0"/>
    <n v="24"/>
    <x v="14"/>
    <x v="0"/>
  </r>
  <r>
    <n v="42625"/>
    <x v="5"/>
    <n v="20000"/>
    <x v="0"/>
    <x v="0"/>
    <x v="0"/>
    <x v="3"/>
    <x v="3"/>
    <x v="0"/>
    <n v="36"/>
    <x v="0"/>
    <x v="0"/>
  </r>
  <r>
    <n v="42626"/>
    <x v="5"/>
    <n v="20000"/>
    <x v="1"/>
    <x v="1"/>
    <x v="0"/>
    <x v="3"/>
    <x v="3"/>
    <x v="0"/>
    <n v="36"/>
    <x v="1"/>
    <x v="0"/>
  </r>
  <r>
    <n v="42628"/>
    <x v="5"/>
    <n v="0"/>
    <x v="10"/>
    <x v="10"/>
    <x v="2"/>
    <x v="3"/>
    <x v="3"/>
    <x v="0"/>
    <n v="36"/>
    <x v="13"/>
    <x v="0"/>
  </r>
  <r>
    <n v="42629"/>
    <x v="5"/>
    <n v="0"/>
    <x v="2"/>
    <x v="2"/>
    <x v="1"/>
    <x v="3"/>
    <x v="3"/>
    <x v="0"/>
    <n v="36"/>
    <x v="2"/>
    <x v="0"/>
  </r>
  <r>
    <n v="42630"/>
    <x v="5"/>
    <n v="0"/>
    <x v="3"/>
    <x v="3"/>
    <x v="1"/>
    <x v="3"/>
    <x v="3"/>
    <x v="0"/>
    <n v="36"/>
    <x v="3"/>
    <x v="0"/>
  </r>
  <r>
    <n v="42631"/>
    <x v="5"/>
    <n v="0"/>
    <x v="4"/>
    <x v="4"/>
    <x v="1"/>
    <x v="3"/>
    <x v="3"/>
    <x v="0"/>
    <n v="36"/>
    <x v="4"/>
    <x v="0"/>
  </r>
  <r>
    <n v="42632"/>
    <x v="5"/>
    <n v="0"/>
    <x v="5"/>
    <x v="5"/>
    <x v="1"/>
    <x v="3"/>
    <x v="3"/>
    <x v="0"/>
    <n v="36"/>
    <x v="5"/>
    <x v="0"/>
  </r>
  <r>
    <n v="42633"/>
    <x v="5"/>
    <n v="0"/>
    <x v="6"/>
    <x v="6"/>
    <x v="1"/>
    <x v="3"/>
    <x v="3"/>
    <x v="0"/>
    <n v="36"/>
    <x v="6"/>
    <x v="0"/>
  </r>
  <r>
    <n v="42637"/>
    <x v="5"/>
    <n v="0"/>
    <x v="7"/>
    <x v="7"/>
    <x v="2"/>
    <x v="3"/>
    <x v="3"/>
    <x v="0"/>
    <n v="36"/>
    <x v="10"/>
    <x v="0"/>
  </r>
  <r>
    <n v="42638"/>
    <x v="5"/>
    <n v="0"/>
    <x v="7"/>
    <x v="7"/>
    <x v="1"/>
    <x v="3"/>
    <x v="3"/>
    <x v="0"/>
    <n v="36"/>
    <x v="7"/>
    <x v="0"/>
  </r>
  <r>
    <n v="42640"/>
    <x v="5"/>
    <n v="0"/>
    <x v="8"/>
    <x v="8"/>
    <x v="1"/>
    <x v="3"/>
    <x v="3"/>
    <x v="0"/>
    <n v="36"/>
    <x v="8"/>
    <x v="0"/>
  </r>
  <r>
    <n v="42641"/>
    <x v="5"/>
    <n v="0"/>
    <x v="11"/>
    <x v="11"/>
    <x v="2"/>
    <x v="3"/>
    <x v="3"/>
    <x v="0"/>
    <n v="36"/>
    <x v="14"/>
    <x v="0"/>
  </r>
  <r>
    <n v="42642"/>
    <x v="3"/>
    <n v="20000"/>
    <x v="0"/>
    <x v="0"/>
    <x v="0"/>
    <x v="3"/>
    <x v="3"/>
    <x v="0"/>
    <n v="37"/>
    <x v="0"/>
    <x v="0"/>
  </r>
  <r>
    <n v="42643"/>
    <x v="3"/>
    <n v="20000"/>
    <x v="1"/>
    <x v="1"/>
    <x v="0"/>
    <x v="3"/>
    <x v="3"/>
    <x v="0"/>
    <n v="37"/>
    <x v="1"/>
    <x v="0"/>
  </r>
  <r>
    <n v="42645"/>
    <x v="3"/>
    <n v="0"/>
    <x v="10"/>
    <x v="10"/>
    <x v="2"/>
    <x v="3"/>
    <x v="3"/>
    <x v="0"/>
    <n v="37"/>
    <x v="13"/>
    <x v="0"/>
  </r>
  <r>
    <n v="42646"/>
    <x v="3"/>
    <n v="0"/>
    <x v="2"/>
    <x v="2"/>
    <x v="1"/>
    <x v="3"/>
    <x v="3"/>
    <x v="0"/>
    <n v="37"/>
    <x v="2"/>
    <x v="0"/>
  </r>
  <r>
    <n v="42647"/>
    <x v="3"/>
    <n v="0"/>
    <x v="3"/>
    <x v="3"/>
    <x v="1"/>
    <x v="3"/>
    <x v="3"/>
    <x v="0"/>
    <n v="37"/>
    <x v="3"/>
    <x v="0"/>
  </r>
  <r>
    <n v="42619"/>
    <x v="4"/>
    <n v="3999"/>
    <x v="9"/>
    <x v="9"/>
    <x v="2"/>
    <x v="2"/>
    <x v="2"/>
    <x v="0"/>
    <n v="24"/>
    <x v="11"/>
    <x v="0"/>
  </r>
  <r>
    <n v="42601"/>
    <x v="3"/>
    <n v="20000"/>
    <x v="1"/>
    <x v="1"/>
    <x v="3"/>
    <x v="2"/>
    <x v="2"/>
    <x v="0"/>
    <n v="23"/>
    <x v="16"/>
    <x v="0"/>
  </r>
  <r>
    <n v="42644"/>
    <x v="3"/>
    <n v="10000"/>
    <x v="12"/>
    <x v="12"/>
    <x v="2"/>
    <x v="3"/>
    <x v="3"/>
    <x v="0"/>
    <n v="37"/>
    <x v="15"/>
    <x v="0"/>
  </r>
  <r>
    <n v="42603"/>
    <x v="3"/>
    <n v="3000"/>
    <x v="7"/>
    <x v="7"/>
    <x v="2"/>
    <x v="2"/>
    <x v="2"/>
    <x v="0"/>
    <n v="23"/>
    <x v="10"/>
    <x v="0"/>
  </r>
  <r>
    <n v="42636"/>
    <x v="5"/>
    <n v="8400"/>
    <x v="9"/>
    <x v="9"/>
    <x v="2"/>
    <x v="3"/>
    <x v="3"/>
    <x v="0"/>
    <n v="36"/>
    <x v="11"/>
    <x v="0"/>
  </r>
  <r>
    <n v="42617"/>
    <x v="4"/>
    <n v="28999"/>
    <x v="0"/>
    <x v="0"/>
    <x v="3"/>
    <x v="2"/>
    <x v="2"/>
    <x v="0"/>
    <n v="24"/>
    <x v="12"/>
    <x v="0"/>
  </r>
  <r>
    <n v="42618"/>
    <x v="4"/>
    <n v="20000"/>
    <x v="1"/>
    <x v="1"/>
    <x v="3"/>
    <x v="2"/>
    <x v="2"/>
    <x v="0"/>
    <n v="24"/>
    <x v="16"/>
    <x v="0"/>
  </r>
  <r>
    <n v="42610"/>
    <x v="4"/>
    <n v="5000"/>
    <x v="12"/>
    <x v="12"/>
    <x v="2"/>
    <x v="2"/>
    <x v="2"/>
    <x v="0"/>
    <n v="24"/>
    <x v="15"/>
    <x v="0"/>
  </r>
  <r>
    <n v="42635"/>
    <x v="5"/>
    <n v="20000"/>
    <x v="1"/>
    <x v="1"/>
    <x v="3"/>
    <x v="3"/>
    <x v="3"/>
    <x v="0"/>
    <n v="36"/>
    <x v="16"/>
    <x v="0"/>
  </r>
  <r>
    <n v="42639"/>
    <x v="5"/>
    <n v="2222"/>
    <x v="8"/>
    <x v="8"/>
    <x v="2"/>
    <x v="3"/>
    <x v="3"/>
    <x v="0"/>
    <n v="36"/>
    <x v="9"/>
    <x v="0"/>
  </r>
  <r>
    <n v="42627"/>
    <x v="5"/>
    <n v="9000"/>
    <x v="12"/>
    <x v="12"/>
    <x v="2"/>
    <x v="3"/>
    <x v="3"/>
    <x v="0"/>
    <n v="36"/>
    <x v="15"/>
    <x v="0"/>
  </r>
  <r>
    <n v="42634"/>
    <x v="5"/>
    <n v="39622"/>
    <x v="0"/>
    <x v="0"/>
    <x v="3"/>
    <x v="3"/>
    <x v="3"/>
    <x v="0"/>
    <n v="36"/>
    <x v="12"/>
    <x v="0"/>
  </r>
  <r>
    <n v="42648"/>
    <x v="3"/>
    <n v="0"/>
    <x v="4"/>
    <x v="4"/>
    <x v="1"/>
    <x v="3"/>
    <x v="3"/>
    <x v="0"/>
    <n v="37"/>
    <x v="4"/>
    <x v="0"/>
  </r>
  <r>
    <n v="42649"/>
    <x v="3"/>
    <n v="0"/>
    <x v="5"/>
    <x v="5"/>
    <x v="1"/>
    <x v="3"/>
    <x v="3"/>
    <x v="0"/>
    <n v="37"/>
    <x v="5"/>
    <x v="0"/>
  </r>
  <r>
    <n v="42650"/>
    <x v="3"/>
    <n v="0"/>
    <x v="6"/>
    <x v="6"/>
    <x v="1"/>
    <x v="3"/>
    <x v="3"/>
    <x v="0"/>
    <n v="37"/>
    <x v="6"/>
    <x v="0"/>
  </r>
  <r>
    <n v="42653"/>
    <x v="3"/>
    <n v="0"/>
    <x v="9"/>
    <x v="9"/>
    <x v="2"/>
    <x v="3"/>
    <x v="3"/>
    <x v="0"/>
    <n v="37"/>
    <x v="11"/>
    <x v="0"/>
  </r>
  <r>
    <n v="42654"/>
    <x v="3"/>
    <n v="0"/>
    <x v="7"/>
    <x v="7"/>
    <x v="2"/>
    <x v="3"/>
    <x v="3"/>
    <x v="0"/>
    <n v="37"/>
    <x v="10"/>
    <x v="0"/>
  </r>
  <r>
    <n v="42655"/>
    <x v="3"/>
    <n v="0"/>
    <x v="7"/>
    <x v="7"/>
    <x v="1"/>
    <x v="3"/>
    <x v="3"/>
    <x v="0"/>
    <n v="37"/>
    <x v="7"/>
    <x v="0"/>
  </r>
  <r>
    <n v="42657"/>
    <x v="3"/>
    <n v="0"/>
    <x v="8"/>
    <x v="8"/>
    <x v="1"/>
    <x v="3"/>
    <x v="3"/>
    <x v="0"/>
    <n v="37"/>
    <x v="8"/>
    <x v="0"/>
  </r>
  <r>
    <n v="42658"/>
    <x v="3"/>
    <n v="0"/>
    <x v="11"/>
    <x v="11"/>
    <x v="2"/>
    <x v="3"/>
    <x v="3"/>
    <x v="0"/>
    <n v="37"/>
    <x v="14"/>
    <x v="0"/>
  </r>
  <r>
    <n v="42659"/>
    <x v="4"/>
    <n v="20000"/>
    <x v="0"/>
    <x v="0"/>
    <x v="0"/>
    <x v="3"/>
    <x v="3"/>
    <x v="0"/>
    <n v="38"/>
    <x v="0"/>
    <x v="0"/>
  </r>
  <r>
    <n v="42660"/>
    <x v="4"/>
    <n v="20000"/>
    <x v="1"/>
    <x v="1"/>
    <x v="0"/>
    <x v="3"/>
    <x v="3"/>
    <x v="0"/>
    <n v="38"/>
    <x v="1"/>
    <x v="0"/>
  </r>
  <r>
    <n v="42662"/>
    <x v="4"/>
    <n v="0"/>
    <x v="10"/>
    <x v="10"/>
    <x v="2"/>
    <x v="3"/>
    <x v="3"/>
    <x v="0"/>
    <n v="38"/>
    <x v="13"/>
    <x v="0"/>
  </r>
  <r>
    <n v="42663"/>
    <x v="4"/>
    <n v="0"/>
    <x v="2"/>
    <x v="2"/>
    <x v="1"/>
    <x v="3"/>
    <x v="3"/>
    <x v="0"/>
    <n v="38"/>
    <x v="2"/>
    <x v="0"/>
  </r>
  <r>
    <n v="42664"/>
    <x v="4"/>
    <n v="0"/>
    <x v="3"/>
    <x v="3"/>
    <x v="1"/>
    <x v="3"/>
    <x v="3"/>
    <x v="0"/>
    <n v="38"/>
    <x v="3"/>
    <x v="0"/>
  </r>
  <r>
    <n v="42665"/>
    <x v="4"/>
    <n v="0"/>
    <x v="4"/>
    <x v="4"/>
    <x v="1"/>
    <x v="3"/>
    <x v="3"/>
    <x v="0"/>
    <n v="38"/>
    <x v="4"/>
    <x v="0"/>
  </r>
  <r>
    <n v="42666"/>
    <x v="4"/>
    <n v="0"/>
    <x v="5"/>
    <x v="5"/>
    <x v="1"/>
    <x v="3"/>
    <x v="3"/>
    <x v="0"/>
    <n v="38"/>
    <x v="5"/>
    <x v="0"/>
  </r>
  <r>
    <n v="42667"/>
    <x v="4"/>
    <n v="0"/>
    <x v="6"/>
    <x v="6"/>
    <x v="1"/>
    <x v="3"/>
    <x v="3"/>
    <x v="0"/>
    <n v="38"/>
    <x v="6"/>
    <x v="0"/>
  </r>
  <r>
    <n v="42670"/>
    <x v="4"/>
    <n v="0"/>
    <x v="9"/>
    <x v="9"/>
    <x v="2"/>
    <x v="3"/>
    <x v="3"/>
    <x v="0"/>
    <n v="38"/>
    <x v="11"/>
    <x v="0"/>
  </r>
  <r>
    <n v="42671"/>
    <x v="4"/>
    <n v="0"/>
    <x v="7"/>
    <x v="7"/>
    <x v="2"/>
    <x v="3"/>
    <x v="3"/>
    <x v="0"/>
    <n v="38"/>
    <x v="10"/>
    <x v="0"/>
  </r>
  <r>
    <n v="42672"/>
    <x v="4"/>
    <n v="0"/>
    <x v="7"/>
    <x v="7"/>
    <x v="1"/>
    <x v="3"/>
    <x v="3"/>
    <x v="0"/>
    <n v="38"/>
    <x v="7"/>
    <x v="0"/>
  </r>
  <r>
    <n v="42674"/>
    <x v="4"/>
    <n v="0"/>
    <x v="8"/>
    <x v="8"/>
    <x v="1"/>
    <x v="3"/>
    <x v="3"/>
    <x v="0"/>
    <n v="38"/>
    <x v="8"/>
    <x v="0"/>
  </r>
  <r>
    <n v="42675"/>
    <x v="4"/>
    <n v="0"/>
    <x v="11"/>
    <x v="11"/>
    <x v="2"/>
    <x v="3"/>
    <x v="3"/>
    <x v="0"/>
    <n v="38"/>
    <x v="14"/>
    <x v="0"/>
  </r>
  <r>
    <n v="42676"/>
    <x v="6"/>
    <n v="20000"/>
    <x v="0"/>
    <x v="0"/>
    <x v="0"/>
    <x v="4"/>
    <x v="4"/>
    <x v="1"/>
    <n v="25"/>
    <x v="0"/>
    <x v="0"/>
  </r>
  <r>
    <n v="42677"/>
    <x v="6"/>
    <n v="20000"/>
    <x v="1"/>
    <x v="1"/>
    <x v="0"/>
    <x v="4"/>
    <x v="4"/>
    <x v="1"/>
    <n v="25"/>
    <x v="1"/>
    <x v="0"/>
  </r>
  <r>
    <n v="42679"/>
    <x v="6"/>
    <n v="0"/>
    <x v="10"/>
    <x v="10"/>
    <x v="2"/>
    <x v="4"/>
    <x v="4"/>
    <x v="1"/>
    <n v="25"/>
    <x v="13"/>
    <x v="0"/>
  </r>
  <r>
    <n v="42680"/>
    <x v="6"/>
    <n v="0"/>
    <x v="2"/>
    <x v="2"/>
    <x v="1"/>
    <x v="4"/>
    <x v="4"/>
    <x v="1"/>
    <n v="25"/>
    <x v="2"/>
    <x v="0"/>
  </r>
  <r>
    <n v="42681"/>
    <x v="6"/>
    <n v="0"/>
    <x v="3"/>
    <x v="3"/>
    <x v="1"/>
    <x v="4"/>
    <x v="4"/>
    <x v="1"/>
    <n v="25"/>
    <x v="3"/>
    <x v="0"/>
  </r>
  <r>
    <n v="42682"/>
    <x v="6"/>
    <n v="0"/>
    <x v="4"/>
    <x v="4"/>
    <x v="1"/>
    <x v="4"/>
    <x v="4"/>
    <x v="1"/>
    <n v="25"/>
    <x v="4"/>
    <x v="0"/>
  </r>
  <r>
    <n v="42683"/>
    <x v="6"/>
    <n v="0"/>
    <x v="5"/>
    <x v="5"/>
    <x v="1"/>
    <x v="4"/>
    <x v="4"/>
    <x v="1"/>
    <n v="25"/>
    <x v="5"/>
    <x v="0"/>
  </r>
  <r>
    <n v="42684"/>
    <x v="6"/>
    <n v="0"/>
    <x v="6"/>
    <x v="6"/>
    <x v="1"/>
    <x v="4"/>
    <x v="4"/>
    <x v="1"/>
    <n v="25"/>
    <x v="6"/>
    <x v="0"/>
  </r>
  <r>
    <n v="42685"/>
    <x v="6"/>
    <n v="20000"/>
    <x v="0"/>
    <x v="0"/>
    <x v="3"/>
    <x v="4"/>
    <x v="4"/>
    <x v="1"/>
    <n v="25"/>
    <x v="12"/>
    <x v="0"/>
  </r>
  <r>
    <n v="42686"/>
    <x v="6"/>
    <n v="20000"/>
    <x v="1"/>
    <x v="1"/>
    <x v="3"/>
    <x v="4"/>
    <x v="4"/>
    <x v="1"/>
    <n v="25"/>
    <x v="16"/>
    <x v="0"/>
  </r>
  <r>
    <n v="42687"/>
    <x v="6"/>
    <n v="0"/>
    <x v="9"/>
    <x v="9"/>
    <x v="2"/>
    <x v="4"/>
    <x v="4"/>
    <x v="1"/>
    <n v="25"/>
    <x v="11"/>
    <x v="0"/>
  </r>
  <r>
    <n v="42688"/>
    <x v="6"/>
    <n v="0"/>
    <x v="7"/>
    <x v="7"/>
    <x v="2"/>
    <x v="4"/>
    <x v="4"/>
    <x v="1"/>
    <n v="25"/>
    <x v="10"/>
    <x v="0"/>
  </r>
  <r>
    <n v="42689"/>
    <x v="6"/>
    <n v="0"/>
    <x v="7"/>
    <x v="7"/>
    <x v="1"/>
    <x v="4"/>
    <x v="4"/>
    <x v="1"/>
    <n v="25"/>
    <x v="7"/>
    <x v="0"/>
  </r>
  <r>
    <n v="42690"/>
    <x v="6"/>
    <n v="0"/>
    <x v="8"/>
    <x v="8"/>
    <x v="2"/>
    <x v="4"/>
    <x v="4"/>
    <x v="1"/>
    <n v="25"/>
    <x v="9"/>
    <x v="0"/>
  </r>
  <r>
    <n v="42691"/>
    <x v="6"/>
    <n v="0"/>
    <x v="8"/>
    <x v="8"/>
    <x v="1"/>
    <x v="4"/>
    <x v="4"/>
    <x v="1"/>
    <n v="25"/>
    <x v="8"/>
    <x v="0"/>
  </r>
  <r>
    <n v="42692"/>
    <x v="6"/>
    <n v="0"/>
    <x v="11"/>
    <x v="11"/>
    <x v="2"/>
    <x v="4"/>
    <x v="4"/>
    <x v="1"/>
    <n v="25"/>
    <x v="14"/>
    <x v="0"/>
  </r>
  <r>
    <n v="42693"/>
    <x v="7"/>
    <n v="20000"/>
    <x v="0"/>
    <x v="0"/>
    <x v="0"/>
    <x v="4"/>
    <x v="4"/>
    <x v="1"/>
    <n v="26"/>
    <x v="0"/>
    <x v="0"/>
  </r>
  <r>
    <n v="42694"/>
    <x v="7"/>
    <n v="20000"/>
    <x v="1"/>
    <x v="1"/>
    <x v="0"/>
    <x v="4"/>
    <x v="4"/>
    <x v="1"/>
    <n v="26"/>
    <x v="1"/>
    <x v="0"/>
  </r>
  <r>
    <n v="42695"/>
    <x v="7"/>
    <n v="0"/>
    <x v="12"/>
    <x v="12"/>
    <x v="2"/>
    <x v="4"/>
    <x v="4"/>
    <x v="1"/>
    <n v="26"/>
    <x v="15"/>
    <x v="0"/>
  </r>
  <r>
    <n v="42696"/>
    <x v="7"/>
    <n v="0"/>
    <x v="10"/>
    <x v="10"/>
    <x v="2"/>
    <x v="4"/>
    <x v="4"/>
    <x v="1"/>
    <n v="26"/>
    <x v="13"/>
    <x v="0"/>
  </r>
  <r>
    <n v="42697"/>
    <x v="7"/>
    <n v="0"/>
    <x v="2"/>
    <x v="2"/>
    <x v="1"/>
    <x v="4"/>
    <x v="4"/>
    <x v="1"/>
    <n v="26"/>
    <x v="2"/>
    <x v="0"/>
  </r>
  <r>
    <n v="42698"/>
    <x v="7"/>
    <n v="0"/>
    <x v="3"/>
    <x v="3"/>
    <x v="1"/>
    <x v="4"/>
    <x v="4"/>
    <x v="1"/>
    <n v="26"/>
    <x v="3"/>
    <x v="0"/>
  </r>
  <r>
    <n v="42699"/>
    <x v="7"/>
    <n v="0"/>
    <x v="4"/>
    <x v="4"/>
    <x v="1"/>
    <x v="4"/>
    <x v="4"/>
    <x v="1"/>
    <n v="26"/>
    <x v="4"/>
    <x v="0"/>
  </r>
  <r>
    <n v="42700"/>
    <x v="7"/>
    <n v="0"/>
    <x v="5"/>
    <x v="5"/>
    <x v="1"/>
    <x v="4"/>
    <x v="4"/>
    <x v="1"/>
    <n v="26"/>
    <x v="5"/>
    <x v="0"/>
  </r>
  <r>
    <n v="42661"/>
    <x v="4"/>
    <n v="4500"/>
    <x v="12"/>
    <x v="12"/>
    <x v="2"/>
    <x v="3"/>
    <x v="3"/>
    <x v="0"/>
    <n v="38"/>
    <x v="15"/>
    <x v="0"/>
  </r>
  <r>
    <n v="42678"/>
    <x v="6"/>
    <n v="7000"/>
    <x v="12"/>
    <x v="12"/>
    <x v="2"/>
    <x v="4"/>
    <x v="4"/>
    <x v="1"/>
    <n v="25"/>
    <x v="15"/>
    <x v="0"/>
  </r>
  <r>
    <n v="42656"/>
    <x v="3"/>
    <n v="123"/>
    <x v="8"/>
    <x v="8"/>
    <x v="2"/>
    <x v="3"/>
    <x v="3"/>
    <x v="0"/>
    <n v="37"/>
    <x v="9"/>
    <x v="0"/>
  </r>
  <r>
    <n v="42652"/>
    <x v="3"/>
    <n v="20000"/>
    <x v="1"/>
    <x v="1"/>
    <x v="3"/>
    <x v="3"/>
    <x v="3"/>
    <x v="0"/>
    <n v="37"/>
    <x v="16"/>
    <x v="0"/>
  </r>
  <r>
    <n v="42668"/>
    <x v="4"/>
    <n v="26823"/>
    <x v="0"/>
    <x v="0"/>
    <x v="3"/>
    <x v="3"/>
    <x v="3"/>
    <x v="0"/>
    <n v="38"/>
    <x v="12"/>
    <x v="0"/>
  </r>
  <r>
    <n v="42669"/>
    <x v="4"/>
    <n v="20000"/>
    <x v="1"/>
    <x v="1"/>
    <x v="3"/>
    <x v="3"/>
    <x v="3"/>
    <x v="0"/>
    <n v="38"/>
    <x v="16"/>
    <x v="0"/>
  </r>
  <r>
    <n v="42673"/>
    <x v="4"/>
    <n v="2323"/>
    <x v="8"/>
    <x v="8"/>
    <x v="2"/>
    <x v="3"/>
    <x v="3"/>
    <x v="0"/>
    <n v="38"/>
    <x v="9"/>
    <x v="0"/>
  </r>
  <r>
    <n v="42701"/>
    <x v="7"/>
    <n v="0"/>
    <x v="6"/>
    <x v="6"/>
    <x v="1"/>
    <x v="4"/>
    <x v="4"/>
    <x v="1"/>
    <n v="26"/>
    <x v="6"/>
    <x v="0"/>
  </r>
  <r>
    <n v="42702"/>
    <x v="7"/>
    <n v="20000"/>
    <x v="0"/>
    <x v="0"/>
    <x v="3"/>
    <x v="4"/>
    <x v="4"/>
    <x v="1"/>
    <n v="26"/>
    <x v="12"/>
    <x v="0"/>
  </r>
  <r>
    <n v="42703"/>
    <x v="7"/>
    <n v="20000"/>
    <x v="1"/>
    <x v="1"/>
    <x v="3"/>
    <x v="4"/>
    <x v="4"/>
    <x v="1"/>
    <n v="26"/>
    <x v="16"/>
    <x v="0"/>
  </r>
  <r>
    <n v="42704"/>
    <x v="7"/>
    <n v="0"/>
    <x v="9"/>
    <x v="9"/>
    <x v="2"/>
    <x v="4"/>
    <x v="4"/>
    <x v="1"/>
    <n v="26"/>
    <x v="11"/>
    <x v="0"/>
  </r>
  <r>
    <n v="42705"/>
    <x v="7"/>
    <n v="0"/>
    <x v="7"/>
    <x v="7"/>
    <x v="2"/>
    <x v="4"/>
    <x v="4"/>
    <x v="1"/>
    <n v="26"/>
    <x v="10"/>
    <x v="0"/>
  </r>
  <r>
    <n v="42706"/>
    <x v="7"/>
    <n v="0"/>
    <x v="7"/>
    <x v="7"/>
    <x v="1"/>
    <x v="4"/>
    <x v="4"/>
    <x v="1"/>
    <n v="26"/>
    <x v="7"/>
    <x v="0"/>
  </r>
  <r>
    <n v="42707"/>
    <x v="7"/>
    <n v="0"/>
    <x v="8"/>
    <x v="8"/>
    <x v="2"/>
    <x v="4"/>
    <x v="4"/>
    <x v="1"/>
    <n v="26"/>
    <x v="9"/>
    <x v="0"/>
  </r>
  <r>
    <n v="42708"/>
    <x v="7"/>
    <n v="0"/>
    <x v="8"/>
    <x v="8"/>
    <x v="1"/>
    <x v="4"/>
    <x v="4"/>
    <x v="1"/>
    <n v="26"/>
    <x v="8"/>
    <x v="0"/>
  </r>
  <r>
    <n v="42709"/>
    <x v="7"/>
    <n v="0"/>
    <x v="11"/>
    <x v="11"/>
    <x v="2"/>
    <x v="4"/>
    <x v="4"/>
    <x v="1"/>
    <n v="26"/>
    <x v="14"/>
    <x v="0"/>
  </r>
  <r>
    <n v="42710"/>
    <x v="8"/>
    <n v="20000"/>
    <x v="0"/>
    <x v="0"/>
    <x v="0"/>
    <x v="4"/>
    <x v="4"/>
    <x v="1"/>
    <n v="27"/>
    <x v="0"/>
    <x v="0"/>
  </r>
  <r>
    <n v="42711"/>
    <x v="8"/>
    <n v="20000"/>
    <x v="1"/>
    <x v="1"/>
    <x v="0"/>
    <x v="4"/>
    <x v="4"/>
    <x v="1"/>
    <n v="27"/>
    <x v="1"/>
    <x v="0"/>
  </r>
  <r>
    <n v="42712"/>
    <x v="8"/>
    <n v="0"/>
    <x v="12"/>
    <x v="12"/>
    <x v="2"/>
    <x v="4"/>
    <x v="4"/>
    <x v="1"/>
    <n v="27"/>
    <x v="15"/>
    <x v="0"/>
  </r>
  <r>
    <n v="42713"/>
    <x v="8"/>
    <n v="0"/>
    <x v="10"/>
    <x v="10"/>
    <x v="2"/>
    <x v="4"/>
    <x v="4"/>
    <x v="1"/>
    <n v="27"/>
    <x v="13"/>
    <x v="0"/>
  </r>
  <r>
    <n v="42714"/>
    <x v="8"/>
    <n v="0"/>
    <x v="2"/>
    <x v="2"/>
    <x v="1"/>
    <x v="4"/>
    <x v="4"/>
    <x v="1"/>
    <n v="27"/>
    <x v="2"/>
    <x v="0"/>
  </r>
  <r>
    <n v="42715"/>
    <x v="8"/>
    <n v="0"/>
    <x v="3"/>
    <x v="3"/>
    <x v="1"/>
    <x v="4"/>
    <x v="4"/>
    <x v="1"/>
    <n v="27"/>
    <x v="3"/>
    <x v="0"/>
  </r>
  <r>
    <n v="42716"/>
    <x v="8"/>
    <n v="0"/>
    <x v="4"/>
    <x v="4"/>
    <x v="1"/>
    <x v="4"/>
    <x v="4"/>
    <x v="1"/>
    <n v="27"/>
    <x v="4"/>
    <x v="0"/>
  </r>
  <r>
    <n v="42717"/>
    <x v="8"/>
    <n v="0"/>
    <x v="5"/>
    <x v="5"/>
    <x v="1"/>
    <x v="4"/>
    <x v="4"/>
    <x v="1"/>
    <n v="27"/>
    <x v="5"/>
    <x v="0"/>
  </r>
  <r>
    <n v="42718"/>
    <x v="8"/>
    <n v="0"/>
    <x v="6"/>
    <x v="6"/>
    <x v="1"/>
    <x v="4"/>
    <x v="4"/>
    <x v="1"/>
    <n v="27"/>
    <x v="6"/>
    <x v="0"/>
  </r>
  <r>
    <n v="42719"/>
    <x v="8"/>
    <n v="20000"/>
    <x v="0"/>
    <x v="0"/>
    <x v="3"/>
    <x v="4"/>
    <x v="4"/>
    <x v="1"/>
    <n v="27"/>
    <x v="12"/>
    <x v="0"/>
  </r>
  <r>
    <n v="42720"/>
    <x v="8"/>
    <n v="20000"/>
    <x v="1"/>
    <x v="1"/>
    <x v="3"/>
    <x v="4"/>
    <x v="4"/>
    <x v="1"/>
    <n v="27"/>
    <x v="16"/>
    <x v="0"/>
  </r>
  <r>
    <n v="42721"/>
    <x v="8"/>
    <n v="0"/>
    <x v="9"/>
    <x v="9"/>
    <x v="2"/>
    <x v="4"/>
    <x v="4"/>
    <x v="1"/>
    <n v="27"/>
    <x v="11"/>
    <x v="0"/>
  </r>
  <r>
    <n v="42722"/>
    <x v="8"/>
    <n v="0"/>
    <x v="7"/>
    <x v="7"/>
    <x v="2"/>
    <x v="4"/>
    <x v="4"/>
    <x v="1"/>
    <n v="27"/>
    <x v="10"/>
    <x v="0"/>
  </r>
  <r>
    <n v="42723"/>
    <x v="8"/>
    <n v="0"/>
    <x v="7"/>
    <x v="7"/>
    <x v="1"/>
    <x v="4"/>
    <x v="4"/>
    <x v="1"/>
    <n v="27"/>
    <x v="7"/>
    <x v="0"/>
  </r>
  <r>
    <n v="42724"/>
    <x v="8"/>
    <n v="0"/>
    <x v="8"/>
    <x v="8"/>
    <x v="2"/>
    <x v="4"/>
    <x v="4"/>
    <x v="1"/>
    <n v="27"/>
    <x v="9"/>
    <x v="0"/>
  </r>
  <r>
    <n v="42725"/>
    <x v="8"/>
    <n v="0"/>
    <x v="8"/>
    <x v="8"/>
    <x v="1"/>
    <x v="4"/>
    <x v="4"/>
    <x v="1"/>
    <n v="27"/>
    <x v="8"/>
    <x v="0"/>
  </r>
  <r>
    <n v="42726"/>
    <x v="8"/>
    <n v="0"/>
    <x v="11"/>
    <x v="11"/>
    <x v="2"/>
    <x v="4"/>
    <x v="4"/>
    <x v="1"/>
    <n v="27"/>
    <x v="14"/>
    <x v="0"/>
  </r>
  <r>
    <n v="42727"/>
    <x v="9"/>
    <n v="20000"/>
    <x v="0"/>
    <x v="0"/>
    <x v="0"/>
    <x v="4"/>
    <x v="4"/>
    <x v="1"/>
    <n v="28"/>
    <x v="0"/>
    <x v="0"/>
  </r>
  <r>
    <n v="42728"/>
    <x v="9"/>
    <n v="20000"/>
    <x v="1"/>
    <x v="1"/>
    <x v="0"/>
    <x v="4"/>
    <x v="4"/>
    <x v="1"/>
    <n v="28"/>
    <x v="1"/>
    <x v="0"/>
  </r>
  <r>
    <n v="42729"/>
    <x v="9"/>
    <n v="0"/>
    <x v="12"/>
    <x v="12"/>
    <x v="2"/>
    <x v="4"/>
    <x v="4"/>
    <x v="1"/>
    <n v="28"/>
    <x v="15"/>
    <x v="0"/>
  </r>
  <r>
    <n v="42730"/>
    <x v="9"/>
    <n v="0"/>
    <x v="10"/>
    <x v="10"/>
    <x v="2"/>
    <x v="4"/>
    <x v="4"/>
    <x v="1"/>
    <n v="28"/>
    <x v="13"/>
    <x v="0"/>
  </r>
  <r>
    <n v="42731"/>
    <x v="9"/>
    <n v="0"/>
    <x v="2"/>
    <x v="2"/>
    <x v="1"/>
    <x v="4"/>
    <x v="4"/>
    <x v="1"/>
    <n v="28"/>
    <x v="2"/>
    <x v="0"/>
  </r>
  <r>
    <n v="42732"/>
    <x v="9"/>
    <n v="0"/>
    <x v="3"/>
    <x v="3"/>
    <x v="1"/>
    <x v="4"/>
    <x v="4"/>
    <x v="1"/>
    <n v="28"/>
    <x v="3"/>
    <x v="0"/>
  </r>
  <r>
    <n v="42733"/>
    <x v="9"/>
    <n v="0"/>
    <x v="4"/>
    <x v="4"/>
    <x v="1"/>
    <x v="4"/>
    <x v="4"/>
    <x v="1"/>
    <n v="28"/>
    <x v="4"/>
    <x v="0"/>
  </r>
  <r>
    <n v="42734"/>
    <x v="9"/>
    <n v="0"/>
    <x v="5"/>
    <x v="5"/>
    <x v="1"/>
    <x v="4"/>
    <x v="4"/>
    <x v="1"/>
    <n v="28"/>
    <x v="5"/>
    <x v="0"/>
  </r>
  <r>
    <n v="42735"/>
    <x v="9"/>
    <n v="0"/>
    <x v="6"/>
    <x v="6"/>
    <x v="1"/>
    <x v="4"/>
    <x v="4"/>
    <x v="1"/>
    <n v="28"/>
    <x v="6"/>
    <x v="0"/>
  </r>
  <r>
    <n v="42736"/>
    <x v="9"/>
    <n v="20000"/>
    <x v="0"/>
    <x v="0"/>
    <x v="3"/>
    <x v="4"/>
    <x v="4"/>
    <x v="1"/>
    <n v="28"/>
    <x v="12"/>
    <x v="0"/>
  </r>
  <r>
    <n v="42737"/>
    <x v="9"/>
    <n v="20000"/>
    <x v="1"/>
    <x v="1"/>
    <x v="3"/>
    <x v="4"/>
    <x v="4"/>
    <x v="1"/>
    <n v="28"/>
    <x v="16"/>
    <x v="0"/>
  </r>
  <r>
    <n v="42738"/>
    <x v="9"/>
    <n v="0"/>
    <x v="9"/>
    <x v="9"/>
    <x v="2"/>
    <x v="4"/>
    <x v="4"/>
    <x v="1"/>
    <n v="28"/>
    <x v="11"/>
    <x v="0"/>
  </r>
  <r>
    <n v="42739"/>
    <x v="9"/>
    <n v="0"/>
    <x v="7"/>
    <x v="7"/>
    <x v="2"/>
    <x v="4"/>
    <x v="4"/>
    <x v="1"/>
    <n v="28"/>
    <x v="10"/>
    <x v="0"/>
  </r>
  <r>
    <n v="42740"/>
    <x v="9"/>
    <n v="0"/>
    <x v="7"/>
    <x v="7"/>
    <x v="1"/>
    <x v="4"/>
    <x v="4"/>
    <x v="1"/>
    <n v="28"/>
    <x v="7"/>
    <x v="0"/>
  </r>
  <r>
    <n v="42741"/>
    <x v="9"/>
    <n v="0"/>
    <x v="8"/>
    <x v="8"/>
    <x v="2"/>
    <x v="4"/>
    <x v="4"/>
    <x v="1"/>
    <n v="28"/>
    <x v="9"/>
    <x v="0"/>
  </r>
  <r>
    <n v="42742"/>
    <x v="9"/>
    <n v="0"/>
    <x v="8"/>
    <x v="8"/>
    <x v="1"/>
    <x v="4"/>
    <x v="4"/>
    <x v="1"/>
    <n v="28"/>
    <x v="8"/>
    <x v="0"/>
  </r>
  <r>
    <n v="42743"/>
    <x v="9"/>
    <n v="0"/>
    <x v="11"/>
    <x v="11"/>
    <x v="2"/>
    <x v="4"/>
    <x v="4"/>
    <x v="1"/>
    <n v="28"/>
    <x v="14"/>
    <x v="0"/>
  </r>
  <r>
    <n v="42744"/>
    <x v="10"/>
    <n v="20000"/>
    <x v="0"/>
    <x v="0"/>
    <x v="0"/>
    <x v="4"/>
    <x v="4"/>
    <x v="1"/>
    <n v="29"/>
    <x v="0"/>
    <x v="0"/>
  </r>
  <r>
    <n v="42745"/>
    <x v="10"/>
    <n v="20000"/>
    <x v="1"/>
    <x v="1"/>
    <x v="0"/>
    <x v="4"/>
    <x v="4"/>
    <x v="1"/>
    <n v="29"/>
    <x v="1"/>
    <x v="0"/>
  </r>
  <r>
    <n v="42746"/>
    <x v="10"/>
    <n v="0"/>
    <x v="12"/>
    <x v="12"/>
    <x v="2"/>
    <x v="4"/>
    <x v="4"/>
    <x v="1"/>
    <n v="29"/>
    <x v="15"/>
    <x v="0"/>
  </r>
  <r>
    <n v="42747"/>
    <x v="10"/>
    <n v="0"/>
    <x v="10"/>
    <x v="10"/>
    <x v="2"/>
    <x v="4"/>
    <x v="4"/>
    <x v="1"/>
    <n v="29"/>
    <x v="13"/>
    <x v="0"/>
  </r>
  <r>
    <n v="42748"/>
    <x v="10"/>
    <n v="0"/>
    <x v="2"/>
    <x v="2"/>
    <x v="1"/>
    <x v="4"/>
    <x v="4"/>
    <x v="1"/>
    <n v="29"/>
    <x v="2"/>
    <x v="0"/>
  </r>
  <r>
    <n v="42749"/>
    <x v="10"/>
    <n v="0"/>
    <x v="3"/>
    <x v="3"/>
    <x v="1"/>
    <x v="4"/>
    <x v="4"/>
    <x v="1"/>
    <n v="29"/>
    <x v="3"/>
    <x v="0"/>
  </r>
  <r>
    <n v="42750"/>
    <x v="10"/>
    <n v="0"/>
    <x v="4"/>
    <x v="4"/>
    <x v="1"/>
    <x v="4"/>
    <x v="4"/>
    <x v="1"/>
    <n v="29"/>
    <x v="4"/>
    <x v="0"/>
  </r>
  <r>
    <n v="42751"/>
    <x v="10"/>
    <n v="0"/>
    <x v="5"/>
    <x v="5"/>
    <x v="1"/>
    <x v="4"/>
    <x v="4"/>
    <x v="1"/>
    <n v="29"/>
    <x v="5"/>
    <x v="0"/>
  </r>
  <r>
    <n v="42752"/>
    <x v="10"/>
    <n v="0"/>
    <x v="6"/>
    <x v="6"/>
    <x v="1"/>
    <x v="4"/>
    <x v="4"/>
    <x v="1"/>
    <n v="29"/>
    <x v="6"/>
    <x v="0"/>
  </r>
  <r>
    <n v="42753"/>
    <x v="10"/>
    <n v="20000"/>
    <x v="0"/>
    <x v="0"/>
    <x v="3"/>
    <x v="4"/>
    <x v="4"/>
    <x v="1"/>
    <n v="29"/>
    <x v="12"/>
    <x v="0"/>
  </r>
  <r>
    <n v="42754"/>
    <x v="10"/>
    <n v="20000"/>
    <x v="1"/>
    <x v="1"/>
    <x v="3"/>
    <x v="4"/>
    <x v="4"/>
    <x v="1"/>
    <n v="29"/>
    <x v="16"/>
    <x v="0"/>
  </r>
  <r>
    <n v="42755"/>
    <x v="10"/>
    <n v="0"/>
    <x v="9"/>
    <x v="9"/>
    <x v="2"/>
    <x v="4"/>
    <x v="4"/>
    <x v="1"/>
    <n v="29"/>
    <x v="11"/>
    <x v="0"/>
  </r>
  <r>
    <n v="42756"/>
    <x v="10"/>
    <n v="0"/>
    <x v="7"/>
    <x v="7"/>
    <x v="2"/>
    <x v="4"/>
    <x v="4"/>
    <x v="1"/>
    <n v="29"/>
    <x v="10"/>
    <x v="0"/>
  </r>
  <r>
    <n v="42757"/>
    <x v="10"/>
    <n v="0"/>
    <x v="7"/>
    <x v="7"/>
    <x v="1"/>
    <x v="4"/>
    <x v="4"/>
    <x v="1"/>
    <n v="29"/>
    <x v="7"/>
    <x v="0"/>
  </r>
  <r>
    <n v="42758"/>
    <x v="10"/>
    <n v="0"/>
    <x v="8"/>
    <x v="8"/>
    <x v="2"/>
    <x v="4"/>
    <x v="4"/>
    <x v="1"/>
    <n v="29"/>
    <x v="9"/>
    <x v="0"/>
  </r>
  <r>
    <n v="42759"/>
    <x v="10"/>
    <n v="0"/>
    <x v="8"/>
    <x v="8"/>
    <x v="1"/>
    <x v="4"/>
    <x v="4"/>
    <x v="1"/>
    <n v="29"/>
    <x v="8"/>
    <x v="0"/>
  </r>
  <r>
    <n v="42760"/>
    <x v="10"/>
    <n v="0"/>
    <x v="11"/>
    <x v="11"/>
    <x v="2"/>
    <x v="4"/>
    <x v="4"/>
    <x v="1"/>
    <n v="29"/>
    <x v="14"/>
    <x v="0"/>
  </r>
  <r>
    <n v="42761"/>
    <x v="11"/>
    <n v="20000"/>
    <x v="0"/>
    <x v="0"/>
    <x v="0"/>
    <x v="4"/>
    <x v="4"/>
    <x v="1"/>
    <n v="30"/>
    <x v="0"/>
    <x v="0"/>
  </r>
  <r>
    <n v="42762"/>
    <x v="11"/>
    <n v="20000"/>
    <x v="1"/>
    <x v="1"/>
    <x v="0"/>
    <x v="4"/>
    <x v="4"/>
    <x v="1"/>
    <n v="30"/>
    <x v="1"/>
    <x v="0"/>
  </r>
  <r>
    <n v="42763"/>
    <x v="11"/>
    <n v="0"/>
    <x v="12"/>
    <x v="12"/>
    <x v="2"/>
    <x v="4"/>
    <x v="4"/>
    <x v="1"/>
    <n v="30"/>
    <x v="15"/>
    <x v="0"/>
  </r>
  <r>
    <n v="42764"/>
    <x v="11"/>
    <n v="0"/>
    <x v="10"/>
    <x v="10"/>
    <x v="2"/>
    <x v="4"/>
    <x v="4"/>
    <x v="1"/>
    <n v="30"/>
    <x v="13"/>
    <x v="0"/>
  </r>
  <r>
    <n v="42765"/>
    <x v="11"/>
    <n v="0"/>
    <x v="2"/>
    <x v="2"/>
    <x v="1"/>
    <x v="4"/>
    <x v="4"/>
    <x v="1"/>
    <n v="30"/>
    <x v="2"/>
    <x v="0"/>
  </r>
  <r>
    <n v="42766"/>
    <x v="11"/>
    <n v="0"/>
    <x v="3"/>
    <x v="3"/>
    <x v="1"/>
    <x v="4"/>
    <x v="4"/>
    <x v="1"/>
    <n v="30"/>
    <x v="3"/>
    <x v="0"/>
  </r>
  <r>
    <n v="42767"/>
    <x v="11"/>
    <n v="0"/>
    <x v="4"/>
    <x v="4"/>
    <x v="1"/>
    <x v="4"/>
    <x v="4"/>
    <x v="1"/>
    <n v="30"/>
    <x v="4"/>
    <x v="0"/>
  </r>
  <r>
    <n v="42768"/>
    <x v="11"/>
    <n v="0"/>
    <x v="5"/>
    <x v="5"/>
    <x v="1"/>
    <x v="4"/>
    <x v="4"/>
    <x v="1"/>
    <n v="30"/>
    <x v="5"/>
    <x v="0"/>
  </r>
  <r>
    <n v="42769"/>
    <x v="11"/>
    <n v="0"/>
    <x v="6"/>
    <x v="6"/>
    <x v="1"/>
    <x v="4"/>
    <x v="4"/>
    <x v="1"/>
    <n v="30"/>
    <x v="6"/>
    <x v="0"/>
  </r>
  <r>
    <n v="42770"/>
    <x v="11"/>
    <n v="20000"/>
    <x v="0"/>
    <x v="0"/>
    <x v="3"/>
    <x v="4"/>
    <x v="4"/>
    <x v="1"/>
    <n v="30"/>
    <x v="12"/>
    <x v="0"/>
  </r>
  <r>
    <n v="42771"/>
    <x v="11"/>
    <n v="20000"/>
    <x v="1"/>
    <x v="1"/>
    <x v="3"/>
    <x v="4"/>
    <x v="4"/>
    <x v="1"/>
    <n v="30"/>
    <x v="16"/>
    <x v="0"/>
  </r>
  <r>
    <n v="42772"/>
    <x v="11"/>
    <n v="0"/>
    <x v="9"/>
    <x v="9"/>
    <x v="2"/>
    <x v="4"/>
    <x v="4"/>
    <x v="1"/>
    <n v="30"/>
    <x v="11"/>
    <x v="0"/>
  </r>
  <r>
    <n v="42773"/>
    <x v="11"/>
    <n v="0"/>
    <x v="7"/>
    <x v="7"/>
    <x v="2"/>
    <x v="4"/>
    <x v="4"/>
    <x v="1"/>
    <n v="30"/>
    <x v="10"/>
    <x v="0"/>
  </r>
  <r>
    <n v="42774"/>
    <x v="11"/>
    <n v="0"/>
    <x v="7"/>
    <x v="7"/>
    <x v="1"/>
    <x v="4"/>
    <x v="4"/>
    <x v="1"/>
    <n v="30"/>
    <x v="7"/>
    <x v="0"/>
  </r>
  <r>
    <n v="42775"/>
    <x v="11"/>
    <n v="0"/>
    <x v="8"/>
    <x v="8"/>
    <x v="2"/>
    <x v="4"/>
    <x v="4"/>
    <x v="1"/>
    <n v="30"/>
    <x v="9"/>
    <x v="0"/>
  </r>
  <r>
    <n v="42776"/>
    <x v="11"/>
    <n v="0"/>
    <x v="8"/>
    <x v="8"/>
    <x v="1"/>
    <x v="4"/>
    <x v="4"/>
    <x v="1"/>
    <n v="30"/>
    <x v="8"/>
    <x v="0"/>
  </r>
  <r>
    <n v="42777"/>
    <x v="11"/>
    <n v="0"/>
    <x v="11"/>
    <x v="11"/>
    <x v="2"/>
    <x v="4"/>
    <x v="4"/>
    <x v="1"/>
    <n v="30"/>
    <x v="14"/>
    <x v="0"/>
  </r>
  <r>
    <n v="42778"/>
    <x v="12"/>
    <n v="20000"/>
    <x v="0"/>
    <x v="0"/>
    <x v="0"/>
    <x v="4"/>
    <x v="4"/>
    <x v="1"/>
    <n v="31"/>
    <x v="0"/>
    <x v="0"/>
  </r>
  <r>
    <n v="42779"/>
    <x v="12"/>
    <n v="20000"/>
    <x v="1"/>
    <x v="1"/>
    <x v="0"/>
    <x v="4"/>
    <x v="4"/>
    <x v="1"/>
    <n v="31"/>
    <x v="1"/>
    <x v="0"/>
  </r>
  <r>
    <n v="42780"/>
    <x v="12"/>
    <n v="0"/>
    <x v="12"/>
    <x v="12"/>
    <x v="2"/>
    <x v="4"/>
    <x v="4"/>
    <x v="1"/>
    <n v="31"/>
    <x v="15"/>
    <x v="0"/>
  </r>
  <r>
    <n v="42781"/>
    <x v="12"/>
    <n v="0"/>
    <x v="10"/>
    <x v="10"/>
    <x v="2"/>
    <x v="4"/>
    <x v="4"/>
    <x v="1"/>
    <n v="31"/>
    <x v="13"/>
    <x v="0"/>
  </r>
  <r>
    <n v="42782"/>
    <x v="12"/>
    <n v="0"/>
    <x v="2"/>
    <x v="2"/>
    <x v="1"/>
    <x v="4"/>
    <x v="4"/>
    <x v="1"/>
    <n v="31"/>
    <x v="2"/>
    <x v="0"/>
  </r>
  <r>
    <n v="42783"/>
    <x v="12"/>
    <n v="0"/>
    <x v="3"/>
    <x v="3"/>
    <x v="1"/>
    <x v="4"/>
    <x v="4"/>
    <x v="1"/>
    <n v="31"/>
    <x v="3"/>
    <x v="0"/>
  </r>
  <r>
    <n v="42784"/>
    <x v="12"/>
    <n v="0"/>
    <x v="4"/>
    <x v="4"/>
    <x v="1"/>
    <x v="4"/>
    <x v="4"/>
    <x v="1"/>
    <n v="31"/>
    <x v="4"/>
    <x v="0"/>
  </r>
  <r>
    <n v="42785"/>
    <x v="12"/>
    <n v="0"/>
    <x v="5"/>
    <x v="5"/>
    <x v="1"/>
    <x v="4"/>
    <x v="4"/>
    <x v="1"/>
    <n v="31"/>
    <x v="5"/>
    <x v="0"/>
  </r>
  <r>
    <n v="42786"/>
    <x v="12"/>
    <n v="0"/>
    <x v="6"/>
    <x v="6"/>
    <x v="1"/>
    <x v="4"/>
    <x v="4"/>
    <x v="1"/>
    <n v="31"/>
    <x v="6"/>
    <x v="0"/>
  </r>
  <r>
    <n v="42787"/>
    <x v="12"/>
    <n v="20000"/>
    <x v="0"/>
    <x v="0"/>
    <x v="3"/>
    <x v="4"/>
    <x v="4"/>
    <x v="1"/>
    <n v="31"/>
    <x v="12"/>
    <x v="0"/>
  </r>
  <r>
    <n v="42788"/>
    <x v="12"/>
    <n v="20000"/>
    <x v="1"/>
    <x v="1"/>
    <x v="3"/>
    <x v="4"/>
    <x v="4"/>
    <x v="1"/>
    <n v="31"/>
    <x v="16"/>
    <x v="0"/>
  </r>
  <r>
    <n v="42789"/>
    <x v="12"/>
    <n v="0"/>
    <x v="9"/>
    <x v="9"/>
    <x v="2"/>
    <x v="4"/>
    <x v="4"/>
    <x v="1"/>
    <n v="31"/>
    <x v="11"/>
    <x v="0"/>
  </r>
  <r>
    <n v="42790"/>
    <x v="12"/>
    <n v="0"/>
    <x v="7"/>
    <x v="7"/>
    <x v="2"/>
    <x v="4"/>
    <x v="4"/>
    <x v="1"/>
    <n v="31"/>
    <x v="10"/>
    <x v="0"/>
  </r>
  <r>
    <n v="42791"/>
    <x v="12"/>
    <n v="0"/>
    <x v="7"/>
    <x v="7"/>
    <x v="1"/>
    <x v="4"/>
    <x v="4"/>
    <x v="1"/>
    <n v="31"/>
    <x v="7"/>
    <x v="0"/>
  </r>
  <r>
    <n v="42792"/>
    <x v="12"/>
    <n v="0"/>
    <x v="8"/>
    <x v="8"/>
    <x v="2"/>
    <x v="4"/>
    <x v="4"/>
    <x v="1"/>
    <n v="31"/>
    <x v="9"/>
    <x v="0"/>
  </r>
  <r>
    <n v="42793"/>
    <x v="12"/>
    <n v="0"/>
    <x v="8"/>
    <x v="8"/>
    <x v="1"/>
    <x v="4"/>
    <x v="4"/>
    <x v="1"/>
    <n v="31"/>
    <x v="8"/>
    <x v="0"/>
  </r>
  <r>
    <n v="42794"/>
    <x v="12"/>
    <n v="0"/>
    <x v="11"/>
    <x v="11"/>
    <x v="2"/>
    <x v="4"/>
    <x v="4"/>
    <x v="1"/>
    <n v="31"/>
    <x v="14"/>
    <x v="0"/>
  </r>
  <r>
    <n v="42795"/>
    <x v="13"/>
    <n v="20000"/>
    <x v="0"/>
    <x v="0"/>
    <x v="0"/>
    <x v="4"/>
    <x v="4"/>
    <x v="1"/>
    <n v="32"/>
    <x v="0"/>
    <x v="0"/>
  </r>
  <r>
    <n v="42796"/>
    <x v="13"/>
    <n v="20000"/>
    <x v="1"/>
    <x v="1"/>
    <x v="0"/>
    <x v="4"/>
    <x v="4"/>
    <x v="1"/>
    <n v="32"/>
    <x v="1"/>
    <x v="0"/>
  </r>
  <r>
    <n v="42797"/>
    <x v="13"/>
    <n v="0"/>
    <x v="12"/>
    <x v="12"/>
    <x v="2"/>
    <x v="4"/>
    <x v="4"/>
    <x v="1"/>
    <n v="32"/>
    <x v="15"/>
    <x v="0"/>
  </r>
  <r>
    <n v="42798"/>
    <x v="13"/>
    <n v="0"/>
    <x v="10"/>
    <x v="10"/>
    <x v="2"/>
    <x v="4"/>
    <x v="4"/>
    <x v="1"/>
    <n v="32"/>
    <x v="13"/>
    <x v="0"/>
  </r>
  <r>
    <n v="42799"/>
    <x v="13"/>
    <n v="0"/>
    <x v="2"/>
    <x v="2"/>
    <x v="1"/>
    <x v="4"/>
    <x v="4"/>
    <x v="1"/>
    <n v="32"/>
    <x v="2"/>
    <x v="0"/>
  </r>
  <r>
    <n v="42800"/>
    <x v="13"/>
    <n v="0"/>
    <x v="3"/>
    <x v="3"/>
    <x v="1"/>
    <x v="4"/>
    <x v="4"/>
    <x v="1"/>
    <n v="32"/>
    <x v="3"/>
    <x v="0"/>
  </r>
  <r>
    <n v="42801"/>
    <x v="13"/>
    <n v="0"/>
    <x v="4"/>
    <x v="4"/>
    <x v="1"/>
    <x v="4"/>
    <x v="4"/>
    <x v="1"/>
    <n v="32"/>
    <x v="4"/>
    <x v="0"/>
  </r>
  <r>
    <n v="42802"/>
    <x v="13"/>
    <n v="0"/>
    <x v="5"/>
    <x v="5"/>
    <x v="1"/>
    <x v="4"/>
    <x v="4"/>
    <x v="1"/>
    <n v="32"/>
    <x v="5"/>
    <x v="0"/>
  </r>
  <r>
    <n v="42803"/>
    <x v="13"/>
    <n v="0"/>
    <x v="6"/>
    <x v="6"/>
    <x v="1"/>
    <x v="4"/>
    <x v="4"/>
    <x v="1"/>
    <n v="32"/>
    <x v="6"/>
    <x v="0"/>
  </r>
  <r>
    <n v="42804"/>
    <x v="13"/>
    <n v="20000"/>
    <x v="0"/>
    <x v="0"/>
    <x v="3"/>
    <x v="4"/>
    <x v="4"/>
    <x v="1"/>
    <n v="32"/>
    <x v="12"/>
    <x v="0"/>
  </r>
  <r>
    <n v="42805"/>
    <x v="13"/>
    <n v="20000"/>
    <x v="1"/>
    <x v="1"/>
    <x v="3"/>
    <x v="4"/>
    <x v="4"/>
    <x v="1"/>
    <n v="32"/>
    <x v="16"/>
    <x v="0"/>
  </r>
  <r>
    <n v="42806"/>
    <x v="13"/>
    <n v="0"/>
    <x v="9"/>
    <x v="9"/>
    <x v="2"/>
    <x v="4"/>
    <x v="4"/>
    <x v="1"/>
    <n v="32"/>
    <x v="11"/>
    <x v="0"/>
  </r>
  <r>
    <n v="42807"/>
    <x v="13"/>
    <n v="0"/>
    <x v="7"/>
    <x v="7"/>
    <x v="2"/>
    <x v="4"/>
    <x v="4"/>
    <x v="1"/>
    <n v="32"/>
    <x v="10"/>
    <x v="0"/>
  </r>
  <r>
    <n v="42808"/>
    <x v="13"/>
    <n v="0"/>
    <x v="7"/>
    <x v="7"/>
    <x v="1"/>
    <x v="4"/>
    <x v="4"/>
    <x v="1"/>
    <n v="32"/>
    <x v="7"/>
    <x v="0"/>
  </r>
  <r>
    <n v="42809"/>
    <x v="13"/>
    <n v="0"/>
    <x v="8"/>
    <x v="8"/>
    <x v="2"/>
    <x v="4"/>
    <x v="4"/>
    <x v="1"/>
    <n v="32"/>
    <x v="9"/>
    <x v="0"/>
  </r>
  <r>
    <n v="42810"/>
    <x v="13"/>
    <n v="0"/>
    <x v="8"/>
    <x v="8"/>
    <x v="1"/>
    <x v="4"/>
    <x v="4"/>
    <x v="1"/>
    <n v="32"/>
    <x v="8"/>
    <x v="0"/>
  </r>
  <r>
    <n v="42811"/>
    <x v="13"/>
    <n v="0"/>
    <x v="11"/>
    <x v="11"/>
    <x v="2"/>
    <x v="4"/>
    <x v="4"/>
    <x v="1"/>
    <n v="32"/>
    <x v="14"/>
    <x v="0"/>
  </r>
  <r>
    <n v="42812"/>
    <x v="14"/>
    <n v="20000"/>
    <x v="0"/>
    <x v="0"/>
    <x v="0"/>
    <x v="4"/>
    <x v="4"/>
    <x v="1"/>
    <n v="33"/>
    <x v="0"/>
    <x v="0"/>
  </r>
  <r>
    <n v="42813"/>
    <x v="14"/>
    <n v="20000"/>
    <x v="1"/>
    <x v="1"/>
    <x v="0"/>
    <x v="4"/>
    <x v="4"/>
    <x v="1"/>
    <n v="33"/>
    <x v="1"/>
    <x v="0"/>
  </r>
  <r>
    <n v="42814"/>
    <x v="14"/>
    <n v="0"/>
    <x v="12"/>
    <x v="12"/>
    <x v="2"/>
    <x v="4"/>
    <x v="4"/>
    <x v="1"/>
    <n v="33"/>
    <x v="15"/>
    <x v="0"/>
  </r>
  <r>
    <n v="42815"/>
    <x v="14"/>
    <n v="0"/>
    <x v="10"/>
    <x v="10"/>
    <x v="2"/>
    <x v="4"/>
    <x v="4"/>
    <x v="1"/>
    <n v="33"/>
    <x v="13"/>
    <x v="0"/>
  </r>
  <r>
    <n v="42816"/>
    <x v="14"/>
    <n v="0"/>
    <x v="2"/>
    <x v="2"/>
    <x v="1"/>
    <x v="4"/>
    <x v="4"/>
    <x v="1"/>
    <n v="33"/>
    <x v="2"/>
    <x v="0"/>
  </r>
  <r>
    <n v="42817"/>
    <x v="14"/>
    <n v="0"/>
    <x v="3"/>
    <x v="3"/>
    <x v="1"/>
    <x v="4"/>
    <x v="4"/>
    <x v="1"/>
    <n v="33"/>
    <x v="3"/>
    <x v="0"/>
  </r>
  <r>
    <n v="42818"/>
    <x v="14"/>
    <n v="0"/>
    <x v="4"/>
    <x v="4"/>
    <x v="1"/>
    <x v="4"/>
    <x v="4"/>
    <x v="1"/>
    <n v="33"/>
    <x v="4"/>
    <x v="0"/>
  </r>
  <r>
    <n v="42819"/>
    <x v="14"/>
    <n v="0"/>
    <x v="5"/>
    <x v="5"/>
    <x v="1"/>
    <x v="4"/>
    <x v="4"/>
    <x v="1"/>
    <n v="33"/>
    <x v="5"/>
    <x v="0"/>
  </r>
  <r>
    <n v="42820"/>
    <x v="14"/>
    <n v="0"/>
    <x v="6"/>
    <x v="6"/>
    <x v="1"/>
    <x v="4"/>
    <x v="4"/>
    <x v="1"/>
    <n v="33"/>
    <x v="6"/>
    <x v="0"/>
  </r>
  <r>
    <n v="42821"/>
    <x v="14"/>
    <n v="20000"/>
    <x v="0"/>
    <x v="0"/>
    <x v="3"/>
    <x v="4"/>
    <x v="4"/>
    <x v="1"/>
    <n v="33"/>
    <x v="12"/>
    <x v="0"/>
  </r>
  <r>
    <n v="42822"/>
    <x v="14"/>
    <n v="20000"/>
    <x v="1"/>
    <x v="1"/>
    <x v="3"/>
    <x v="4"/>
    <x v="4"/>
    <x v="1"/>
    <n v="33"/>
    <x v="16"/>
    <x v="0"/>
  </r>
  <r>
    <n v="42823"/>
    <x v="14"/>
    <n v="0"/>
    <x v="9"/>
    <x v="9"/>
    <x v="2"/>
    <x v="4"/>
    <x v="4"/>
    <x v="1"/>
    <n v="33"/>
    <x v="11"/>
    <x v="0"/>
  </r>
  <r>
    <n v="42824"/>
    <x v="14"/>
    <n v="0"/>
    <x v="7"/>
    <x v="7"/>
    <x v="2"/>
    <x v="4"/>
    <x v="4"/>
    <x v="1"/>
    <n v="33"/>
    <x v="10"/>
    <x v="0"/>
  </r>
  <r>
    <n v="42825"/>
    <x v="14"/>
    <n v="0"/>
    <x v="7"/>
    <x v="7"/>
    <x v="1"/>
    <x v="4"/>
    <x v="4"/>
    <x v="1"/>
    <n v="33"/>
    <x v="7"/>
    <x v="0"/>
  </r>
  <r>
    <n v="42826"/>
    <x v="14"/>
    <n v="0"/>
    <x v="8"/>
    <x v="8"/>
    <x v="2"/>
    <x v="4"/>
    <x v="4"/>
    <x v="1"/>
    <n v="33"/>
    <x v="9"/>
    <x v="0"/>
  </r>
  <r>
    <n v="42827"/>
    <x v="14"/>
    <n v="0"/>
    <x v="8"/>
    <x v="8"/>
    <x v="1"/>
    <x v="4"/>
    <x v="4"/>
    <x v="1"/>
    <n v="33"/>
    <x v="8"/>
    <x v="0"/>
  </r>
  <r>
    <n v="42828"/>
    <x v="14"/>
    <n v="0"/>
    <x v="11"/>
    <x v="11"/>
    <x v="2"/>
    <x v="4"/>
    <x v="4"/>
    <x v="1"/>
    <n v="33"/>
    <x v="14"/>
    <x v="0"/>
  </r>
  <r>
    <n v="42829"/>
    <x v="15"/>
    <n v="20000"/>
    <x v="0"/>
    <x v="0"/>
    <x v="0"/>
    <x v="4"/>
    <x v="4"/>
    <x v="1"/>
    <n v="34"/>
    <x v="0"/>
    <x v="0"/>
  </r>
  <r>
    <n v="42830"/>
    <x v="15"/>
    <n v="20000"/>
    <x v="1"/>
    <x v="1"/>
    <x v="0"/>
    <x v="4"/>
    <x v="4"/>
    <x v="1"/>
    <n v="34"/>
    <x v="1"/>
    <x v="0"/>
  </r>
  <r>
    <n v="42831"/>
    <x v="15"/>
    <n v="0"/>
    <x v="12"/>
    <x v="12"/>
    <x v="2"/>
    <x v="4"/>
    <x v="4"/>
    <x v="1"/>
    <n v="34"/>
    <x v="15"/>
    <x v="0"/>
  </r>
  <r>
    <n v="42832"/>
    <x v="15"/>
    <n v="0"/>
    <x v="10"/>
    <x v="10"/>
    <x v="2"/>
    <x v="4"/>
    <x v="4"/>
    <x v="1"/>
    <n v="34"/>
    <x v="13"/>
    <x v="0"/>
  </r>
  <r>
    <n v="42833"/>
    <x v="15"/>
    <n v="0"/>
    <x v="2"/>
    <x v="2"/>
    <x v="1"/>
    <x v="4"/>
    <x v="4"/>
    <x v="1"/>
    <n v="34"/>
    <x v="2"/>
    <x v="0"/>
  </r>
  <r>
    <n v="42834"/>
    <x v="15"/>
    <n v="0"/>
    <x v="3"/>
    <x v="3"/>
    <x v="1"/>
    <x v="4"/>
    <x v="4"/>
    <x v="1"/>
    <n v="34"/>
    <x v="3"/>
    <x v="0"/>
  </r>
  <r>
    <n v="42835"/>
    <x v="15"/>
    <n v="0"/>
    <x v="4"/>
    <x v="4"/>
    <x v="1"/>
    <x v="4"/>
    <x v="4"/>
    <x v="1"/>
    <n v="34"/>
    <x v="4"/>
    <x v="0"/>
  </r>
  <r>
    <n v="42836"/>
    <x v="15"/>
    <n v="0"/>
    <x v="5"/>
    <x v="5"/>
    <x v="1"/>
    <x v="4"/>
    <x v="4"/>
    <x v="1"/>
    <n v="34"/>
    <x v="5"/>
    <x v="0"/>
  </r>
  <r>
    <n v="42837"/>
    <x v="15"/>
    <n v="0"/>
    <x v="6"/>
    <x v="6"/>
    <x v="1"/>
    <x v="4"/>
    <x v="4"/>
    <x v="1"/>
    <n v="34"/>
    <x v="6"/>
    <x v="0"/>
  </r>
  <r>
    <n v="42838"/>
    <x v="15"/>
    <n v="20000"/>
    <x v="0"/>
    <x v="0"/>
    <x v="3"/>
    <x v="4"/>
    <x v="4"/>
    <x v="1"/>
    <n v="34"/>
    <x v="12"/>
    <x v="0"/>
  </r>
  <r>
    <n v="42839"/>
    <x v="15"/>
    <n v="20000"/>
    <x v="1"/>
    <x v="1"/>
    <x v="3"/>
    <x v="4"/>
    <x v="4"/>
    <x v="1"/>
    <n v="34"/>
    <x v="16"/>
    <x v="0"/>
  </r>
  <r>
    <n v="42840"/>
    <x v="15"/>
    <n v="0"/>
    <x v="9"/>
    <x v="9"/>
    <x v="2"/>
    <x v="4"/>
    <x v="4"/>
    <x v="1"/>
    <n v="34"/>
    <x v="11"/>
    <x v="0"/>
  </r>
  <r>
    <n v="42841"/>
    <x v="15"/>
    <n v="0"/>
    <x v="7"/>
    <x v="7"/>
    <x v="2"/>
    <x v="4"/>
    <x v="4"/>
    <x v="1"/>
    <n v="34"/>
    <x v="10"/>
    <x v="0"/>
  </r>
  <r>
    <n v="42842"/>
    <x v="15"/>
    <n v="0"/>
    <x v="7"/>
    <x v="7"/>
    <x v="1"/>
    <x v="4"/>
    <x v="4"/>
    <x v="1"/>
    <n v="34"/>
    <x v="7"/>
    <x v="0"/>
  </r>
  <r>
    <n v="42843"/>
    <x v="15"/>
    <n v="0"/>
    <x v="8"/>
    <x v="8"/>
    <x v="2"/>
    <x v="4"/>
    <x v="4"/>
    <x v="1"/>
    <n v="34"/>
    <x v="9"/>
    <x v="0"/>
  </r>
  <r>
    <n v="42844"/>
    <x v="15"/>
    <n v="0"/>
    <x v="8"/>
    <x v="8"/>
    <x v="1"/>
    <x v="4"/>
    <x v="4"/>
    <x v="1"/>
    <n v="34"/>
    <x v="8"/>
    <x v="0"/>
  </r>
  <r>
    <n v="42845"/>
    <x v="15"/>
    <n v="0"/>
    <x v="11"/>
    <x v="11"/>
    <x v="2"/>
    <x v="4"/>
    <x v="4"/>
    <x v="1"/>
    <n v="34"/>
    <x v="14"/>
    <x v="0"/>
  </r>
  <r>
    <n v="42846"/>
    <x v="16"/>
    <n v="20000"/>
    <x v="0"/>
    <x v="0"/>
    <x v="0"/>
    <x v="5"/>
    <x v="4"/>
    <x v="1"/>
    <n v="35"/>
    <x v="0"/>
    <x v="0"/>
  </r>
  <r>
    <n v="42847"/>
    <x v="16"/>
    <n v="20000"/>
    <x v="1"/>
    <x v="1"/>
    <x v="0"/>
    <x v="5"/>
    <x v="4"/>
    <x v="1"/>
    <n v="35"/>
    <x v="1"/>
    <x v="0"/>
  </r>
  <r>
    <n v="42848"/>
    <x v="16"/>
    <n v="0"/>
    <x v="12"/>
    <x v="12"/>
    <x v="2"/>
    <x v="5"/>
    <x v="4"/>
    <x v="1"/>
    <n v="35"/>
    <x v="15"/>
    <x v="0"/>
  </r>
  <r>
    <n v="42849"/>
    <x v="16"/>
    <n v="0"/>
    <x v="10"/>
    <x v="10"/>
    <x v="2"/>
    <x v="5"/>
    <x v="4"/>
    <x v="1"/>
    <n v="35"/>
    <x v="13"/>
    <x v="0"/>
  </r>
  <r>
    <n v="42850"/>
    <x v="16"/>
    <n v="0"/>
    <x v="2"/>
    <x v="2"/>
    <x v="1"/>
    <x v="5"/>
    <x v="4"/>
    <x v="1"/>
    <n v="35"/>
    <x v="2"/>
    <x v="0"/>
  </r>
  <r>
    <n v="42851"/>
    <x v="16"/>
    <n v="0"/>
    <x v="3"/>
    <x v="3"/>
    <x v="1"/>
    <x v="5"/>
    <x v="4"/>
    <x v="1"/>
    <n v="35"/>
    <x v="3"/>
    <x v="0"/>
  </r>
  <r>
    <n v="42852"/>
    <x v="16"/>
    <n v="0"/>
    <x v="4"/>
    <x v="4"/>
    <x v="1"/>
    <x v="5"/>
    <x v="4"/>
    <x v="1"/>
    <n v="35"/>
    <x v="4"/>
    <x v="0"/>
  </r>
  <r>
    <n v="42853"/>
    <x v="16"/>
    <n v="0"/>
    <x v="5"/>
    <x v="5"/>
    <x v="1"/>
    <x v="5"/>
    <x v="4"/>
    <x v="1"/>
    <n v="35"/>
    <x v="5"/>
    <x v="0"/>
  </r>
  <r>
    <n v="42854"/>
    <x v="16"/>
    <n v="0"/>
    <x v="6"/>
    <x v="6"/>
    <x v="1"/>
    <x v="5"/>
    <x v="4"/>
    <x v="1"/>
    <n v="35"/>
    <x v="6"/>
    <x v="0"/>
  </r>
  <r>
    <n v="42855"/>
    <x v="16"/>
    <n v="20000"/>
    <x v="0"/>
    <x v="0"/>
    <x v="3"/>
    <x v="5"/>
    <x v="4"/>
    <x v="1"/>
    <n v="35"/>
    <x v="12"/>
    <x v="0"/>
  </r>
  <r>
    <n v="42856"/>
    <x v="16"/>
    <n v="20000"/>
    <x v="1"/>
    <x v="1"/>
    <x v="3"/>
    <x v="5"/>
    <x v="4"/>
    <x v="1"/>
    <n v="35"/>
    <x v="16"/>
    <x v="0"/>
  </r>
  <r>
    <n v="42857"/>
    <x v="16"/>
    <n v="0"/>
    <x v="9"/>
    <x v="9"/>
    <x v="2"/>
    <x v="5"/>
    <x v="4"/>
    <x v="1"/>
    <n v="35"/>
    <x v="11"/>
    <x v="0"/>
  </r>
  <r>
    <n v="42858"/>
    <x v="16"/>
    <n v="0"/>
    <x v="7"/>
    <x v="7"/>
    <x v="2"/>
    <x v="5"/>
    <x v="4"/>
    <x v="1"/>
    <n v="35"/>
    <x v="10"/>
    <x v="0"/>
  </r>
  <r>
    <n v="42859"/>
    <x v="16"/>
    <n v="0"/>
    <x v="7"/>
    <x v="7"/>
    <x v="1"/>
    <x v="5"/>
    <x v="4"/>
    <x v="1"/>
    <n v="35"/>
    <x v="7"/>
    <x v="0"/>
  </r>
  <r>
    <n v="42860"/>
    <x v="16"/>
    <n v="0"/>
    <x v="8"/>
    <x v="8"/>
    <x v="2"/>
    <x v="5"/>
    <x v="4"/>
    <x v="1"/>
    <n v="35"/>
    <x v="9"/>
    <x v="0"/>
  </r>
  <r>
    <n v="42861"/>
    <x v="16"/>
    <n v="0"/>
    <x v="8"/>
    <x v="8"/>
    <x v="1"/>
    <x v="5"/>
    <x v="4"/>
    <x v="1"/>
    <n v="35"/>
    <x v="8"/>
    <x v="0"/>
  </r>
  <r>
    <n v="42862"/>
    <x v="16"/>
    <n v="0"/>
    <x v="11"/>
    <x v="11"/>
    <x v="2"/>
    <x v="5"/>
    <x v="4"/>
    <x v="1"/>
    <n v="35"/>
    <x v="14"/>
    <x v="0"/>
  </r>
  <r>
    <n v="42863"/>
    <x v="17"/>
    <n v="20000"/>
    <x v="0"/>
    <x v="0"/>
    <x v="0"/>
    <x v="5"/>
    <x v="4"/>
    <x v="1"/>
    <n v="39"/>
    <x v="0"/>
    <x v="0"/>
  </r>
  <r>
    <n v="42864"/>
    <x v="17"/>
    <n v="20000"/>
    <x v="1"/>
    <x v="1"/>
    <x v="0"/>
    <x v="5"/>
    <x v="4"/>
    <x v="1"/>
    <n v="39"/>
    <x v="1"/>
    <x v="0"/>
  </r>
  <r>
    <n v="42865"/>
    <x v="17"/>
    <n v="0"/>
    <x v="12"/>
    <x v="12"/>
    <x v="2"/>
    <x v="5"/>
    <x v="4"/>
    <x v="1"/>
    <n v="39"/>
    <x v="15"/>
    <x v="0"/>
  </r>
  <r>
    <n v="42866"/>
    <x v="17"/>
    <n v="0"/>
    <x v="10"/>
    <x v="10"/>
    <x v="2"/>
    <x v="5"/>
    <x v="4"/>
    <x v="1"/>
    <n v="39"/>
    <x v="13"/>
    <x v="0"/>
  </r>
  <r>
    <n v="42867"/>
    <x v="17"/>
    <n v="0"/>
    <x v="2"/>
    <x v="2"/>
    <x v="1"/>
    <x v="5"/>
    <x v="4"/>
    <x v="1"/>
    <n v="39"/>
    <x v="2"/>
    <x v="0"/>
  </r>
  <r>
    <n v="42868"/>
    <x v="17"/>
    <n v="0"/>
    <x v="3"/>
    <x v="3"/>
    <x v="1"/>
    <x v="5"/>
    <x v="4"/>
    <x v="1"/>
    <n v="39"/>
    <x v="3"/>
    <x v="0"/>
  </r>
  <r>
    <n v="42869"/>
    <x v="17"/>
    <n v="0"/>
    <x v="4"/>
    <x v="4"/>
    <x v="1"/>
    <x v="5"/>
    <x v="4"/>
    <x v="1"/>
    <n v="39"/>
    <x v="4"/>
    <x v="0"/>
  </r>
  <r>
    <n v="42870"/>
    <x v="17"/>
    <n v="0"/>
    <x v="5"/>
    <x v="5"/>
    <x v="1"/>
    <x v="5"/>
    <x v="4"/>
    <x v="1"/>
    <n v="39"/>
    <x v="5"/>
    <x v="0"/>
  </r>
  <r>
    <n v="42871"/>
    <x v="17"/>
    <n v="0"/>
    <x v="6"/>
    <x v="6"/>
    <x v="1"/>
    <x v="5"/>
    <x v="4"/>
    <x v="1"/>
    <n v="39"/>
    <x v="6"/>
    <x v="0"/>
  </r>
  <r>
    <n v="42872"/>
    <x v="17"/>
    <n v="20000"/>
    <x v="0"/>
    <x v="0"/>
    <x v="3"/>
    <x v="5"/>
    <x v="4"/>
    <x v="1"/>
    <n v="39"/>
    <x v="12"/>
    <x v="0"/>
  </r>
  <r>
    <n v="42873"/>
    <x v="17"/>
    <n v="20000"/>
    <x v="1"/>
    <x v="1"/>
    <x v="3"/>
    <x v="5"/>
    <x v="4"/>
    <x v="1"/>
    <n v="39"/>
    <x v="16"/>
    <x v="0"/>
  </r>
  <r>
    <n v="42874"/>
    <x v="17"/>
    <n v="0"/>
    <x v="9"/>
    <x v="9"/>
    <x v="2"/>
    <x v="5"/>
    <x v="4"/>
    <x v="1"/>
    <n v="39"/>
    <x v="11"/>
    <x v="0"/>
  </r>
  <r>
    <n v="42875"/>
    <x v="17"/>
    <n v="0"/>
    <x v="7"/>
    <x v="7"/>
    <x v="2"/>
    <x v="5"/>
    <x v="4"/>
    <x v="1"/>
    <n v="39"/>
    <x v="10"/>
    <x v="0"/>
  </r>
  <r>
    <n v="42876"/>
    <x v="17"/>
    <n v="0"/>
    <x v="7"/>
    <x v="7"/>
    <x v="1"/>
    <x v="5"/>
    <x v="4"/>
    <x v="1"/>
    <n v="39"/>
    <x v="7"/>
    <x v="0"/>
  </r>
  <r>
    <n v="42877"/>
    <x v="17"/>
    <n v="0"/>
    <x v="8"/>
    <x v="8"/>
    <x v="2"/>
    <x v="5"/>
    <x v="4"/>
    <x v="1"/>
    <n v="39"/>
    <x v="9"/>
    <x v="0"/>
  </r>
  <r>
    <n v="42878"/>
    <x v="17"/>
    <n v="0"/>
    <x v="8"/>
    <x v="8"/>
    <x v="1"/>
    <x v="5"/>
    <x v="4"/>
    <x v="1"/>
    <n v="39"/>
    <x v="8"/>
    <x v="0"/>
  </r>
  <r>
    <n v="42879"/>
    <x v="17"/>
    <n v="0"/>
    <x v="11"/>
    <x v="11"/>
    <x v="2"/>
    <x v="5"/>
    <x v="4"/>
    <x v="1"/>
    <n v="39"/>
    <x v="14"/>
    <x v="0"/>
  </r>
  <r>
    <n v="42880"/>
    <x v="18"/>
    <n v="20000"/>
    <x v="0"/>
    <x v="0"/>
    <x v="0"/>
    <x v="5"/>
    <x v="4"/>
    <x v="1"/>
    <n v="40"/>
    <x v="0"/>
    <x v="0"/>
  </r>
  <r>
    <n v="42881"/>
    <x v="18"/>
    <n v="20000"/>
    <x v="1"/>
    <x v="1"/>
    <x v="0"/>
    <x v="5"/>
    <x v="4"/>
    <x v="1"/>
    <n v="40"/>
    <x v="1"/>
    <x v="0"/>
  </r>
  <r>
    <n v="42882"/>
    <x v="18"/>
    <n v="0"/>
    <x v="12"/>
    <x v="12"/>
    <x v="2"/>
    <x v="5"/>
    <x v="4"/>
    <x v="1"/>
    <n v="40"/>
    <x v="15"/>
    <x v="0"/>
  </r>
  <r>
    <n v="42883"/>
    <x v="18"/>
    <n v="0"/>
    <x v="10"/>
    <x v="10"/>
    <x v="2"/>
    <x v="5"/>
    <x v="4"/>
    <x v="1"/>
    <n v="40"/>
    <x v="13"/>
    <x v="0"/>
  </r>
  <r>
    <n v="42884"/>
    <x v="18"/>
    <n v="0"/>
    <x v="2"/>
    <x v="2"/>
    <x v="1"/>
    <x v="5"/>
    <x v="4"/>
    <x v="1"/>
    <n v="40"/>
    <x v="2"/>
    <x v="0"/>
  </r>
  <r>
    <n v="42885"/>
    <x v="18"/>
    <n v="0"/>
    <x v="3"/>
    <x v="3"/>
    <x v="1"/>
    <x v="5"/>
    <x v="4"/>
    <x v="1"/>
    <n v="40"/>
    <x v="3"/>
    <x v="0"/>
  </r>
  <r>
    <n v="42886"/>
    <x v="18"/>
    <n v="0"/>
    <x v="4"/>
    <x v="4"/>
    <x v="1"/>
    <x v="5"/>
    <x v="4"/>
    <x v="1"/>
    <n v="40"/>
    <x v="4"/>
    <x v="0"/>
  </r>
  <r>
    <n v="42887"/>
    <x v="18"/>
    <n v="0"/>
    <x v="5"/>
    <x v="5"/>
    <x v="1"/>
    <x v="5"/>
    <x v="4"/>
    <x v="1"/>
    <n v="40"/>
    <x v="5"/>
    <x v="0"/>
  </r>
  <r>
    <n v="42888"/>
    <x v="18"/>
    <n v="0"/>
    <x v="6"/>
    <x v="6"/>
    <x v="1"/>
    <x v="5"/>
    <x v="4"/>
    <x v="1"/>
    <n v="40"/>
    <x v="6"/>
    <x v="0"/>
  </r>
  <r>
    <n v="42889"/>
    <x v="18"/>
    <n v="20000"/>
    <x v="0"/>
    <x v="0"/>
    <x v="3"/>
    <x v="5"/>
    <x v="4"/>
    <x v="1"/>
    <n v="40"/>
    <x v="12"/>
    <x v="0"/>
  </r>
  <r>
    <n v="42890"/>
    <x v="18"/>
    <n v="20000"/>
    <x v="1"/>
    <x v="1"/>
    <x v="3"/>
    <x v="5"/>
    <x v="4"/>
    <x v="1"/>
    <n v="40"/>
    <x v="16"/>
    <x v="0"/>
  </r>
  <r>
    <n v="42891"/>
    <x v="18"/>
    <n v="0"/>
    <x v="9"/>
    <x v="9"/>
    <x v="2"/>
    <x v="5"/>
    <x v="4"/>
    <x v="1"/>
    <n v="40"/>
    <x v="11"/>
    <x v="0"/>
  </r>
  <r>
    <n v="42892"/>
    <x v="18"/>
    <n v="0"/>
    <x v="7"/>
    <x v="7"/>
    <x v="2"/>
    <x v="5"/>
    <x v="4"/>
    <x v="1"/>
    <n v="40"/>
    <x v="10"/>
    <x v="0"/>
  </r>
  <r>
    <n v="42893"/>
    <x v="18"/>
    <n v="0"/>
    <x v="7"/>
    <x v="7"/>
    <x v="1"/>
    <x v="5"/>
    <x v="4"/>
    <x v="1"/>
    <n v="40"/>
    <x v="7"/>
    <x v="0"/>
  </r>
  <r>
    <n v="42894"/>
    <x v="18"/>
    <n v="0"/>
    <x v="8"/>
    <x v="8"/>
    <x v="2"/>
    <x v="5"/>
    <x v="4"/>
    <x v="1"/>
    <n v="40"/>
    <x v="9"/>
    <x v="0"/>
  </r>
  <r>
    <n v="42895"/>
    <x v="18"/>
    <n v="0"/>
    <x v="8"/>
    <x v="8"/>
    <x v="1"/>
    <x v="5"/>
    <x v="4"/>
    <x v="1"/>
    <n v="40"/>
    <x v="8"/>
    <x v="0"/>
  </r>
  <r>
    <n v="42896"/>
    <x v="18"/>
    <n v="0"/>
    <x v="11"/>
    <x v="11"/>
    <x v="2"/>
    <x v="5"/>
    <x v="4"/>
    <x v="1"/>
    <n v="40"/>
    <x v="14"/>
    <x v="0"/>
  </r>
  <r>
    <n v="42897"/>
    <x v="19"/>
    <n v="20000"/>
    <x v="0"/>
    <x v="0"/>
    <x v="0"/>
    <x v="5"/>
    <x v="4"/>
    <x v="1"/>
    <n v="41"/>
    <x v="0"/>
    <x v="0"/>
  </r>
  <r>
    <n v="42898"/>
    <x v="19"/>
    <n v="20000"/>
    <x v="1"/>
    <x v="1"/>
    <x v="0"/>
    <x v="5"/>
    <x v="4"/>
    <x v="1"/>
    <n v="41"/>
    <x v="1"/>
    <x v="0"/>
  </r>
  <r>
    <n v="42899"/>
    <x v="19"/>
    <n v="0"/>
    <x v="12"/>
    <x v="12"/>
    <x v="2"/>
    <x v="5"/>
    <x v="4"/>
    <x v="1"/>
    <n v="41"/>
    <x v="15"/>
    <x v="0"/>
  </r>
  <r>
    <n v="42900"/>
    <x v="19"/>
    <n v="0"/>
    <x v="10"/>
    <x v="10"/>
    <x v="2"/>
    <x v="5"/>
    <x v="4"/>
    <x v="1"/>
    <n v="41"/>
    <x v="13"/>
    <x v="0"/>
  </r>
  <r>
    <n v="42901"/>
    <x v="19"/>
    <n v="0"/>
    <x v="2"/>
    <x v="2"/>
    <x v="1"/>
    <x v="5"/>
    <x v="4"/>
    <x v="1"/>
    <n v="41"/>
    <x v="2"/>
    <x v="0"/>
  </r>
  <r>
    <n v="42902"/>
    <x v="19"/>
    <n v="0"/>
    <x v="3"/>
    <x v="3"/>
    <x v="1"/>
    <x v="5"/>
    <x v="4"/>
    <x v="1"/>
    <n v="41"/>
    <x v="3"/>
    <x v="0"/>
  </r>
  <r>
    <n v="42903"/>
    <x v="19"/>
    <n v="0"/>
    <x v="4"/>
    <x v="4"/>
    <x v="1"/>
    <x v="5"/>
    <x v="4"/>
    <x v="1"/>
    <n v="41"/>
    <x v="4"/>
    <x v="0"/>
  </r>
  <r>
    <n v="42904"/>
    <x v="19"/>
    <n v="0"/>
    <x v="5"/>
    <x v="5"/>
    <x v="1"/>
    <x v="5"/>
    <x v="4"/>
    <x v="1"/>
    <n v="41"/>
    <x v="5"/>
    <x v="0"/>
  </r>
  <r>
    <n v="42905"/>
    <x v="19"/>
    <n v="0"/>
    <x v="6"/>
    <x v="6"/>
    <x v="1"/>
    <x v="5"/>
    <x v="4"/>
    <x v="1"/>
    <n v="41"/>
    <x v="6"/>
    <x v="0"/>
  </r>
  <r>
    <n v="42906"/>
    <x v="19"/>
    <n v="20000"/>
    <x v="0"/>
    <x v="0"/>
    <x v="3"/>
    <x v="5"/>
    <x v="4"/>
    <x v="1"/>
    <n v="41"/>
    <x v="12"/>
    <x v="0"/>
  </r>
  <r>
    <n v="42907"/>
    <x v="19"/>
    <n v="20000"/>
    <x v="1"/>
    <x v="1"/>
    <x v="3"/>
    <x v="5"/>
    <x v="4"/>
    <x v="1"/>
    <n v="41"/>
    <x v="16"/>
    <x v="0"/>
  </r>
  <r>
    <n v="42908"/>
    <x v="19"/>
    <n v="0"/>
    <x v="9"/>
    <x v="9"/>
    <x v="2"/>
    <x v="5"/>
    <x v="4"/>
    <x v="1"/>
    <n v="41"/>
    <x v="11"/>
    <x v="0"/>
  </r>
  <r>
    <n v="42909"/>
    <x v="19"/>
    <n v="0"/>
    <x v="7"/>
    <x v="7"/>
    <x v="2"/>
    <x v="5"/>
    <x v="4"/>
    <x v="1"/>
    <n v="41"/>
    <x v="10"/>
    <x v="0"/>
  </r>
  <r>
    <n v="42910"/>
    <x v="19"/>
    <n v="0"/>
    <x v="7"/>
    <x v="7"/>
    <x v="1"/>
    <x v="5"/>
    <x v="4"/>
    <x v="1"/>
    <n v="41"/>
    <x v="7"/>
    <x v="0"/>
  </r>
  <r>
    <n v="42911"/>
    <x v="19"/>
    <n v="0"/>
    <x v="8"/>
    <x v="8"/>
    <x v="2"/>
    <x v="5"/>
    <x v="4"/>
    <x v="1"/>
    <n v="41"/>
    <x v="9"/>
    <x v="0"/>
  </r>
  <r>
    <n v="42912"/>
    <x v="19"/>
    <n v="0"/>
    <x v="8"/>
    <x v="8"/>
    <x v="1"/>
    <x v="5"/>
    <x v="4"/>
    <x v="1"/>
    <n v="41"/>
    <x v="8"/>
    <x v="0"/>
  </r>
  <r>
    <n v="42913"/>
    <x v="19"/>
    <n v="0"/>
    <x v="11"/>
    <x v="11"/>
    <x v="2"/>
    <x v="5"/>
    <x v="4"/>
    <x v="1"/>
    <n v="41"/>
    <x v="14"/>
    <x v="0"/>
  </r>
  <r>
    <n v="42914"/>
    <x v="20"/>
    <n v="20000"/>
    <x v="0"/>
    <x v="0"/>
    <x v="0"/>
    <x v="5"/>
    <x v="4"/>
    <x v="1"/>
    <n v="42"/>
    <x v="0"/>
    <x v="0"/>
  </r>
  <r>
    <n v="42915"/>
    <x v="20"/>
    <n v="20000"/>
    <x v="1"/>
    <x v="1"/>
    <x v="0"/>
    <x v="5"/>
    <x v="4"/>
    <x v="1"/>
    <n v="42"/>
    <x v="1"/>
    <x v="0"/>
  </r>
  <r>
    <n v="42916"/>
    <x v="20"/>
    <n v="0"/>
    <x v="12"/>
    <x v="12"/>
    <x v="2"/>
    <x v="5"/>
    <x v="4"/>
    <x v="1"/>
    <n v="42"/>
    <x v="15"/>
    <x v="0"/>
  </r>
  <r>
    <n v="42917"/>
    <x v="20"/>
    <n v="0"/>
    <x v="10"/>
    <x v="10"/>
    <x v="2"/>
    <x v="5"/>
    <x v="4"/>
    <x v="1"/>
    <n v="42"/>
    <x v="13"/>
    <x v="0"/>
  </r>
  <r>
    <n v="42918"/>
    <x v="20"/>
    <n v="0"/>
    <x v="2"/>
    <x v="2"/>
    <x v="1"/>
    <x v="5"/>
    <x v="4"/>
    <x v="1"/>
    <n v="42"/>
    <x v="2"/>
    <x v="0"/>
  </r>
  <r>
    <n v="42919"/>
    <x v="20"/>
    <n v="0"/>
    <x v="3"/>
    <x v="3"/>
    <x v="1"/>
    <x v="5"/>
    <x v="4"/>
    <x v="1"/>
    <n v="42"/>
    <x v="3"/>
    <x v="0"/>
  </r>
  <r>
    <n v="42920"/>
    <x v="20"/>
    <n v="0"/>
    <x v="4"/>
    <x v="4"/>
    <x v="1"/>
    <x v="5"/>
    <x v="4"/>
    <x v="1"/>
    <n v="42"/>
    <x v="4"/>
    <x v="0"/>
  </r>
  <r>
    <n v="42921"/>
    <x v="20"/>
    <n v="0"/>
    <x v="5"/>
    <x v="5"/>
    <x v="1"/>
    <x v="5"/>
    <x v="4"/>
    <x v="1"/>
    <n v="42"/>
    <x v="5"/>
    <x v="0"/>
  </r>
  <r>
    <n v="42922"/>
    <x v="20"/>
    <n v="0"/>
    <x v="6"/>
    <x v="6"/>
    <x v="1"/>
    <x v="5"/>
    <x v="4"/>
    <x v="1"/>
    <n v="42"/>
    <x v="6"/>
    <x v="0"/>
  </r>
  <r>
    <n v="42923"/>
    <x v="20"/>
    <n v="20000"/>
    <x v="0"/>
    <x v="0"/>
    <x v="3"/>
    <x v="5"/>
    <x v="4"/>
    <x v="1"/>
    <n v="42"/>
    <x v="12"/>
    <x v="0"/>
  </r>
  <r>
    <n v="42924"/>
    <x v="20"/>
    <n v="20000"/>
    <x v="1"/>
    <x v="1"/>
    <x v="3"/>
    <x v="5"/>
    <x v="4"/>
    <x v="1"/>
    <n v="42"/>
    <x v="16"/>
    <x v="0"/>
  </r>
  <r>
    <n v="42925"/>
    <x v="20"/>
    <n v="0"/>
    <x v="9"/>
    <x v="9"/>
    <x v="2"/>
    <x v="5"/>
    <x v="4"/>
    <x v="1"/>
    <n v="42"/>
    <x v="11"/>
    <x v="0"/>
  </r>
  <r>
    <n v="42926"/>
    <x v="20"/>
    <n v="0"/>
    <x v="7"/>
    <x v="7"/>
    <x v="2"/>
    <x v="5"/>
    <x v="4"/>
    <x v="1"/>
    <n v="42"/>
    <x v="10"/>
    <x v="0"/>
  </r>
  <r>
    <n v="42927"/>
    <x v="20"/>
    <n v="0"/>
    <x v="7"/>
    <x v="7"/>
    <x v="1"/>
    <x v="5"/>
    <x v="4"/>
    <x v="1"/>
    <n v="42"/>
    <x v="7"/>
    <x v="0"/>
  </r>
  <r>
    <n v="42928"/>
    <x v="20"/>
    <n v="0"/>
    <x v="8"/>
    <x v="8"/>
    <x v="2"/>
    <x v="5"/>
    <x v="4"/>
    <x v="1"/>
    <n v="42"/>
    <x v="9"/>
    <x v="0"/>
  </r>
  <r>
    <n v="42929"/>
    <x v="20"/>
    <n v="0"/>
    <x v="8"/>
    <x v="8"/>
    <x v="1"/>
    <x v="5"/>
    <x v="4"/>
    <x v="1"/>
    <n v="42"/>
    <x v="8"/>
    <x v="0"/>
  </r>
  <r>
    <n v="42930"/>
    <x v="20"/>
    <n v="0"/>
    <x v="11"/>
    <x v="11"/>
    <x v="2"/>
    <x v="5"/>
    <x v="4"/>
    <x v="1"/>
    <n v="42"/>
    <x v="14"/>
    <x v="0"/>
  </r>
  <r>
    <n v="42931"/>
    <x v="21"/>
    <n v="20000"/>
    <x v="0"/>
    <x v="0"/>
    <x v="0"/>
    <x v="6"/>
    <x v="4"/>
    <x v="1"/>
    <n v="43"/>
    <x v="0"/>
    <x v="0"/>
  </r>
  <r>
    <n v="42932"/>
    <x v="21"/>
    <n v="20000"/>
    <x v="1"/>
    <x v="1"/>
    <x v="0"/>
    <x v="6"/>
    <x v="4"/>
    <x v="1"/>
    <n v="43"/>
    <x v="1"/>
    <x v="0"/>
  </r>
  <r>
    <n v="42933"/>
    <x v="21"/>
    <n v="0"/>
    <x v="12"/>
    <x v="12"/>
    <x v="2"/>
    <x v="6"/>
    <x v="4"/>
    <x v="1"/>
    <n v="43"/>
    <x v="15"/>
    <x v="0"/>
  </r>
  <r>
    <n v="42934"/>
    <x v="21"/>
    <n v="0"/>
    <x v="10"/>
    <x v="10"/>
    <x v="2"/>
    <x v="6"/>
    <x v="4"/>
    <x v="1"/>
    <n v="43"/>
    <x v="13"/>
    <x v="0"/>
  </r>
  <r>
    <n v="42935"/>
    <x v="21"/>
    <n v="0"/>
    <x v="2"/>
    <x v="2"/>
    <x v="1"/>
    <x v="6"/>
    <x v="4"/>
    <x v="1"/>
    <n v="43"/>
    <x v="2"/>
    <x v="0"/>
  </r>
  <r>
    <n v="42936"/>
    <x v="21"/>
    <n v="0"/>
    <x v="3"/>
    <x v="3"/>
    <x v="1"/>
    <x v="6"/>
    <x v="4"/>
    <x v="1"/>
    <n v="43"/>
    <x v="3"/>
    <x v="0"/>
  </r>
  <r>
    <n v="42937"/>
    <x v="21"/>
    <n v="0"/>
    <x v="4"/>
    <x v="4"/>
    <x v="1"/>
    <x v="6"/>
    <x v="4"/>
    <x v="1"/>
    <n v="43"/>
    <x v="4"/>
    <x v="0"/>
  </r>
  <r>
    <n v="42938"/>
    <x v="21"/>
    <n v="0"/>
    <x v="5"/>
    <x v="5"/>
    <x v="1"/>
    <x v="6"/>
    <x v="4"/>
    <x v="1"/>
    <n v="43"/>
    <x v="5"/>
    <x v="0"/>
  </r>
  <r>
    <n v="42939"/>
    <x v="21"/>
    <n v="0"/>
    <x v="6"/>
    <x v="6"/>
    <x v="1"/>
    <x v="6"/>
    <x v="4"/>
    <x v="1"/>
    <n v="43"/>
    <x v="6"/>
    <x v="0"/>
  </r>
  <r>
    <n v="42940"/>
    <x v="21"/>
    <n v="20000"/>
    <x v="0"/>
    <x v="0"/>
    <x v="3"/>
    <x v="6"/>
    <x v="4"/>
    <x v="1"/>
    <n v="43"/>
    <x v="12"/>
    <x v="0"/>
  </r>
  <r>
    <n v="42941"/>
    <x v="21"/>
    <n v="20000"/>
    <x v="1"/>
    <x v="1"/>
    <x v="3"/>
    <x v="6"/>
    <x v="4"/>
    <x v="1"/>
    <n v="43"/>
    <x v="16"/>
    <x v="0"/>
  </r>
  <r>
    <n v="42942"/>
    <x v="21"/>
    <n v="0"/>
    <x v="9"/>
    <x v="9"/>
    <x v="2"/>
    <x v="6"/>
    <x v="4"/>
    <x v="1"/>
    <n v="43"/>
    <x v="11"/>
    <x v="0"/>
  </r>
  <r>
    <n v="42943"/>
    <x v="21"/>
    <n v="0"/>
    <x v="7"/>
    <x v="7"/>
    <x v="2"/>
    <x v="6"/>
    <x v="4"/>
    <x v="1"/>
    <n v="43"/>
    <x v="10"/>
    <x v="0"/>
  </r>
  <r>
    <n v="42944"/>
    <x v="21"/>
    <n v="0"/>
    <x v="7"/>
    <x v="7"/>
    <x v="1"/>
    <x v="6"/>
    <x v="4"/>
    <x v="1"/>
    <n v="43"/>
    <x v="7"/>
    <x v="0"/>
  </r>
  <r>
    <n v="42945"/>
    <x v="21"/>
    <n v="0"/>
    <x v="8"/>
    <x v="8"/>
    <x v="2"/>
    <x v="6"/>
    <x v="4"/>
    <x v="1"/>
    <n v="43"/>
    <x v="9"/>
    <x v="0"/>
  </r>
  <r>
    <n v="42946"/>
    <x v="21"/>
    <n v="0"/>
    <x v="8"/>
    <x v="8"/>
    <x v="1"/>
    <x v="6"/>
    <x v="4"/>
    <x v="1"/>
    <n v="43"/>
    <x v="8"/>
    <x v="0"/>
  </r>
  <r>
    <n v="42947"/>
    <x v="21"/>
    <n v="0"/>
    <x v="11"/>
    <x v="11"/>
    <x v="2"/>
    <x v="6"/>
    <x v="4"/>
    <x v="1"/>
    <n v="43"/>
    <x v="14"/>
    <x v="0"/>
  </r>
  <r>
    <n v="42948"/>
    <x v="22"/>
    <n v="20000"/>
    <x v="0"/>
    <x v="0"/>
    <x v="0"/>
    <x v="6"/>
    <x v="4"/>
    <x v="1"/>
    <n v="44"/>
    <x v="0"/>
    <x v="0"/>
  </r>
  <r>
    <n v="42949"/>
    <x v="22"/>
    <n v="20000"/>
    <x v="1"/>
    <x v="1"/>
    <x v="0"/>
    <x v="6"/>
    <x v="4"/>
    <x v="1"/>
    <n v="44"/>
    <x v="1"/>
    <x v="0"/>
  </r>
  <r>
    <n v="42950"/>
    <x v="22"/>
    <n v="0"/>
    <x v="12"/>
    <x v="12"/>
    <x v="2"/>
    <x v="6"/>
    <x v="4"/>
    <x v="1"/>
    <n v="44"/>
    <x v="15"/>
    <x v="0"/>
  </r>
  <r>
    <n v="42951"/>
    <x v="22"/>
    <n v="0"/>
    <x v="10"/>
    <x v="10"/>
    <x v="2"/>
    <x v="6"/>
    <x v="4"/>
    <x v="1"/>
    <n v="44"/>
    <x v="13"/>
    <x v="0"/>
  </r>
  <r>
    <n v="42952"/>
    <x v="22"/>
    <n v="0"/>
    <x v="2"/>
    <x v="2"/>
    <x v="1"/>
    <x v="6"/>
    <x v="4"/>
    <x v="1"/>
    <n v="44"/>
    <x v="2"/>
    <x v="0"/>
  </r>
  <r>
    <n v="42953"/>
    <x v="22"/>
    <n v="0"/>
    <x v="3"/>
    <x v="3"/>
    <x v="1"/>
    <x v="6"/>
    <x v="4"/>
    <x v="1"/>
    <n v="44"/>
    <x v="3"/>
    <x v="0"/>
  </r>
  <r>
    <n v="42954"/>
    <x v="22"/>
    <n v="0"/>
    <x v="4"/>
    <x v="4"/>
    <x v="1"/>
    <x v="6"/>
    <x v="4"/>
    <x v="1"/>
    <n v="44"/>
    <x v="4"/>
    <x v="0"/>
  </r>
  <r>
    <n v="42955"/>
    <x v="22"/>
    <n v="0"/>
    <x v="5"/>
    <x v="5"/>
    <x v="1"/>
    <x v="6"/>
    <x v="4"/>
    <x v="1"/>
    <n v="44"/>
    <x v="5"/>
    <x v="0"/>
  </r>
  <r>
    <n v="42956"/>
    <x v="22"/>
    <n v="0"/>
    <x v="6"/>
    <x v="6"/>
    <x v="1"/>
    <x v="6"/>
    <x v="4"/>
    <x v="1"/>
    <n v="44"/>
    <x v="6"/>
    <x v="0"/>
  </r>
  <r>
    <n v="42957"/>
    <x v="22"/>
    <n v="20000"/>
    <x v="0"/>
    <x v="0"/>
    <x v="3"/>
    <x v="6"/>
    <x v="4"/>
    <x v="1"/>
    <n v="44"/>
    <x v="12"/>
    <x v="0"/>
  </r>
  <r>
    <n v="42958"/>
    <x v="22"/>
    <n v="20000"/>
    <x v="1"/>
    <x v="1"/>
    <x v="3"/>
    <x v="6"/>
    <x v="4"/>
    <x v="1"/>
    <n v="44"/>
    <x v="16"/>
    <x v="0"/>
  </r>
  <r>
    <n v="42959"/>
    <x v="22"/>
    <n v="0"/>
    <x v="9"/>
    <x v="9"/>
    <x v="2"/>
    <x v="6"/>
    <x v="4"/>
    <x v="1"/>
    <n v="44"/>
    <x v="11"/>
    <x v="0"/>
  </r>
  <r>
    <n v="42960"/>
    <x v="22"/>
    <n v="0"/>
    <x v="7"/>
    <x v="7"/>
    <x v="2"/>
    <x v="6"/>
    <x v="4"/>
    <x v="1"/>
    <n v="44"/>
    <x v="10"/>
    <x v="0"/>
  </r>
  <r>
    <n v="42961"/>
    <x v="22"/>
    <n v="0"/>
    <x v="7"/>
    <x v="7"/>
    <x v="1"/>
    <x v="6"/>
    <x v="4"/>
    <x v="1"/>
    <n v="44"/>
    <x v="7"/>
    <x v="0"/>
  </r>
  <r>
    <n v="42962"/>
    <x v="22"/>
    <n v="0"/>
    <x v="8"/>
    <x v="8"/>
    <x v="2"/>
    <x v="6"/>
    <x v="4"/>
    <x v="1"/>
    <n v="44"/>
    <x v="9"/>
    <x v="0"/>
  </r>
  <r>
    <n v="42963"/>
    <x v="22"/>
    <n v="0"/>
    <x v="8"/>
    <x v="8"/>
    <x v="1"/>
    <x v="6"/>
    <x v="4"/>
    <x v="1"/>
    <n v="44"/>
    <x v="8"/>
    <x v="0"/>
  </r>
  <r>
    <n v="42964"/>
    <x v="22"/>
    <n v="0"/>
    <x v="11"/>
    <x v="11"/>
    <x v="2"/>
    <x v="6"/>
    <x v="4"/>
    <x v="1"/>
    <n v="44"/>
    <x v="14"/>
    <x v="0"/>
  </r>
  <r>
    <n v="42965"/>
    <x v="23"/>
    <n v="20000"/>
    <x v="0"/>
    <x v="0"/>
    <x v="0"/>
    <x v="7"/>
    <x v="4"/>
    <x v="1"/>
    <n v="45"/>
    <x v="0"/>
    <x v="0"/>
  </r>
  <r>
    <n v="42966"/>
    <x v="23"/>
    <n v="20000"/>
    <x v="1"/>
    <x v="1"/>
    <x v="0"/>
    <x v="7"/>
    <x v="4"/>
    <x v="1"/>
    <n v="45"/>
    <x v="1"/>
    <x v="0"/>
  </r>
  <r>
    <n v="42967"/>
    <x v="23"/>
    <n v="0"/>
    <x v="12"/>
    <x v="12"/>
    <x v="2"/>
    <x v="7"/>
    <x v="4"/>
    <x v="1"/>
    <n v="45"/>
    <x v="15"/>
    <x v="0"/>
  </r>
  <r>
    <n v="42968"/>
    <x v="23"/>
    <n v="0"/>
    <x v="10"/>
    <x v="10"/>
    <x v="2"/>
    <x v="7"/>
    <x v="4"/>
    <x v="1"/>
    <n v="45"/>
    <x v="13"/>
    <x v="0"/>
  </r>
  <r>
    <n v="42969"/>
    <x v="23"/>
    <n v="0"/>
    <x v="2"/>
    <x v="2"/>
    <x v="1"/>
    <x v="7"/>
    <x v="4"/>
    <x v="1"/>
    <n v="45"/>
    <x v="2"/>
    <x v="0"/>
  </r>
  <r>
    <n v="42970"/>
    <x v="23"/>
    <n v="0"/>
    <x v="3"/>
    <x v="3"/>
    <x v="1"/>
    <x v="7"/>
    <x v="4"/>
    <x v="1"/>
    <n v="45"/>
    <x v="3"/>
    <x v="0"/>
  </r>
  <r>
    <n v="42971"/>
    <x v="23"/>
    <n v="0"/>
    <x v="4"/>
    <x v="4"/>
    <x v="1"/>
    <x v="7"/>
    <x v="4"/>
    <x v="1"/>
    <n v="45"/>
    <x v="4"/>
    <x v="0"/>
  </r>
  <r>
    <n v="42972"/>
    <x v="23"/>
    <n v="0"/>
    <x v="5"/>
    <x v="5"/>
    <x v="1"/>
    <x v="7"/>
    <x v="4"/>
    <x v="1"/>
    <n v="45"/>
    <x v="5"/>
    <x v="0"/>
  </r>
  <r>
    <n v="42973"/>
    <x v="23"/>
    <n v="0"/>
    <x v="6"/>
    <x v="6"/>
    <x v="1"/>
    <x v="7"/>
    <x v="4"/>
    <x v="1"/>
    <n v="45"/>
    <x v="6"/>
    <x v="0"/>
  </r>
  <r>
    <n v="42974"/>
    <x v="23"/>
    <n v="20000"/>
    <x v="0"/>
    <x v="0"/>
    <x v="3"/>
    <x v="7"/>
    <x v="4"/>
    <x v="1"/>
    <n v="45"/>
    <x v="12"/>
    <x v="0"/>
  </r>
  <r>
    <n v="42975"/>
    <x v="23"/>
    <n v="20000"/>
    <x v="1"/>
    <x v="1"/>
    <x v="3"/>
    <x v="7"/>
    <x v="4"/>
    <x v="1"/>
    <n v="45"/>
    <x v="16"/>
    <x v="0"/>
  </r>
  <r>
    <n v="42976"/>
    <x v="23"/>
    <n v="0"/>
    <x v="9"/>
    <x v="9"/>
    <x v="2"/>
    <x v="7"/>
    <x v="4"/>
    <x v="1"/>
    <n v="45"/>
    <x v="11"/>
    <x v="0"/>
  </r>
  <r>
    <n v="42977"/>
    <x v="23"/>
    <n v="0"/>
    <x v="7"/>
    <x v="7"/>
    <x v="2"/>
    <x v="7"/>
    <x v="4"/>
    <x v="1"/>
    <n v="45"/>
    <x v="10"/>
    <x v="0"/>
  </r>
  <r>
    <n v="42978"/>
    <x v="23"/>
    <n v="0"/>
    <x v="7"/>
    <x v="7"/>
    <x v="1"/>
    <x v="7"/>
    <x v="4"/>
    <x v="1"/>
    <n v="45"/>
    <x v="7"/>
    <x v="0"/>
  </r>
  <r>
    <n v="42979"/>
    <x v="23"/>
    <n v="0"/>
    <x v="8"/>
    <x v="8"/>
    <x v="2"/>
    <x v="7"/>
    <x v="4"/>
    <x v="1"/>
    <n v="45"/>
    <x v="9"/>
    <x v="0"/>
  </r>
  <r>
    <n v="42980"/>
    <x v="23"/>
    <n v="0"/>
    <x v="8"/>
    <x v="8"/>
    <x v="1"/>
    <x v="7"/>
    <x v="4"/>
    <x v="1"/>
    <n v="45"/>
    <x v="8"/>
    <x v="0"/>
  </r>
  <r>
    <n v="42981"/>
    <x v="23"/>
    <n v="0"/>
    <x v="11"/>
    <x v="11"/>
    <x v="2"/>
    <x v="7"/>
    <x v="4"/>
    <x v="1"/>
    <n v="45"/>
    <x v="14"/>
    <x v="0"/>
  </r>
  <r>
    <n v="42982"/>
    <x v="24"/>
    <n v="20000"/>
    <x v="0"/>
    <x v="0"/>
    <x v="0"/>
    <x v="7"/>
    <x v="4"/>
    <x v="1"/>
    <n v="46"/>
    <x v="0"/>
    <x v="0"/>
  </r>
  <r>
    <n v="42983"/>
    <x v="24"/>
    <n v="20000"/>
    <x v="1"/>
    <x v="1"/>
    <x v="0"/>
    <x v="7"/>
    <x v="4"/>
    <x v="1"/>
    <n v="46"/>
    <x v="1"/>
    <x v="0"/>
  </r>
  <r>
    <n v="42984"/>
    <x v="24"/>
    <n v="0"/>
    <x v="12"/>
    <x v="12"/>
    <x v="2"/>
    <x v="7"/>
    <x v="4"/>
    <x v="1"/>
    <n v="46"/>
    <x v="15"/>
    <x v="0"/>
  </r>
  <r>
    <n v="42985"/>
    <x v="24"/>
    <n v="0"/>
    <x v="10"/>
    <x v="10"/>
    <x v="2"/>
    <x v="7"/>
    <x v="4"/>
    <x v="1"/>
    <n v="46"/>
    <x v="13"/>
    <x v="0"/>
  </r>
  <r>
    <n v="42986"/>
    <x v="24"/>
    <n v="0"/>
    <x v="2"/>
    <x v="2"/>
    <x v="1"/>
    <x v="7"/>
    <x v="4"/>
    <x v="1"/>
    <n v="46"/>
    <x v="2"/>
    <x v="0"/>
  </r>
  <r>
    <n v="42987"/>
    <x v="24"/>
    <n v="0"/>
    <x v="3"/>
    <x v="3"/>
    <x v="1"/>
    <x v="7"/>
    <x v="4"/>
    <x v="1"/>
    <n v="46"/>
    <x v="3"/>
    <x v="0"/>
  </r>
  <r>
    <n v="42988"/>
    <x v="24"/>
    <n v="0"/>
    <x v="4"/>
    <x v="4"/>
    <x v="1"/>
    <x v="7"/>
    <x v="4"/>
    <x v="1"/>
    <n v="46"/>
    <x v="4"/>
    <x v="0"/>
  </r>
  <r>
    <n v="42989"/>
    <x v="24"/>
    <n v="0"/>
    <x v="5"/>
    <x v="5"/>
    <x v="1"/>
    <x v="7"/>
    <x v="4"/>
    <x v="1"/>
    <n v="46"/>
    <x v="5"/>
    <x v="0"/>
  </r>
  <r>
    <n v="42990"/>
    <x v="24"/>
    <n v="0"/>
    <x v="6"/>
    <x v="6"/>
    <x v="1"/>
    <x v="7"/>
    <x v="4"/>
    <x v="1"/>
    <n v="46"/>
    <x v="6"/>
    <x v="0"/>
  </r>
  <r>
    <n v="42991"/>
    <x v="24"/>
    <n v="20000"/>
    <x v="0"/>
    <x v="0"/>
    <x v="3"/>
    <x v="7"/>
    <x v="4"/>
    <x v="1"/>
    <n v="46"/>
    <x v="12"/>
    <x v="0"/>
  </r>
  <r>
    <n v="42992"/>
    <x v="24"/>
    <n v="20000"/>
    <x v="1"/>
    <x v="1"/>
    <x v="3"/>
    <x v="7"/>
    <x v="4"/>
    <x v="1"/>
    <n v="46"/>
    <x v="16"/>
    <x v="0"/>
  </r>
  <r>
    <n v="42993"/>
    <x v="24"/>
    <n v="0"/>
    <x v="9"/>
    <x v="9"/>
    <x v="2"/>
    <x v="7"/>
    <x v="4"/>
    <x v="1"/>
    <n v="46"/>
    <x v="11"/>
    <x v="0"/>
  </r>
  <r>
    <n v="42994"/>
    <x v="24"/>
    <n v="0"/>
    <x v="7"/>
    <x v="7"/>
    <x v="2"/>
    <x v="7"/>
    <x v="4"/>
    <x v="1"/>
    <n v="46"/>
    <x v="10"/>
    <x v="0"/>
  </r>
  <r>
    <n v="42995"/>
    <x v="24"/>
    <n v="0"/>
    <x v="7"/>
    <x v="7"/>
    <x v="1"/>
    <x v="7"/>
    <x v="4"/>
    <x v="1"/>
    <n v="46"/>
    <x v="7"/>
    <x v="0"/>
  </r>
  <r>
    <n v="42996"/>
    <x v="24"/>
    <n v="0"/>
    <x v="8"/>
    <x v="8"/>
    <x v="2"/>
    <x v="7"/>
    <x v="4"/>
    <x v="1"/>
    <n v="46"/>
    <x v="9"/>
    <x v="0"/>
  </r>
  <r>
    <n v="42997"/>
    <x v="24"/>
    <n v="0"/>
    <x v="8"/>
    <x v="8"/>
    <x v="1"/>
    <x v="7"/>
    <x v="4"/>
    <x v="1"/>
    <n v="46"/>
    <x v="8"/>
    <x v="0"/>
  </r>
  <r>
    <n v="42998"/>
    <x v="24"/>
    <n v="0"/>
    <x v="11"/>
    <x v="11"/>
    <x v="2"/>
    <x v="7"/>
    <x v="4"/>
    <x v="1"/>
    <n v="46"/>
    <x v="14"/>
    <x v="0"/>
  </r>
  <r>
    <n v="42999"/>
    <x v="25"/>
    <n v="20000"/>
    <x v="0"/>
    <x v="0"/>
    <x v="0"/>
    <x v="7"/>
    <x v="4"/>
    <x v="1"/>
    <n v="47"/>
    <x v="0"/>
    <x v="0"/>
  </r>
  <r>
    <n v="43000"/>
    <x v="25"/>
    <n v="20000"/>
    <x v="1"/>
    <x v="1"/>
    <x v="0"/>
    <x v="7"/>
    <x v="4"/>
    <x v="1"/>
    <n v="47"/>
    <x v="1"/>
    <x v="0"/>
  </r>
  <r>
    <n v="43001"/>
    <x v="25"/>
    <n v="0"/>
    <x v="12"/>
    <x v="12"/>
    <x v="2"/>
    <x v="7"/>
    <x v="4"/>
    <x v="1"/>
    <n v="47"/>
    <x v="15"/>
    <x v="0"/>
  </r>
  <r>
    <n v="43002"/>
    <x v="25"/>
    <n v="0"/>
    <x v="10"/>
    <x v="10"/>
    <x v="2"/>
    <x v="7"/>
    <x v="4"/>
    <x v="1"/>
    <n v="47"/>
    <x v="13"/>
    <x v="0"/>
  </r>
  <r>
    <n v="43003"/>
    <x v="25"/>
    <n v="0"/>
    <x v="2"/>
    <x v="2"/>
    <x v="1"/>
    <x v="7"/>
    <x v="4"/>
    <x v="1"/>
    <n v="47"/>
    <x v="2"/>
    <x v="0"/>
  </r>
  <r>
    <n v="43004"/>
    <x v="25"/>
    <n v="0"/>
    <x v="3"/>
    <x v="3"/>
    <x v="1"/>
    <x v="7"/>
    <x v="4"/>
    <x v="1"/>
    <n v="47"/>
    <x v="3"/>
    <x v="0"/>
  </r>
  <r>
    <n v="43005"/>
    <x v="25"/>
    <n v="0"/>
    <x v="4"/>
    <x v="4"/>
    <x v="1"/>
    <x v="7"/>
    <x v="4"/>
    <x v="1"/>
    <n v="47"/>
    <x v="4"/>
    <x v="0"/>
  </r>
  <r>
    <n v="43006"/>
    <x v="25"/>
    <n v="0"/>
    <x v="5"/>
    <x v="5"/>
    <x v="1"/>
    <x v="7"/>
    <x v="4"/>
    <x v="1"/>
    <n v="47"/>
    <x v="5"/>
    <x v="0"/>
  </r>
  <r>
    <n v="43007"/>
    <x v="25"/>
    <n v="0"/>
    <x v="6"/>
    <x v="6"/>
    <x v="1"/>
    <x v="7"/>
    <x v="4"/>
    <x v="1"/>
    <n v="47"/>
    <x v="6"/>
    <x v="0"/>
  </r>
  <r>
    <n v="43008"/>
    <x v="25"/>
    <n v="20000"/>
    <x v="0"/>
    <x v="0"/>
    <x v="3"/>
    <x v="7"/>
    <x v="4"/>
    <x v="1"/>
    <n v="47"/>
    <x v="12"/>
    <x v="0"/>
  </r>
  <r>
    <n v="43009"/>
    <x v="25"/>
    <n v="20000"/>
    <x v="1"/>
    <x v="1"/>
    <x v="3"/>
    <x v="7"/>
    <x v="4"/>
    <x v="1"/>
    <n v="47"/>
    <x v="16"/>
    <x v="0"/>
  </r>
  <r>
    <n v="43010"/>
    <x v="25"/>
    <n v="0"/>
    <x v="9"/>
    <x v="9"/>
    <x v="2"/>
    <x v="7"/>
    <x v="4"/>
    <x v="1"/>
    <n v="47"/>
    <x v="11"/>
    <x v="0"/>
  </r>
  <r>
    <n v="43011"/>
    <x v="25"/>
    <n v="0"/>
    <x v="7"/>
    <x v="7"/>
    <x v="2"/>
    <x v="7"/>
    <x v="4"/>
    <x v="1"/>
    <n v="47"/>
    <x v="10"/>
    <x v="0"/>
  </r>
  <r>
    <n v="43012"/>
    <x v="25"/>
    <n v="0"/>
    <x v="7"/>
    <x v="7"/>
    <x v="1"/>
    <x v="7"/>
    <x v="4"/>
    <x v="1"/>
    <n v="47"/>
    <x v="7"/>
    <x v="0"/>
  </r>
  <r>
    <n v="43013"/>
    <x v="25"/>
    <n v="0"/>
    <x v="8"/>
    <x v="8"/>
    <x v="2"/>
    <x v="7"/>
    <x v="4"/>
    <x v="1"/>
    <n v="47"/>
    <x v="9"/>
    <x v="0"/>
  </r>
  <r>
    <n v="43014"/>
    <x v="25"/>
    <n v="0"/>
    <x v="8"/>
    <x v="8"/>
    <x v="1"/>
    <x v="7"/>
    <x v="4"/>
    <x v="1"/>
    <n v="47"/>
    <x v="8"/>
    <x v="0"/>
  </r>
  <r>
    <n v="43015"/>
    <x v="25"/>
    <n v="0"/>
    <x v="11"/>
    <x v="11"/>
    <x v="2"/>
    <x v="7"/>
    <x v="4"/>
    <x v="1"/>
    <n v="47"/>
    <x v="14"/>
    <x v="0"/>
  </r>
  <r>
    <n v="43016"/>
    <x v="26"/>
    <n v="20000"/>
    <x v="0"/>
    <x v="0"/>
    <x v="0"/>
    <x v="7"/>
    <x v="4"/>
    <x v="1"/>
    <n v="48"/>
    <x v="0"/>
    <x v="0"/>
  </r>
  <r>
    <n v="43017"/>
    <x v="26"/>
    <n v="20000"/>
    <x v="1"/>
    <x v="1"/>
    <x v="0"/>
    <x v="7"/>
    <x v="4"/>
    <x v="1"/>
    <n v="48"/>
    <x v="1"/>
    <x v="0"/>
  </r>
  <r>
    <n v="43018"/>
    <x v="26"/>
    <n v="0"/>
    <x v="12"/>
    <x v="12"/>
    <x v="2"/>
    <x v="7"/>
    <x v="4"/>
    <x v="1"/>
    <n v="48"/>
    <x v="15"/>
    <x v="0"/>
  </r>
  <r>
    <n v="43019"/>
    <x v="26"/>
    <n v="0"/>
    <x v="10"/>
    <x v="10"/>
    <x v="2"/>
    <x v="7"/>
    <x v="4"/>
    <x v="1"/>
    <n v="48"/>
    <x v="13"/>
    <x v="0"/>
  </r>
  <r>
    <n v="43020"/>
    <x v="26"/>
    <n v="0"/>
    <x v="2"/>
    <x v="2"/>
    <x v="1"/>
    <x v="7"/>
    <x v="4"/>
    <x v="1"/>
    <n v="48"/>
    <x v="2"/>
    <x v="0"/>
  </r>
  <r>
    <n v="43021"/>
    <x v="26"/>
    <n v="0"/>
    <x v="3"/>
    <x v="3"/>
    <x v="1"/>
    <x v="7"/>
    <x v="4"/>
    <x v="1"/>
    <n v="48"/>
    <x v="3"/>
    <x v="0"/>
  </r>
  <r>
    <n v="43022"/>
    <x v="26"/>
    <n v="0"/>
    <x v="4"/>
    <x v="4"/>
    <x v="1"/>
    <x v="7"/>
    <x v="4"/>
    <x v="1"/>
    <n v="48"/>
    <x v="4"/>
    <x v="0"/>
  </r>
  <r>
    <n v="43023"/>
    <x v="26"/>
    <n v="0"/>
    <x v="5"/>
    <x v="5"/>
    <x v="1"/>
    <x v="7"/>
    <x v="4"/>
    <x v="1"/>
    <n v="48"/>
    <x v="5"/>
    <x v="0"/>
  </r>
  <r>
    <n v="43024"/>
    <x v="26"/>
    <n v="0"/>
    <x v="6"/>
    <x v="6"/>
    <x v="1"/>
    <x v="7"/>
    <x v="4"/>
    <x v="1"/>
    <n v="48"/>
    <x v="6"/>
    <x v="0"/>
  </r>
  <r>
    <n v="43025"/>
    <x v="26"/>
    <n v="20000"/>
    <x v="0"/>
    <x v="0"/>
    <x v="3"/>
    <x v="7"/>
    <x v="4"/>
    <x v="1"/>
    <n v="48"/>
    <x v="12"/>
    <x v="0"/>
  </r>
  <r>
    <n v="43026"/>
    <x v="26"/>
    <n v="20000"/>
    <x v="1"/>
    <x v="1"/>
    <x v="3"/>
    <x v="7"/>
    <x v="4"/>
    <x v="1"/>
    <n v="48"/>
    <x v="16"/>
    <x v="0"/>
  </r>
  <r>
    <n v="43027"/>
    <x v="26"/>
    <n v="0"/>
    <x v="9"/>
    <x v="9"/>
    <x v="2"/>
    <x v="7"/>
    <x v="4"/>
    <x v="1"/>
    <n v="48"/>
    <x v="11"/>
    <x v="0"/>
  </r>
  <r>
    <n v="43028"/>
    <x v="26"/>
    <n v="0"/>
    <x v="7"/>
    <x v="7"/>
    <x v="2"/>
    <x v="7"/>
    <x v="4"/>
    <x v="1"/>
    <n v="48"/>
    <x v="10"/>
    <x v="0"/>
  </r>
  <r>
    <n v="43029"/>
    <x v="26"/>
    <n v="0"/>
    <x v="7"/>
    <x v="7"/>
    <x v="1"/>
    <x v="7"/>
    <x v="4"/>
    <x v="1"/>
    <n v="48"/>
    <x v="7"/>
    <x v="0"/>
  </r>
  <r>
    <n v="43030"/>
    <x v="26"/>
    <n v="0"/>
    <x v="8"/>
    <x v="8"/>
    <x v="2"/>
    <x v="7"/>
    <x v="4"/>
    <x v="1"/>
    <n v="48"/>
    <x v="9"/>
    <x v="0"/>
  </r>
  <r>
    <n v="43031"/>
    <x v="26"/>
    <n v="0"/>
    <x v="8"/>
    <x v="8"/>
    <x v="1"/>
    <x v="7"/>
    <x v="4"/>
    <x v="1"/>
    <n v="48"/>
    <x v="8"/>
    <x v="0"/>
  </r>
  <r>
    <n v="43032"/>
    <x v="26"/>
    <n v="0"/>
    <x v="11"/>
    <x v="11"/>
    <x v="2"/>
    <x v="7"/>
    <x v="4"/>
    <x v="1"/>
    <n v="48"/>
    <x v="14"/>
    <x v="0"/>
  </r>
  <r>
    <n v="43033"/>
    <x v="27"/>
    <n v="20000"/>
    <x v="0"/>
    <x v="0"/>
    <x v="0"/>
    <x v="7"/>
    <x v="4"/>
    <x v="1"/>
    <n v="49"/>
    <x v="0"/>
    <x v="0"/>
  </r>
  <r>
    <n v="43034"/>
    <x v="27"/>
    <n v="20000"/>
    <x v="1"/>
    <x v="1"/>
    <x v="0"/>
    <x v="7"/>
    <x v="4"/>
    <x v="1"/>
    <n v="49"/>
    <x v="1"/>
    <x v="0"/>
  </r>
  <r>
    <n v="43035"/>
    <x v="27"/>
    <n v="0"/>
    <x v="12"/>
    <x v="12"/>
    <x v="2"/>
    <x v="7"/>
    <x v="4"/>
    <x v="1"/>
    <n v="49"/>
    <x v="15"/>
    <x v="0"/>
  </r>
  <r>
    <n v="43036"/>
    <x v="27"/>
    <n v="0"/>
    <x v="10"/>
    <x v="10"/>
    <x v="2"/>
    <x v="7"/>
    <x v="4"/>
    <x v="1"/>
    <n v="49"/>
    <x v="13"/>
    <x v="0"/>
  </r>
  <r>
    <n v="43037"/>
    <x v="27"/>
    <n v="0"/>
    <x v="2"/>
    <x v="2"/>
    <x v="1"/>
    <x v="7"/>
    <x v="4"/>
    <x v="1"/>
    <n v="49"/>
    <x v="2"/>
    <x v="0"/>
  </r>
  <r>
    <n v="43038"/>
    <x v="27"/>
    <n v="0"/>
    <x v="3"/>
    <x v="3"/>
    <x v="1"/>
    <x v="7"/>
    <x v="4"/>
    <x v="1"/>
    <n v="49"/>
    <x v="3"/>
    <x v="0"/>
  </r>
  <r>
    <n v="43039"/>
    <x v="27"/>
    <n v="0"/>
    <x v="4"/>
    <x v="4"/>
    <x v="1"/>
    <x v="7"/>
    <x v="4"/>
    <x v="1"/>
    <n v="49"/>
    <x v="4"/>
    <x v="0"/>
  </r>
  <r>
    <n v="43040"/>
    <x v="27"/>
    <n v="0"/>
    <x v="5"/>
    <x v="5"/>
    <x v="1"/>
    <x v="7"/>
    <x v="4"/>
    <x v="1"/>
    <n v="49"/>
    <x v="5"/>
    <x v="0"/>
  </r>
  <r>
    <n v="43041"/>
    <x v="27"/>
    <n v="0"/>
    <x v="6"/>
    <x v="6"/>
    <x v="1"/>
    <x v="7"/>
    <x v="4"/>
    <x v="1"/>
    <n v="49"/>
    <x v="6"/>
    <x v="0"/>
  </r>
  <r>
    <n v="43042"/>
    <x v="27"/>
    <n v="20000"/>
    <x v="0"/>
    <x v="0"/>
    <x v="3"/>
    <x v="7"/>
    <x v="4"/>
    <x v="1"/>
    <n v="49"/>
    <x v="12"/>
    <x v="0"/>
  </r>
  <r>
    <n v="43043"/>
    <x v="27"/>
    <n v="20000"/>
    <x v="1"/>
    <x v="1"/>
    <x v="3"/>
    <x v="7"/>
    <x v="4"/>
    <x v="1"/>
    <n v="49"/>
    <x v="16"/>
    <x v="0"/>
  </r>
  <r>
    <n v="43044"/>
    <x v="27"/>
    <n v="0"/>
    <x v="9"/>
    <x v="9"/>
    <x v="2"/>
    <x v="7"/>
    <x v="4"/>
    <x v="1"/>
    <n v="49"/>
    <x v="11"/>
    <x v="0"/>
  </r>
  <r>
    <n v="43045"/>
    <x v="27"/>
    <n v="0"/>
    <x v="7"/>
    <x v="7"/>
    <x v="2"/>
    <x v="7"/>
    <x v="4"/>
    <x v="1"/>
    <n v="49"/>
    <x v="10"/>
    <x v="0"/>
  </r>
  <r>
    <n v="43046"/>
    <x v="27"/>
    <n v="0"/>
    <x v="7"/>
    <x v="7"/>
    <x v="1"/>
    <x v="7"/>
    <x v="4"/>
    <x v="1"/>
    <n v="49"/>
    <x v="7"/>
    <x v="0"/>
  </r>
  <r>
    <n v="43047"/>
    <x v="27"/>
    <n v="0"/>
    <x v="8"/>
    <x v="8"/>
    <x v="2"/>
    <x v="7"/>
    <x v="4"/>
    <x v="1"/>
    <n v="49"/>
    <x v="9"/>
    <x v="0"/>
  </r>
  <r>
    <n v="43048"/>
    <x v="27"/>
    <n v="0"/>
    <x v="8"/>
    <x v="8"/>
    <x v="1"/>
    <x v="7"/>
    <x v="4"/>
    <x v="1"/>
    <n v="49"/>
    <x v="8"/>
    <x v="0"/>
  </r>
  <r>
    <n v="43049"/>
    <x v="27"/>
    <n v="0"/>
    <x v="11"/>
    <x v="11"/>
    <x v="2"/>
    <x v="7"/>
    <x v="4"/>
    <x v="1"/>
    <n v="49"/>
    <x v="14"/>
    <x v="0"/>
  </r>
  <r>
    <n v="43050"/>
    <x v="28"/>
    <n v="20000"/>
    <x v="0"/>
    <x v="0"/>
    <x v="0"/>
    <x v="7"/>
    <x v="4"/>
    <x v="1"/>
    <n v="50"/>
    <x v="0"/>
    <x v="0"/>
  </r>
  <r>
    <n v="43051"/>
    <x v="28"/>
    <n v="20000"/>
    <x v="1"/>
    <x v="1"/>
    <x v="0"/>
    <x v="7"/>
    <x v="4"/>
    <x v="1"/>
    <n v="50"/>
    <x v="1"/>
    <x v="0"/>
  </r>
  <r>
    <n v="43052"/>
    <x v="28"/>
    <n v="0"/>
    <x v="12"/>
    <x v="12"/>
    <x v="2"/>
    <x v="7"/>
    <x v="4"/>
    <x v="1"/>
    <n v="50"/>
    <x v="15"/>
    <x v="0"/>
  </r>
  <r>
    <n v="43053"/>
    <x v="28"/>
    <n v="0"/>
    <x v="10"/>
    <x v="10"/>
    <x v="2"/>
    <x v="7"/>
    <x v="4"/>
    <x v="1"/>
    <n v="50"/>
    <x v="13"/>
    <x v="0"/>
  </r>
  <r>
    <n v="43054"/>
    <x v="28"/>
    <n v="0"/>
    <x v="2"/>
    <x v="2"/>
    <x v="1"/>
    <x v="7"/>
    <x v="4"/>
    <x v="1"/>
    <n v="50"/>
    <x v="2"/>
    <x v="0"/>
  </r>
  <r>
    <n v="43055"/>
    <x v="28"/>
    <n v="0"/>
    <x v="3"/>
    <x v="3"/>
    <x v="1"/>
    <x v="7"/>
    <x v="4"/>
    <x v="1"/>
    <n v="50"/>
    <x v="3"/>
    <x v="0"/>
  </r>
  <r>
    <n v="43056"/>
    <x v="28"/>
    <n v="0"/>
    <x v="4"/>
    <x v="4"/>
    <x v="1"/>
    <x v="7"/>
    <x v="4"/>
    <x v="1"/>
    <n v="50"/>
    <x v="4"/>
    <x v="0"/>
  </r>
  <r>
    <n v="43057"/>
    <x v="28"/>
    <n v="0"/>
    <x v="5"/>
    <x v="5"/>
    <x v="1"/>
    <x v="7"/>
    <x v="4"/>
    <x v="1"/>
    <n v="50"/>
    <x v="5"/>
    <x v="0"/>
  </r>
  <r>
    <n v="43058"/>
    <x v="28"/>
    <n v="0"/>
    <x v="6"/>
    <x v="6"/>
    <x v="1"/>
    <x v="7"/>
    <x v="4"/>
    <x v="1"/>
    <n v="50"/>
    <x v="6"/>
    <x v="0"/>
  </r>
  <r>
    <n v="43059"/>
    <x v="28"/>
    <n v="20000"/>
    <x v="0"/>
    <x v="0"/>
    <x v="3"/>
    <x v="7"/>
    <x v="4"/>
    <x v="1"/>
    <n v="50"/>
    <x v="12"/>
    <x v="0"/>
  </r>
  <r>
    <n v="43060"/>
    <x v="28"/>
    <n v="20000"/>
    <x v="1"/>
    <x v="1"/>
    <x v="3"/>
    <x v="7"/>
    <x v="4"/>
    <x v="1"/>
    <n v="50"/>
    <x v="16"/>
    <x v="0"/>
  </r>
  <r>
    <n v="43061"/>
    <x v="28"/>
    <n v="0"/>
    <x v="9"/>
    <x v="9"/>
    <x v="2"/>
    <x v="7"/>
    <x v="4"/>
    <x v="1"/>
    <n v="50"/>
    <x v="11"/>
    <x v="0"/>
  </r>
  <r>
    <n v="43062"/>
    <x v="28"/>
    <n v="0"/>
    <x v="7"/>
    <x v="7"/>
    <x v="2"/>
    <x v="7"/>
    <x v="4"/>
    <x v="1"/>
    <n v="50"/>
    <x v="10"/>
    <x v="0"/>
  </r>
  <r>
    <n v="43063"/>
    <x v="28"/>
    <n v="0"/>
    <x v="7"/>
    <x v="7"/>
    <x v="1"/>
    <x v="7"/>
    <x v="4"/>
    <x v="1"/>
    <n v="50"/>
    <x v="7"/>
    <x v="0"/>
  </r>
  <r>
    <n v="43064"/>
    <x v="28"/>
    <n v="0"/>
    <x v="8"/>
    <x v="8"/>
    <x v="2"/>
    <x v="7"/>
    <x v="4"/>
    <x v="1"/>
    <n v="50"/>
    <x v="9"/>
    <x v="0"/>
  </r>
  <r>
    <n v="43065"/>
    <x v="28"/>
    <n v="0"/>
    <x v="8"/>
    <x v="8"/>
    <x v="1"/>
    <x v="7"/>
    <x v="4"/>
    <x v="1"/>
    <n v="50"/>
    <x v="8"/>
    <x v="0"/>
  </r>
  <r>
    <n v="43066"/>
    <x v="28"/>
    <n v="0"/>
    <x v="11"/>
    <x v="11"/>
    <x v="2"/>
    <x v="7"/>
    <x v="4"/>
    <x v="1"/>
    <n v="50"/>
    <x v="14"/>
    <x v="0"/>
  </r>
  <r>
    <n v="43067"/>
    <x v="29"/>
    <n v="20000"/>
    <x v="0"/>
    <x v="0"/>
    <x v="0"/>
    <x v="8"/>
    <x v="5"/>
    <x v="1"/>
    <n v="51"/>
    <x v="0"/>
    <x v="0"/>
  </r>
  <r>
    <n v="43068"/>
    <x v="29"/>
    <n v="20000"/>
    <x v="1"/>
    <x v="1"/>
    <x v="0"/>
    <x v="8"/>
    <x v="5"/>
    <x v="1"/>
    <n v="51"/>
    <x v="1"/>
    <x v="0"/>
  </r>
  <r>
    <n v="43069"/>
    <x v="29"/>
    <n v="0"/>
    <x v="12"/>
    <x v="12"/>
    <x v="2"/>
    <x v="8"/>
    <x v="5"/>
    <x v="1"/>
    <n v="51"/>
    <x v="15"/>
    <x v="0"/>
  </r>
  <r>
    <n v="43070"/>
    <x v="29"/>
    <n v="0"/>
    <x v="10"/>
    <x v="10"/>
    <x v="2"/>
    <x v="8"/>
    <x v="5"/>
    <x v="1"/>
    <n v="51"/>
    <x v="13"/>
    <x v="0"/>
  </r>
  <r>
    <n v="43071"/>
    <x v="29"/>
    <n v="0"/>
    <x v="2"/>
    <x v="2"/>
    <x v="1"/>
    <x v="8"/>
    <x v="5"/>
    <x v="1"/>
    <n v="51"/>
    <x v="2"/>
    <x v="0"/>
  </r>
  <r>
    <n v="43072"/>
    <x v="29"/>
    <n v="0"/>
    <x v="3"/>
    <x v="3"/>
    <x v="1"/>
    <x v="8"/>
    <x v="5"/>
    <x v="1"/>
    <n v="51"/>
    <x v="3"/>
    <x v="0"/>
  </r>
  <r>
    <n v="43073"/>
    <x v="29"/>
    <n v="0"/>
    <x v="4"/>
    <x v="4"/>
    <x v="1"/>
    <x v="8"/>
    <x v="5"/>
    <x v="1"/>
    <n v="51"/>
    <x v="4"/>
    <x v="0"/>
  </r>
  <r>
    <n v="43074"/>
    <x v="29"/>
    <n v="0"/>
    <x v="5"/>
    <x v="5"/>
    <x v="1"/>
    <x v="8"/>
    <x v="5"/>
    <x v="1"/>
    <n v="51"/>
    <x v="5"/>
    <x v="0"/>
  </r>
  <r>
    <n v="43075"/>
    <x v="29"/>
    <n v="0"/>
    <x v="6"/>
    <x v="6"/>
    <x v="1"/>
    <x v="8"/>
    <x v="5"/>
    <x v="1"/>
    <n v="51"/>
    <x v="6"/>
    <x v="0"/>
  </r>
  <r>
    <n v="43076"/>
    <x v="29"/>
    <n v="20000"/>
    <x v="0"/>
    <x v="0"/>
    <x v="3"/>
    <x v="8"/>
    <x v="5"/>
    <x v="1"/>
    <n v="51"/>
    <x v="12"/>
    <x v="0"/>
  </r>
  <r>
    <n v="43077"/>
    <x v="29"/>
    <n v="20000"/>
    <x v="1"/>
    <x v="1"/>
    <x v="3"/>
    <x v="8"/>
    <x v="5"/>
    <x v="1"/>
    <n v="51"/>
    <x v="16"/>
    <x v="0"/>
  </r>
  <r>
    <n v="43078"/>
    <x v="29"/>
    <n v="0"/>
    <x v="9"/>
    <x v="9"/>
    <x v="2"/>
    <x v="8"/>
    <x v="5"/>
    <x v="1"/>
    <n v="51"/>
    <x v="11"/>
    <x v="0"/>
  </r>
  <r>
    <n v="43079"/>
    <x v="29"/>
    <n v="0"/>
    <x v="7"/>
    <x v="7"/>
    <x v="2"/>
    <x v="8"/>
    <x v="5"/>
    <x v="1"/>
    <n v="51"/>
    <x v="10"/>
    <x v="0"/>
  </r>
  <r>
    <n v="43080"/>
    <x v="29"/>
    <n v="0"/>
    <x v="7"/>
    <x v="7"/>
    <x v="1"/>
    <x v="8"/>
    <x v="5"/>
    <x v="1"/>
    <n v="51"/>
    <x v="7"/>
    <x v="0"/>
  </r>
  <r>
    <n v="43081"/>
    <x v="29"/>
    <n v="0"/>
    <x v="8"/>
    <x v="8"/>
    <x v="2"/>
    <x v="8"/>
    <x v="5"/>
    <x v="1"/>
    <n v="51"/>
    <x v="9"/>
    <x v="0"/>
  </r>
  <r>
    <n v="43082"/>
    <x v="29"/>
    <n v="0"/>
    <x v="8"/>
    <x v="8"/>
    <x v="1"/>
    <x v="8"/>
    <x v="5"/>
    <x v="1"/>
    <n v="51"/>
    <x v="8"/>
    <x v="0"/>
  </r>
  <r>
    <n v="43083"/>
    <x v="29"/>
    <n v="0"/>
    <x v="11"/>
    <x v="11"/>
    <x v="2"/>
    <x v="8"/>
    <x v="5"/>
    <x v="1"/>
    <n v="51"/>
    <x v="14"/>
    <x v="0"/>
  </r>
  <r>
    <n v="43084"/>
    <x v="30"/>
    <n v="20000"/>
    <x v="0"/>
    <x v="0"/>
    <x v="0"/>
    <x v="8"/>
    <x v="5"/>
    <x v="1"/>
    <n v="52"/>
    <x v="0"/>
    <x v="0"/>
  </r>
  <r>
    <n v="43085"/>
    <x v="30"/>
    <n v="20000"/>
    <x v="1"/>
    <x v="1"/>
    <x v="0"/>
    <x v="8"/>
    <x v="5"/>
    <x v="1"/>
    <n v="52"/>
    <x v="1"/>
    <x v="0"/>
  </r>
  <r>
    <n v="43086"/>
    <x v="30"/>
    <n v="0"/>
    <x v="12"/>
    <x v="12"/>
    <x v="2"/>
    <x v="8"/>
    <x v="5"/>
    <x v="1"/>
    <n v="52"/>
    <x v="15"/>
    <x v="0"/>
  </r>
  <r>
    <n v="43087"/>
    <x v="30"/>
    <n v="0"/>
    <x v="10"/>
    <x v="10"/>
    <x v="2"/>
    <x v="8"/>
    <x v="5"/>
    <x v="1"/>
    <n v="52"/>
    <x v="13"/>
    <x v="0"/>
  </r>
  <r>
    <n v="43088"/>
    <x v="30"/>
    <n v="0"/>
    <x v="2"/>
    <x v="2"/>
    <x v="1"/>
    <x v="8"/>
    <x v="5"/>
    <x v="1"/>
    <n v="52"/>
    <x v="2"/>
    <x v="0"/>
  </r>
  <r>
    <n v="43089"/>
    <x v="30"/>
    <n v="0"/>
    <x v="3"/>
    <x v="3"/>
    <x v="1"/>
    <x v="8"/>
    <x v="5"/>
    <x v="1"/>
    <n v="52"/>
    <x v="3"/>
    <x v="0"/>
  </r>
  <r>
    <n v="43090"/>
    <x v="30"/>
    <n v="0"/>
    <x v="4"/>
    <x v="4"/>
    <x v="1"/>
    <x v="8"/>
    <x v="5"/>
    <x v="1"/>
    <n v="52"/>
    <x v="4"/>
    <x v="0"/>
  </r>
  <r>
    <n v="43091"/>
    <x v="30"/>
    <n v="0"/>
    <x v="5"/>
    <x v="5"/>
    <x v="1"/>
    <x v="8"/>
    <x v="5"/>
    <x v="1"/>
    <n v="52"/>
    <x v="5"/>
    <x v="0"/>
  </r>
  <r>
    <n v="43092"/>
    <x v="30"/>
    <n v="0"/>
    <x v="6"/>
    <x v="6"/>
    <x v="1"/>
    <x v="8"/>
    <x v="5"/>
    <x v="1"/>
    <n v="52"/>
    <x v="6"/>
    <x v="0"/>
  </r>
  <r>
    <n v="43093"/>
    <x v="30"/>
    <n v="20000"/>
    <x v="0"/>
    <x v="0"/>
    <x v="3"/>
    <x v="8"/>
    <x v="5"/>
    <x v="1"/>
    <n v="52"/>
    <x v="12"/>
    <x v="0"/>
  </r>
  <r>
    <n v="43094"/>
    <x v="30"/>
    <n v="20000"/>
    <x v="1"/>
    <x v="1"/>
    <x v="3"/>
    <x v="8"/>
    <x v="5"/>
    <x v="1"/>
    <n v="52"/>
    <x v="16"/>
    <x v="0"/>
  </r>
  <r>
    <n v="43095"/>
    <x v="30"/>
    <n v="0"/>
    <x v="9"/>
    <x v="9"/>
    <x v="2"/>
    <x v="8"/>
    <x v="5"/>
    <x v="1"/>
    <n v="52"/>
    <x v="11"/>
    <x v="0"/>
  </r>
  <r>
    <n v="43096"/>
    <x v="30"/>
    <n v="0"/>
    <x v="7"/>
    <x v="7"/>
    <x v="2"/>
    <x v="8"/>
    <x v="5"/>
    <x v="1"/>
    <n v="52"/>
    <x v="10"/>
    <x v="0"/>
  </r>
  <r>
    <n v="43097"/>
    <x v="30"/>
    <n v="0"/>
    <x v="7"/>
    <x v="7"/>
    <x v="1"/>
    <x v="8"/>
    <x v="5"/>
    <x v="1"/>
    <n v="52"/>
    <x v="7"/>
    <x v="0"/>
  </r>
  <r>
    <n v="43099"/>
    <x v="30"/>
    <n v="0"/>
    <x v="8"/>
    <x v="8"/>
    <x v="1"/>
    <x v="8"/>
    <x v="5"/>
    <x v="1"/>
    <n v="52"/>
    <x v="8"/>
    <x v="0"/>
  </r>
  <r>
    <n v="43100"/>
    <x v="30"/>
    <n v="0"/>
    <x v="11"/>
    <x v="11"/>
    <x v="2"/>
    <x v="8"/>
    <x v="5"/>
    <x v="1"/>
    <n v="52"/>
    <x v="14"/>
    <x v="0"/>
  </r>
  <r>
    <n v="43101"/>
    <x v="31"/>
    <n v="20000"/>
    <x v="0"/>
    <x v="0"/>
    <x v="0"/>
    <x v="8"/>
    <x v="5"/>
    <x v="1"/>
    <n v="53"/>
    <x v="0"/>
    <x v="0"/>
  </r>
  <r>
    <n v="43102"/>
    <x v="31"/>
    <n v="20000"/>
    <x v="1"/>
    <x v="1"/>
    <x v="0"/>
    <x v="8"/>
    <x v="5"/>
    <x v="1"/>
    <n v="53"/>
    <x v="1"/>
    <x v="0"/>
  </r>
  <r>
    <n v="43103"/>
    <x v="31"/>
    <n v="0"/>
    <x v="12"/>
    <x v="12"/>
    <x v="2"/>
    <x v="8"/>
    <x v="5"/>
    <x v="1"/>
    <n v="53"/>
    <x v="15"/>
    <x v="0"/>
  </r>
  <r>
    <n v="43104"/>
    <x v="31"/>
    <n v="0"/>
    <x v="10"/>
    <x v="10"/>
    <x v="2"/>
    <x v="8"/>
    <x v="5"/>
    <x v="1"/>
    <n v="53"/>
    <x v="13"/>
    <x v="0"/>
  </r>
  <r>
    <n v="43105"/>
    <x v="31"/>
    <n v="0"/>
    <x v="2"/>
    <x v="2"/>
    <x v="1"/>
    <x v="8"/>
    <x v="5"/>
    <x v="1"/>
    <n v="53"/>
    <x v="2"/>
    <x v="0"/>
  </r>
  <r>
    <n v="43106"/>
    <x v="31"/>
    <n v="0"/>
    <x v="3"/>
    <x v="3"/>
    <x v="1"/>
    <x v="8"/>
    <x v="5"/>
    <x v="1"/>
    <n v="53"/>
    <x v="3"/>
    <x v="0"/>
  </r>
  <r>
    <n v="43107"/>
    <x v="31"/>
    <n v="0"/>
    <x v="4"/>
    <x v="4"/>
    <x v="1"/>
    <x v="8"/>
    <x v="5"/>
    <x v="1"/>
    <n v="53"/>
    <x v="4"/>
    <x v="0"/>
  </r>
  <r>
    <n v="43108"/>
    <x v="31"/>
    <n v="0"/>
    <x v="5"/>
    <x v="5"/>
    <x v="1"/>
    <x v="8"/>
    <x v="5"/>
    <x v="1"/>
    <n v="53"/>
    <x v="5"/>
    <x v="0"/>
  </r>
  <r>
    <n v="43109"/>
    <x v="31"/>
    <n v="0"/>
    <x v="6"/>
    <x v="6"/>
    <x v="1"/>
    <x v="8"/>
    <x v="5"/>
    <x v="1"/>
    <n v="53"/>
    <x v="6"/>
    <x v="0"/>
  </r>
  <r>
    <n v="43110"/>
    <x v="31"/>
    <n v="20000"/>
    <x v="0"/>
    <x v="0"/>
    <x v="3"/>
    <x v="8"/>
    <x v="5"/>
    <x v="1"/>
    <n v="53"/>
    <x v="12"/>
    <x v="0"/>
  </r>
  <r>
    <n v="43111"/>
    <x v="31"/>
    <n v="20000"/>
    <x v="1"/>
    <x v="1"/>
    <x v="3"/>
    <x v="8"/>
    <x v="5"/>
    <x v="1"/>
    <n v="53"/>
    <x v="16"/>
    <x v="0"/>
  </r>
  <r>
    <n v="43112"/>
    <x v="31"/>
    <n v="0"/>
    <x v="9"/>
    <x v="9"/>
    <x v="2"/>
    <x v="8"/>
    <x v="5"/>
    <x v="1"/>
    <n v="53"/>
    <x v="11"/>
    <x v="0"/>
  </r>
  <r>
    <n v="43113"/>
    <x v="31"/>
    <n v="0"/>
    <x v="7"/>
    <x v="7"/>
    <x v="2"/>
    <x v="8"/>
    <x v="5"/>
    <x v="1"/>
    <n v="53"/>
    <x v="10"/>
    <x v="0"/>
  </r>
  <r>
    <n v="43114"/>
    <x v="31"/>
    <n v="0"/>
    <x v="7"/>
    <x v="7"/>
    <x v="1"/>
    <x v="8"/>
    <x v="5"/>
    <x v="1"/>
    <n v="53"/>
    <x v="7"/>
    <x v="0"/>
  </r>
  <r>
    <n v="43115"/>
    <x v="31"/>
    <n v="0"/>
    <x v="8"/>
    <x v="8"/>
    <x v="2"/>
    <x v="8"/>
    <x v="5"/>
    <x v="1"/>
    <n v="53"/>
    <x v="9"/>
    <x v="0"/>
  </r>
  <r>
    <n v="43116"/>
    <x v="31"/>
    <n v="0"/>
    <x v="8"/>
    <x v="8"/>
    <x v="1"/>
    <x v="8"/>
    <x v="5"/>
    <x v="1"/>
    <n v="53"/>
    <x v="8"/>
    <x v="0"/>
  </r>
  <r>
    <n v="43117"/>
    <x v="31"/>
    <n v="0"/>
    <x v="11"/>
    <x v="11"/>
    <x v="2"/>
    <x v="8"/>
    <x v="5"/>
    <x v="1"/>
    <n v="53"/>
    <x v="14"/>
    <x v="0"/>
  </r>
  <r>
    <n v="43118"/>
    <x v="32"/>
    <n v="20000"/>
    <x v="0"/>
    <x v="0"/>
    <x v="0"/>
    <x v="8"/>
    <x v="5"/>
    <x v="1"/>
    <n v="54"/>
    <x v="0"/>
    <x v="0"/>
  </r>
  <r>
    <n v="43119"/>
    <x v="32"/>
    <n v="20000"/>
    <x v="1"/>
    <x v="1"/>
    <x v="0"/>
    <x v="8"/>
    <x v="5"/>
    <x v="1"/>
    <n v="54"/>
    <x v="1"/>
    <x v="0"/>
  </r>
  <r>
    <n v="43120"/>
    <x v="32"/>
    <n v="0"/>
    <x v="12"/>
    <x v="12"/>
    <x v="2"/>
    <x v="8"/>
    <x v="5"/>
    <x v="1"/>
    <n v="54"/>
    <x v="15"/>
    <x v="0"/>
  </r>
  <r>
    <n v="43121"/>
    <x v="32"/>
    <n v="0"/>
    <x v="10"/>
    <x v="10"/>
    <x v="2"/>
    <x v="8"/>
    <x v="5"/>
    <x v="1"/>
    <n v="54"/>
    <x v="13"/>
    <x v="0"/>
  </r>
  <r>
    <n v="43122"/>
    <x v="32"/>
    <n v="0"/>
    <x v="2"/>
    <x v="2"/>
    <x v="1"/>
    <x v="8"/>
    <x v="5"/>
    <x v="1"/>
    <n v="54"/>
    <x v="2"/>
    <x v="0"/>
  </r>
  <r>
    <n v="43123"/>
    <x v="32"/>
    <n v="0"/>
    <x v="3"/>
    <x v="3"/>
    <x v="1"/>
    <x v="8"/>
    <x v="5"/>
    <x v="1"/>
    <n v="54"/>
    <x v="3"/>
    <x v="0"/>
  </r>
  <r>
    <n v="43124"/>
    <x v="32"/>
    <n v="0"/>
    <x v="4"/>
    <x v="4"/>
    <x v="1"/>
    <x v="8"/>
    <x v="5"/>
    <x v="1"/>
    <n v="54"/>
    <x v="4"/>
    <x v="0"/>
  </r>
  <r>
    <n v="43125"/>
    <x v="32"/>
    <n v="0"/>
    <x v="5"/>
    <x v="5"/>
    <x v="1"/>
    <x v="8"/>
    <x v="5"/>
    <x v="1"/>
    <n v="54"/>
    <x v="5"/>
    <x v="0"/>
  </r>
  <r>
    <n v="43126"/>
    <x v="32"/>
    <n v="0"/>
    <x v="6"/>
    <x v="6"/>
    <x v="1"/>
    <x v="8"/>
    <x v="5"/>
    <x v="1"/>
    <n v="54"/>
    <x v="6"/>
    <x v="0"/>
  </r>
  <r>
    <n v="43127"/>
    <x v="32"/>
    <n v="20000"/>
    <x v="0"/>
    <x v="0"/>
    <x v="3"/>
    <x v="8"/>
    <x v="5"/>
    <x v="1"/>
    <n v="54"/>
    <x v="12"/>
    <x v="0"/>
  </r>
  <r>
    <n v="43128"/>
    <x v="32"/>
    <n v="20000"/>
    <x v="1"/>
    <x v="1"/>
    <x v="3"/>
    <x v="8"/>
    <x v="5"/>
    <x v="1"/>
    <n v="54"/>
    <x v="16"/>
    <x v="0"/>
  </r>
  <r>
    <n v="43129"/>
    <x v="32"/>
    <n v="0"/>
    <x v="9"/>
    <x v="9"/>
    <x v="2"/>
    <x v="8"/>
    <x v="5"/>
    <x v="1"/>
    <n v="54"/>
    <x v="11"/>
    <x v="0"/>
  </r>
  <r>
    <n v="43130"/>
    <x v="32"/>
    <n v="0"/>
    <x v="7"/>
    <x v="7"/>
    <x v="2"/>
    <x v="8"/>
    <x v="5"/>
    <x v="1"/>
    <n v="54"/>
    <x v="10"/>
    <x v="0"/>
  </r>
  <r>
    <n v="43131"/>
    <x v="32"/>
    <n v="0"/>
    <x v="7"/>
    <x v="7"/>
    <x v="1"/>
    <x v="8"/>
    <x v="5"/>
    <x v="1"/>
    <n v="54"/>
    <x v="7"/>
    <x v="0"/>
  </r>
  <r>
    <n v="43132"/>
    <x v="32"/>
    <n v="0"/>
    <x v="8"/>
    <x v="8"/>
    <x v="2"/>
    <x v="8"/>
    <x v="5"/>
    <x v="1"/>
    <n v="54"/>
    <x v="9"/>
    <x v="0"/>
  </r>
  <r>
    <n v="43133"/>
    <x v="32"/>
    <n v="0"/>
    <x v="8"/>
    <x v="8"/>
    <x v="1"/>
    <x v="8"/>
    <x v="5"/>
    <x v="1"/>
    <n v="54"/>
    <x v="8"/>
    <x v="0"/>
  </r>
  <r>
    <n v="43134"/>
    <x v="32"/>
    <n v="0"/>
    <x v="11"/>
    <x v="11"/>
    <x v="2"/>
    <x v="8"/>
    <x v="5"/>
    <x v="1"/>
    <n v="54"/>
    <x v="14"/>
    <x v="0"/>
  </r>
  <r>
    <n v="43135"/>
    <x v="33"/>
    <n v="20000"/>
    <x v="0"/>
    <x v="0"/>
    <x v="0"/>
    <x v="8"/>
    <x v="5"/>
    <x v="1"/>
    <n v="55"/>
    <x v="0"/>
    <x v="0"/>
  </r>
  <r>
    <n v="43136"/>
    <x v="33"/>
    <n v="20000"/>
    <x v="1"/>
    <x v="1"/>
    <x v="0"/>
    <x v="8"/>
    <x v="5"/>
    <x v="1"/>
    <n v="55"/>
    <x v="1"/>
    <x v="0"/>
  </r>
  <r>
    <n v="43137"/>
    <x v="33"/>
    <n v="0"/>
    <x v="12"/>
    <x v="12"/>
    <x v="2"/>
    <x v="8"/>
    <x v="5"/>
    <x v="1"/>
    <n v="55"/>
    <x v="15"/>
    <x v="0"/>
  </r>
  <r>
    <n v="43138"/>
    <x v="33"/>
    <n v="0"/>
    <x v="10"/>
    <x v="10"/>
    <x v="2"/>
    <x v="8"/>
    <x v="5"/>
    <x v="1"/>
    <n v="55"/>
    <x v="13"/>
    <x v="0"/>
  </r>
  <r>
    <n v="43139"/>
    <x v="33"/>
    <n v="0"/>
    <x v="2"/>
    <x v="2"/>
    <x v="1"/>
    <x v="8"/>
    <x v="5"/>
    <x v="1"/>
    <n v="55"/>
    <x v="2"/>
    <x v="0"/>
  </r>
  <r>
    <n v="43140"/>
    <x v="33"/>
    <n v="0"/>
    <x v="3"/>
    <x v="3"/>
    <x v="1"/>
    <x v="8"/>
    <x v="5"/>
    <x v="1"/>
    <n v="55"/>
    <x v="3"/>
    <x v="0"/>
  </r>
  <r>
    <n v="43141"/>
    <x v="33"/>
    <n v="0"/>
    <x v="4"/>
    <x v="4"/>
    <x v="1"/>
    <x v="8"/>
    <x v="5"/>
    <x v="1"/>
    <n v="55"/>
    <x v="4"/>
    <x v="0"/>
  </r>
  <r>
    <n v="43142"/>
    <x v="33"/>
    <n v="0"/>
    <x v="5"/>
    <x v="5"/>
    <x v="1"/>
    <x v="8"/>
    <x v="5"/>
    <x v="1"/>
    <n v="55"/>
    <x v="5"/>
    <x v="0"/>
  </r>
  <r>
    <n v="43143"/>
    <x v="33"/>
    <n v="0"/>
    <x v="6"/>
    <x v="6"/>
    <x v="1"/>
    <x v="8"/>
    <x v="5"/>
    <x v="1"/>
    <n v="55"/>
    <x v="6"/>
    <x v="0"/>
  </r>
  <r>
    <n v="43144"/>
    <x v="33"/>
    <n v="20000"/>
    <x v="0"/>
    <x v="0"/>
    <x v="3"/>
    <x v="8"/>
    <x v="5"/>
    <x v="1"/>
    <n v="55"/>
    <x v="12"/>
    <x v="0"/>
  </r>
  <r>
    <n v="43145"/>
    <x v="33"/>
    <n v="20000"/>
    <x v="1"/>
    <x v="1"/>
    <x v="3"/>
    <x v="8"/>
    <x v="5"/>
    <x v="1"/>
    <n v="55"/>
    <x v="16"/>
    <x v="0"/>
  </r>
  <r>
    <n v="43146"/>
    <x v="33"/>
    <n v="0"/>
    <x v="9"/>
    <x v="9"/>
    <x v="2"/>
    <x v="8"/>
    <x v="5"/>
    <x v="1"/>
    <n v="55"/>
    <x v="11"/>
    <x v="0"/>
  </r>
  <r>
    <n v="43147"/>
    <x v="33"/>
    <n v="0"/>
    <x v="7"/>
    <x v="7"/>
    <x v="2"/>
    <x v="8"/>
    <x v="5"/>
    <x v="1"/>
    <n v="55"/>
    <x v="10"/>
    <x v="0"/>
  </r>
  <r>
    <n v="43148"/>
    <x v="33"/>
    <n v="0"/>
    <x v="7"/>
    <x v="7"/>
    <x v="1"/>
    <x v="8"/>
    <x v="5"/>
    <x v="1"/>
    <n v="55"/>
    <x v="7"/>
    <x v="0"/>
  </r>
  <r>
    <n v="43150"/>
    <x v="33"/>
    <n v="0"/>
    <x v="8"/>
    <x v="8"/>
    <x v="1"/>
    <x v="8"/>
    <x v="5"/>
    <x v="1"/>
    <n v="55"/>
    <x v="8"/>
    <x v="0"/>
  </r>
  <r>
    <n v="43151"/>
    <x v="33"/>
    <n v="0"/>
    <x v="11"/>
    <x v="11"/>
    <x v="2"/>
    <x v="8"/>
    <x v="5"/>
    <x v="1"/>
    <n v="55"/>
    <x v="14"/>
    <x v="0"/>
  </r>
  <r>
    <n v="43152"/>
    <x v="34"/>
    <n v="20000"/>
    <x v="0"/>
    <x v="0"/>
    <x v="0"/>
    <x v="9"/>
    <x v="5"/>
    <x v="1"/>
    <n v="56"/>
    <x v="0"/>
    <x v="0"/>
  </r>
  <r>
    <n v="43153"/>
    <x v="34"/>
    <n v="20000"/>
    <x v="1"/>
    <x v="1"/>
    <x v="0"/>
    <x v="9"/>
    <x v="5"/>
    <x v="1"/>
    <n v="56"/>
    <x v="1"/>
    <x v="0"/>
  </r>
  <r>
    <n v="43154"/>
    <x v="34"/>
    <n v="0"/>
    <x v="12"/>
    <x v="12"/>
    <x v="2"/>
    <x v="9"/>
    <x v="5"/>
    <x v="1"/>
    <n v="56"/>
    <x v="15"/>
    <x v="0"/>
  </r>
  <r>
    <n v="43155"/>
    <x v="34"/>
    <n v="0"/>
    <x v="10"/>
    <x v="10"/>
    <x v="2"/>
    <x v="9"/>
    <x v="5"/>
    <x v="1"/>
    <n v="56"/>
    <x v="13"/>
    <x v="0"/>
  </r>
  <r>
    <n v="43156"/>
    <x v="34"/>
    <n v="0"/>
    <x v="2"/>
    <x v="2"/>
    <x v="1"/>
    <x v="9"/>
    <x v="5"/>
    <x v="1"/>
    <n v="56"/>
    <x v="2"/>
    <x v="0"/>
  </r>
  <r>
    <n v="43157"/>
    <x v="34"/>
    <n v="0"/>
    <x v="3"/>
    <x v="3"/>
    <x v="1"/>
    <x v="9"/>
    <x v="5"/>
    <x v="1"/>
    <n v="56"/>
    <x v="3"/>
    <x v="0"/>
  </r>
  <r>
    <n v="43158"/>
    <x v="34"/>
    <n v="0"/>
    <x v="4"/>
    <x v="4"/>
    <x v="1"/>
    <x v="9"/>
    <x v="5"/>
    <x v="1"/>
    <n v="56"/>
    <x v="4"/>
    <x v="0"/>
  </r>
  <r>
    <n v="43159"/>
    <x v="34"/>
    <n v="0"/>
    <x v="5"/>
    <x v="5"/>
    <x v="1"/>
    <x v="9"/>
    <x v="5"/>
    <x v="1"/>
    <n v="56"/>
    <x v="5"/>
    <x v="0"/>
  </r>
  <r>
    <n v="43160"/>
    <x v="34"/>
    <n v="0"/>
    <x v="6"/>
    <x v="6"/>
    <x v="1"/>
    <x v="9"/>
    <x v="5"/>
    <x v="1"/>
    <n v="56"/>
    <x v="6"/>
    <x v="0"/>
  </r>
  <r>
    <n v="43161"/>
    <x v="34"/>
    <n v="20000"/>
    <x v="0"/>
    <x v="0"/>
    <x v="3"/>
    <x v="9"/>
    <x v="5"/>
    <x v="1"/>
    <n v="56"/>
    <x v="12"/>
    <x v="0"/>
  </r>
  <r>
    <n v="43162"/>
    <x v="34"/>
    <n v="20000"/>
    <x v="1"/>
    <x v="1"/>
    <x v="3"/>
    <x v="9"/>
    <x v="5"/>
    <x v="1"/>
    <n v="56"/>
    <x v="16"/>
    <x v="0"/>
  </r>
  <r>
    <n v="43163"/>
    <x v="34"/>
    <n v="0"/>
    <x v="9"/>
    <x v="9"/>
    <x v="2"/>
    <x v="9"/>
    <x v="5"/>
    <x v="1"/>
    <n v="56"/>
    <x v="11"/>
    <x v="0"/>
  </r>
  <r>
    <n v="43164"/>
    <x v="34"/>
    <n v="0"/>
    <x v="7"/>
    <x v="7"/>
    <x v="2"/>
    <x v="9"/>
    <x v="5"/>
    <x v="1"/>
    <n v="56"/>
    <x v="10"/>
    <x v="0"/>
  </r>
  <r>
    <n v="43165"/>
    <x v="34"/>
    <n v="0"/>
    <x v="7"/>
    <x v="7"/>
    <x v="1"/>
    <x v="9"/>
    <x v="5"/>
    <x v="1"/>
    <n v="56"/>
    <x v="7"/>
    <x v="0"/>
  </r>
  <r>
    <n v="43166"/>
    <x v="34"/>
    <n v="0"/>
    <x v="8"/>
    <x v="8"/>
    <x v="2"/>
    <x v="9"/>
    <x v="5"/>
    <x v="1"/>
    <n v="56"/>
    <x v="9"/>
    <x v="0"/>
  </r>
  <r>
    <n v="43167"/>
    <x v="34"/>
    <n v="0"/>
    <x v="8"/>
    <x v="8"/>
    <x v="1"/>
    <x v="9"/>
    <x v="5"/>
    <x v="1"/>
    <n v="56"/>
    <x v="8"/>
    <x v="0"/>
  </r>
  <r>
    <n v="43168"/>
    <x v="34"/>
    <n v="0"/>
    <x v="11"/>
    <x v="11"/>
    <x v="2"/>
    <x v="9"/>
    <x v="5"/>
    <x v="1"/>
    <n v="56"/>
    <x v="14"/>
    <x v="0"/>
  </r>
  <r>
    <n v="42551"/>
    <x v="0"/>
    <n v="2000"/>
    <x v="9"/>
    <x v="9"/>
    <x v="2"/>
    <x v="0"/>
    <x v="0"/>
    <x v="0"/>
    <n v="20"/>
    <x v="11"/>
    <x v="0"/>
  </r>
  <r>
    <n v="43169"/>
    <x v="35"/>
    <n v="20000"/>
    <x v="0"/>
    <x v="0"/>
    <x v="0"/>
    <x v="6"/>
    <x v="5"/>
    <x v="1"/>
    <n v="57"/>
    <x v="0"/>
    <x v="0"/>
  </r>
  <r>
    <n v="43170"/>
    <x v="35"/>
    <n v="20000"/>
    <x v="1"/>
    <x v="1"/>
    <x v="0"/>
    <x v="6"/>
    <x v="5"/>
    <x v="1"/>
    <n v="57"/>
    <x v="1"/>
    <x v="0"/>
  </r>
  <r>
    <n v="43171"/>
    <x v="35"/>
    <n v="0"/>
    <x v="12"/>
    <x v="12"/>
    <x v="2"/>
    <x v="6"/>
    <x v="5"/>
    <x v="1"/>
    <n v="57"/>
    <x v="15"/>
    <x v="0"/>
  </r>
  <r>
    <n v="43172"/>
    <x v="35"/>
    <n v="0"/>
    <x v="10"/>
    <x v="10"/>
    <x v="2"/>
    <x v="6"/>
    <x v="5"/>
    <x v="1"/>
    <n v="57"/>
    <x v="13"/>
    <x v="0"/>
  </r>
  <r>
    <n v="43173"/>
    <x v="35"/>
    <n v="0"/>
    <x v="2"/>
    <x v="2"/>
    <x v="1"/>
    <x v="6"/>
    <x v="5"/>
    <x v="1"/>
    <n v="57"/>
    <x v="2"/>
    <x v="0"/>
  </r>
  <r>
    <n v="43174"/>
    <x v="35"/>
    <n v="0"/>
    <x v="3"/>
    <x v="3"/>
    <x v="1"/>
    <x v="6"/>
    <x v="5"/>
    <x v="1"/>
    <n v="57"/>
    <x v="3"/>
    <x v="0"/>
  </r>
  <r>
    <n v="43175"/>
    <x v="35"/>
    <n v="0"/>
    <x v="4"/>
    <x v="4"/>
    <x v="1"/>
    <x v="6"/>
    <x v="5"/>
    <x v="1"/>
    <n v="57"/>
    <x v="4"/>
    <x v="0"/>
  </r>
  <r>
    <n v="43176"/>
    <x v="35"/>
    <n v="0"/>
    <x v="5"/>
    <x v="5"/>
    <x v="1"/>
    <x v="6"/>
    <x v="5"/>
    <x v="1"/>
    <n v="57"/>
    <x v="5"/>
    <x v="0"/>
  </r>
  <r>
    <n v="43177"/>
    <x v="35"/>
    <n v="0"/>
    <x v="6"/>
    <x v="6"/>
    <x v="1"/>
    <x v="6"/>
    <x v="5"/>
    <x v="1"/>
    <n v="57"/>
    <x v="6"/>
    <x v="0"/>
  </r>
  <r>
    <n v="43178"/>
    <x v="35"/>
    <n v="20000"/>
    <x v="0"/>
    <x v="0"/>
    <x v="3"/>
    <x v="6"/>
    <x v="5"/>
    <x v="1"/>
    <n v="57"/>
    <x v="12"/>
    <x v="0"/>
  </r>
  <r>
    <n v="43179"/>
    <x v="35"/>
    <n v="20000"/>
    <x v="1"/>
    <x v="1"/>
    <x v="3"/>
    <x v="6"/>
    <x v="5"/>
    <x v="1"/>
    <n v="57"/>
    <x v="16"/>
    <x v="0"/>
  </r>
  <r>
    <n v="43180"/>
    <x v="35"/>
    <n v="0"/>
    <x v="9"/>
    <x v="9"/>
    <x v="2"/>
    <x v="6"/>
    <x v="5"/>
    <x v="1"/>
    <n v="57"/>
    <x v="11"/>
    <x v="0"/>
  </r>
  <r>
    <n v="43181"/>
    <x v="35"/>
    <n v="0"/>
    <x v="7"/>
    <x v="7"/>
    <x v="2"/>
    <x v="6"/>
    <x v="5"/>
    <x v="1"/>
    <n v="57"/>
    <x v="10"/>
    <x v="0"/>
  </r>
  <r>
    <n v="43182"/>
    <x v="35"/>
    <n v="0"/>
    <x v="7"/>
    <x v="7"/>
    <x v="1"/>
    <x v="6"/>
    <x v="5"/>
    <x v="1"/>
    <n v="57"/>
    <x v="7"/>
    <x v="0"/>
  </r>
  <r>
    <n v="43183"/>
    <x v="35"/>
    <n v="0"/>
    <x v="8"/>
    <x v="8"/>
    <x v="2"/>
    <x v="6"/>
    <x v="5"/>
    <x v="1"/>
    <n v="57"/>
    <x v="9"/>
    <x v="0"/>
  </r>
  <r>
    <n v="43184"/>
    <x v="35"/>
    <n v="0"/>
    <x v="8"/>
    <x v="8"/>
    <x v="1"/>
    <x v="6"/>
    <x v="5"/>
    <x v="1"/>
    <n v="57"/>
    <x v="8"/>
    <x v="0"/>
  </r>
  <r>
    <n v="43185"/>
    <x v="35"/>
    <n v="0"/>
    <x v="11"/>
    <x v="11"/>
    <x v="2"/>
    <x v="6"/>
    <x v="5"/>
    <x v="1"/>
    <n v="57"/>
    <x v="14"/>
    <x v="0"/>
  </r>
  <r>
    <n v="43186"/>
    <x v="36"/>
    <n v="20000"/>
    <x v="0"/>
    <x v="0"/>
    <x v="0"/>
    <x v="6"/>
    <x v="5"/>
    <x v="1"/>
    <n v="58"/>
    <x v="0"/>
    <x v="0"/>
  </r>
  <r>
    <n v="43187"/>
    <x v="36"/>
    <n v="20000"/>
    <x v="1"/>
    <x v="1"/>
    <x v="0"/>
    <x v="6"/>
    <x v="5"/>
    <x v="1"/>
    <n v="58"/>
    <x v="1"/>
    <x v="0"/>
  </r>
  <r>
    <n v="43188"/>
    <x v="36"/>
    <n v="0"/>
    <x v="12"/>
    <x v="12"/>
    <x v="2"/>
    <x v="6"/>
    <x v="5"/>
    <x v="1"/>
    <n v="58"/>
    <x v="15"/>
    <x v="0"/>
  </r>
  <r>
    <n v="43189"/>
    <x v="36"/>
    <n v="0"/>
    <x v="10"/>
    <x v="10"/>
    <x v="2"/>
    <x v="6"/>
    <x v="5"/>
    <x v="1"/>
    <n v="58"/>
    <x v="13"/>
    <x v="0"/>
  </r>
  <r>
    <n v="43190"/>
    <x v="36"/>
    <n v="0"/>
    <x v="2"/>
    <x v="2"/>
    <x v="1"/>
    <x v="6"/>
    <x v="5"/>
    <x v="1"/>
    <n v="58"/>
    <x v="2"/>
    <x v="0"/>
  </r>
  <r>
    <n v="43191"/>
    <x v="36"/>
    <n v="0"/>
    <x v="3"/>
    <x v="3"/>
    <x v="1"/>
    <x v="6"/>
    <x v="5"/>
    <x v="1"/>
    <n v="58"/>
    <x v="3"/>
    <x v="0"/>
  </r>
  <r>
    <n v="43192"/>
    <x v="36"/>
    <n v="0"/>
    <x v="4"/>
    <x v="4"/>
    <x v="1"/>
    <x v="6"/>
    <x v="5"/>
    <x v="1"/>
    <n v="58"/>
    <x v="4"/>
    <x v="0"/>
  </r>
  <r>
    <n v="43193"/>
    <x v="36"/>
    <n v="0"/>
    <x v="5"/>
    <x v="5"/>
    <x v="1"/>
    <x v="6"/>
    <x v="5"/>
    <x v="1"/>
    <n v="58"/>
    <x v="5"/>
    <x v="0"/>
  </r>
  <r>
    <n v="43194"/>
    <x v="36"/>
    <n v="0"/>
    <x v="6"/>
    <x v="6"/>
    <x v="1"/>
    <x v="6"/>
    <x v="5"/>
    <x v="1"/>
    <n v="58"/>
    <x v="6"/>
    <x v="0"/>
  </r>
  <r>
    <n v="43195"/>
    <x v="36"/>
    <n v="20000"/>
    <x v="0"/>
    <x v="0"/>
    <x v="3"/>
    <x v="6"/>
    <x v="5"/>
    <x v="1"/>
    <n v="58"/>
    <x v="12"/>
    <x v="0"/>
  </r>
  <r>
    <n v="43196"/>
    <x v="36"/>
    <n v="20000"/>
    <x v="1"/>
    <x v="1"/>
    <x v="3"/>
    <x v="6"/>
    <x v="5"/>
    <x v="1"/>
    <n v="58"/>
    <x v="16"/>
    <x v="0"/>
  </r>
  <r>
    <n v="43197"/>
    <x v="36"/>
    <n v="0"/>
    <x v="9"/>
    <x v="9"/>
    <x v="2"/>
    <x v="6"/>
    <x v="5"/>
    <x v="1"/>
    <n v="58"/>
    <x v="11"/>
    <x v="0"/>
  </r>
  <r>
    <n v="43198"/>
    <x v="36"/>
    <n v="0"/>
    <x v="7"/>
    <x v="7"/>
    <x v="2"/>
    <x v="6"/>
    <x v="5"/>
    <x v="1"/>
    <n v="58"/>
    <x v="10"/>
    <x v="0"/>
  </r>
  <r>
    <n v="43199"/>
    <x v="36"/>
    <n v="0"/>
    <x v="7"/>
    <x v="7"/>
    <x v="1"/>
    <x v="6"/>
    <x v="5"/>
    <x v="1"/>
    <n v="58"/>
    <x v="7"/>
    <x v="0"/>
  </r>
  <r>
    <n v="43200"/>
    <x v="36"/>
    <n v="0"/>
    <x v="8"/>
    <x v="8"/>
    <x v="2"/>
    <x v="6"/>
    <x v="5"/>
    <x v="1"/>
    <n v="58"/>
    <x v="9"/>
    <x v="0"/>
  </r>
  <r>
    <n v="43201"/>
    <x v="36"/>
    <n v="0"/>
    <x v="8"/>
    <x v="8"/>
    <x v="1"/>
    <x v="6"/>
    <x v="5"/>
    <x v="1"/>
    <n v="58"/>
    <x v="8"/>
    <x v="0"/>
  </r>
  <r>
    <n v="43202"/>
    <x v="36"/>
    <n v="0"/>
    <x v="11"/>
    <x v="11"/>
    <x v="2"/>
    <x v="6"/>
    <x v="5"/>
    <x v="1"/>
    <n v="58"/>
    <x v="14"/>
    <x v="0"/>
  </r>
  <r>
    <n v="43203"/>
    <x v="37"/>
    <n v="20000"/>
    <x v="0"/>
    <x v="0"/>
    <x v="0"/>
    <x v="6"/>
    <x v="5"/>
    <x v="1"/>
    <n v="59"/>
    <x v="0"/>
    <x v="0"/>
  </r>
  <r>
    <n v="43204"/>
    <x v="37"/>
    <n v="20000"/>
    <x v="1"/>
    <x v="1"/>
    <x v="0"/>
    <x v="6"/>
    <x v="5"/>
    <x v="1"/>
    <n v="59"/>
    <x v="1"/>
    <x v="0"/>
  </r>
  <r>
    <n v="43205"/>
    <x v="37"/>
    <n v="0"/>
    <x v="12"/>
    <x v="12"/>
    <x v="2"/>
    <x v="6"/>
    <x v="5"/>
    <x v="1"/>
    <n v="59"/>
    <x v="15"/>
    <x v="0"/>
  </r>
  <r>
    <n v="43206"/>
    <x v="37"/>
    <n v="0"/>
    <x v="10"/>
    <x v="10"/>
    <x v="2"/>
    <x v="6"/>
    <x v="5"/>
    <x v="1"/>
    <n v="59"/>
    <x v="13"/>
    <x v="0"/>
  </r>
  <r>
    <n v="43207"/>
    <x v="37"/>
    <n v="0"/>
    <x v="2"/>
    <x v="2"/>
    <x v="1"/>
    <x v="6"/>
    <x v="5"/>
    <x v="1"/>
    <n v="59"/>
    <x v="2"/>
    <x v="0"/>
  </r>
  <r>
    <n v="43208"/>
    <x v="37"/>
    <n v="0"/>
    <x v="3"/>
    <x v="3"/>
    <x v="1"/>
    <x v="6"/>
    <x v="5"/>
    <x v="1"/>
    <n v="59"/>
    <x v="3"/>
    <x v="0"/>
  </r>
  <r>
    <n v="43209"/>
    <x v="37"/>
    <n v="0"/>
    <x v="4"/>
    <x v="4"/>
    <x v="1"/>
    <x v="6"/>
    <x v="5"/>
    <x v="1"/>
    <n v="59"/>
    <x v="4"/>
    <x v="0"/>
  </r>
  <r>
    <n v="43210"/>
    <x v="37"/>
    <n v="0"/>
    <x v="5"/>
    <x v="5"/>
    <x v="1"/>
    <x v="6"/>
    <x v="5"/>
    <x v="1"/>
    <n v="59"/>
    <x v="5"/>
    <x v="0"/>
  </r>
  <r>
    <n v="43211"/>
    <x v="37"/>
    <n v="0"/>
    <x v="6"/>
    <x v="6"/>
    <x v="1"/>
    <x v="6"/>
    <x v="5"/>
    <x v="1"/>
    <n v="59"/>
    <x v="6"/>
    <x v="0"/>
  </r>
  <r>
    <n v="43212"/>
    <x v="37"/>
    <n v="20000"/>
    <x v="0"/>
    <x v="0"/>
    <x v="3"/>
    <x v="6"/>
    <x v="5"/>
    <x v="1"/>
    <n v="59"/>
    <x v="12"/>
    <x v="0"/>
  </r>
  <r>
    <n v="43213"/>
    <x v="37"/>
    <n v="20000"/>
    <x v="1"/>
    <x v="1"/>
    <x v="3"/>
    <x v="6"/>
    <x v="5"/>
    <x v="1"/>
    <n v="59"/>
    <x v="16"/>
    <x v="0"/>
  </r>
  <r>
    <n v="43214"/>
    <x v="37"/>
    <n v="0"/>
    <x v="9"/>
    <x v="9"/>
    <x v="2"/>
    <x v="6"/>
    <x v="5"/>
    <x v="1"/>
    <n v="59"/>
    <x v="11"/>
    <x v="0"/>
  </r>
  <r>
    <n v="43215"/>
    <x v="37"/>
    <n v="0"/>
    <x v="7"/>
    <x v="7"/>
    <x v="2"/>
    <x v="6"/>
    <x v="5"/>
    <x v="1"/>
    <n v="59"/>
    <x v="10"/>
    <x v="0"/>
  </r>
  <r>
    <n v="43216"/>
    <x v="37"/>
    <n v="0"/>
    <x v="7"/>
    <x v="7"/>
    <x v="1"/>
    <x v="6"/>
    <x v="5"/>
    <x v="1"/>
    <n v="59"/>
    <x v="7"/>
    <x v="0"/>
  </r>
  <r>
    <n v="43217"/>
    <x v="37"/>
    <n v="0"/>
    <x v="8"/>
    <x v="8"/>
    <x v="2"/>
    <x v="6"/>
    <x v="5"/>
    <x v="1"/>
    <n v="59"/>
    <x v="9"/>
    <x v="0"/>
  </r>
  <r>
    <n v="43218"/>
    <x v="37"/>
    <n v="0"/>
    <x v="8"/>
    <x v="8"/>
    <x v="1"/>
    <x v="6"/>
    <x v="5"/>
    <x v="1"/>
    <n v="59"/>
    <x v="8"/>
    <x v="0"/>
  </r>
  <r>
    <n v="43219"/>
    <x v="37"/>
    <n v="0"/>
    <x v="11"/>
    <x v="11"/>
    <x v="2"/>
    <x v="6"/>
    <x v="5"/>
    <x v="1"/>
    <n v="59"/>
    <x v="14"/>
    <x v="0"/>
  </r>
  <r>
    <n v="43220"/>
    <x v="38"/>
    <n v="20000"/>
    <x v="0"/>
    <x v="0"/>
    <x v="0"/>
    <x v="6"/>
    <x v="5"/>
    <x v="1"/>
    <n v="60"/>
    <x v="0"/>
    <x v="0"/>
  </r>
  <r>
    <n v="43221"/>
    <x v="38"/>
    <n v="20000"/>
    <x v="1"/>
    <x v="1"/>
    <x v="0"/>
    <x v="6"/>
    <x v="5"/>
    <x v="1"/>
    <n v="60"/>
    <x v="1"/>
    <x v="0"/>
  </r>
  <r>
    <n v="43222"/>
    <x v="38"/>
    <n v="0"/>
    <x v="12"/>
    <x v="12"/>
    <x v="2"/>
    <x v="6"/>
    <x v="5"/>
    <x v="1"/>
    <n v="60"/>
    <x v="15"/>
    <x v="0"/>
  </r>
  <r>
    <n v="43223"/>
    <x v="38"/>
    <n v="0"/>
    <x v="10"/>
    <x v="10"/>
    <x v="2"/>
    <x v="6"/>
    <x v="5"/>
    <x v="1"/>
    <n v="60"/>
    <x v="13"/>
    <x v="0"/>
  </r>
  <r>
    <n v="43224"/>
    <x v="38"/>
    <n v="0"/>
    <x v="2"/>
    <x v="2"/>
    <x v="1"/>
    <x v="6"/>
    <x v="5"/>
    <x v="1"/>
    <n v="60"/>
    <x v="2"/>
    <x v="0"/>
  </r>
  <r>
    <n v="43225"/>
    <x v="38"/>
    <n v="0"/>
    <x v="3"/>
    <x v="3"/>
    <x v="1"/>
    <x v="6"/>
    <x v="5"/>
    <x v="1"/>
    <n v="60"/>
    <x v="3"/>
    <x v="0"/>
  </r>
  <r>
    <n v="43226"/>
    <x v="38"/>
    <n v="0"/>
    <x v="4"/>
    <x v="4"/>
    <x v="1"/>
    <x v="6"/>
    <x v="5"/>
    <x v="1"/>
    <n v="60"/>
    <x v="4"/>
    <x v="0"/>
  </r>
  <r>
    <n v="43227"/>
    <x v="38"/>
    <n v="0"/>
    <x v="5"/>
    <x v="5"/>
    <x v="1"/>
    <x v="6"/>
    <x v="5"/>
    <x v="1"/>
    <n v="60"/>
    <x v="5"/>
    <x v="0"/>
  </r>
  <r>
    <n v="43228"/>
    <x v="38"/>
    <n v="0"/>
    <x v="6"/>
    <x v="6"/>
    <x v="1"/>
    <x v="6"/>
    <x v="5"/>
    <x v="1"/>
    <n v="60"/>
    <x v="6"/>
    <x v="0"/>
  </r>
  <r>
    <n v="43229"/>
    <x v="38"/>
    <n v="20000"/>
    <x v="0"/>
    <x v="0"/>
    <x v="3"/>
    <x v="6"/>
    <x v="5"/>
    <x v="1"/>
    <n v="60"/>
    <x v="12"/>
    <x v="0"/>
  </r>
  <r>
    <n v="43230"/>
    <x v="38"/>
    <n v="20000"/>
    <x v="1"/>
    <x v="1"/>
    <x v="3"/>
    <x v="6"/>
    <x v="5"/>
    <x v="1"/>
    <n v="60"/>
    <x v="16"/>
    <x v="0"/>
  </r>
  <r>
    <n v="43231"/>
    <x v="38"/>
    <n v="0"/>
    <x v="9"/>
    <x v="9"/>
    <x v="2"/>
    <x v="6"/>
    <x v="5"/>
    <x v="1"/>
    <n v="60"/>
    <x v="11"/>
    <x v="0"/>
  </r>
  <r>
    <n v="43232"/>
    <x v="38"/>
    <n v="0"/>
    <x v="7"/>
    <x v="7"/>
    <x v="2"/>
    <x v="6"/>
    <x v="5"/>
    <x v="1"/>
    <n v="60"/>
    <x v="10"/>
    <x v="0"/>
  </r>
  <r>
    <n v="43233"/>
    <x v="38"/>
    <n v="0"/>
    <x v="7"/>
    <x v="7"/>
    <x v="1"/>
    <x v="6"/>
    <x v="5"/>
    <x v="1"/>
    <n v="60"/>
    <x v="7"/>
    <x v="0"/>
  </r>
  <r>
    <n v="43234"/>
    <x v="38"/>
    <n v="0"/>
    <x v="8"/>
    <x v="8"/>
    <x v="2"/>
    <x v="6"/>
    <x v="5"/>
    <x v="1"/>
    <n v="60"/>
    <x v="9"/>
    <x v="0"/>
  </r>
  <r>
    <n v="43235"/>
    <x v="38"/>
    <n v="0"/>
    <x v="8"/>
    <x v="8"/>
    <x v="1"/>
    <x v="6"/>
    <x v="5"/>
    <x v="1"/>
    <n v="60"/>
    <x v="8"/>
    <x v="0"/>
  </r>
  <r>
    <n v="43236"/>
    <x v="38"/>
    <n v="0"/>
    <x v="11"/>
    <x v="11"/>
    <x v="2"/>
    <x v="6"/>
    <x v="5"/>
    <x v="1"/>
    <n v="60"/>
    <x v="14"/>
    <x v="0"/>
  </r>
  <r>
    <n v="43237"/>
    <x v="39"/>
    <n v="20000"/>
    <x v="0"/>
    <x v="0"/>
    <x v="0"/>
    <x v="6"/>
    <x v="5"/>
    <x v="1"/>
    <n v="61"/>
    <x v="0"/>
    <x v="0"/>
  </r>
  <r>
    <n v="43238"/>
    <x v="39"/>
    <n v="20000"/>
    <x v="1"/>
    <x v="1"/>
    <x v="0"/>
    <x v="6"/>
    <x v="5"/>
    <x v="1"/>
    <n v="61"/>
    <x v="1"/>
    <x v="0"/>
  </r>
  <r>
    <n v="43239"/>
    <x v="39"/>
    <n v="0"/>
    <x v="12"/>
    <x v="12"/>
    <x v="2"/>
    <x v="6"/>
    <x v="5"/>
    <x v="1"/>
    <n v="61"/>
    <x v="15"/>
    <x v="0"/>
  </r>
  <r>
    <n v="43240"/>
    <x v="39"/>
    <n v="0"/>
    <x v="10"/>
    <x v="10"/>
    <x v="2"/>
    <x v="6"/>
    <x v="5"/>
    <x v="1"/>
    <n v="61"/>
    <x v="13"/>
    <x v="0"/>
  </r>
  <r>
    <n v="43241"/>
    <x v="39"/>
    <n v="0"/>
    <x v="2"/>
    <x v="2"/>
    <x v="1"/>
    <x v="6"/>
    <x v="5"/>
    <x v="1"/>
    <n v="61"/>
    <x v="2"/>
    <x v="0"/>
  </r>
  <r>
    <n v="43242"/>
    <x v="39"/>
    <n v="0"/>
    <x v="3"/>
    <x v="3"/>
    <x v="1"/>
    <x v="6"/>
    <x v="5"/>
    <x v="1"/>
    <n v="61"/>
    <x v="3"/>
    <x v="0"/>
  </r>
  <r>
    <n v="43243"/>
    <x v="39"/>
    <n v="0"/>
    <x v="4"/>
    <x v="4"/>
    <x v="1"/>
    <x v="6"/>
    <x v="5"/>
    <x v="1"/>
    <n v="61"/>
    <x v="4"/>
    <x v="0"/>
  </r>
  <r>
    <n v="43244"/>
    <x v="39"/>
    <n v="0"/>
    <x v="5"/>
    <x v="5"/>
    <x v="1"/>
    <x v="6"/>
    <x v="5"/>
    <x v="1"/>
    <n v="61"/>
    <x v="5"/>
    <x v="0"/>
  </r>
  <r>
    <n v="43245"/>
    <x v="39"/>
    <n v="0"/>
    <x v="6"/>
    <x v="6"/>
    <x v="1"/>
    <x v="6"/>
    <x v="5"/>
    <x v="1"/>
    <n v="61"/>
    <x v="6"/>
    <x v="0"/>
  </r>
  <r>
    <n v="43246"/>
    <x v="39"/>
    <n v="20000"/>
    <x v="0"/>
    <x v="0"/>
    <x v="3"/>
    <x v="6"/>
    <x v="5"/>
    <x v="1"/>
    <n v="61"/>
    <x v="12"/>
    <x v="0"/>
  </r>
  <r>
    <n v="43247"/>
    <x v="39"/>
    <n v="20000"/>
    <x v="1"/>
    <x v="1"/>
    <x v="3"/>
    <x v="6"/>
    <x v="5"/>
    <x v="1"/>
    <n v="61"/>
    <x v="16"/>
    <x v="0"/>
  </r>
  <r>
    <n v="43248"/>
    <x v="39"/>
    <n v="0"/>
    <x v="9"/>
    <x v="9"/>
    <x v="2"/>
    <x v="6"/>
    <x v="5"/>
    <x v="1"/>
    <n v="61"/>
    <x v="11"/>
    <x v="0"/>
  </r>
  <r>
    <n v="43249"/>
    <x v="39"/>
    <n v="0"/>
    <x v="7"/>
    <x v="7"/>
    <x v="2"/>
    <x v="6"/>
    <x v="5"/>
    <x v="1"/>
    <n v="61"/>
    <x v="10"/>
    <x v="0"/>
  </r>
  <r>
    <n v="43250"/>
    <x v="39"/>
    <n v="0"/>
    <x v="7"/>
    <x v="7"/>
    <x v="1"/>
    <x v="6"/>
    <x v="5"/>
    <x v="1"/>
    <n v="61"/>
    <x v="7"/>
    <x v="0"/>
  </r>
  <r>
    <n v="43251"/>
    <x v="39"/>
    <n v="0"/>
    <x v="8"/>
    <x v="8"/>
    <x v="2"/>
    <x v="6"/>
    <x v="5"/>
    <x v="1"/>
    <n v="61"/>
    <x v="9"/>
    <x v="0"/>
  </r>
  <r>
    <n v="43252"/>
    <x v="39"/>
    <n v="0"/>
    <x v="8"/>
    <x v="8"/>
    <x v="1"/>
    <x v="6"/>
    <x v="5"/>
    <x v="1"/>
    <n v="61"/>
    <x v="8"/>
    <x v="0"/>
  </r>
  <r>
    <n v="43253"/>
    <x v="39"/>
    <n v="0"/>
    <x v="11"/>
    <x v="11"/>
    <x v="2"/>
    <x v="6"/>
    <x v="5"/>
    <x v="1"/>
    <n v="61"/>
    <x v="14"/>
    <x v="0"/>
  </r>
  <r>
    <n v="43254"/>
    <x v="40"/>
    <n v="20000"/>
    <x v="0"/>
    <x v="0"/>
    <x v="0"/>
    <x v="6"/>
    <x v="5"/>
    <x v="1"/>
    <n v="62"/>
    <x v="0"/>
    <x v="0"/>
  </r>
  <r>
    <n v="43255"/>
    <x v="40"/>
    <n v="20000"/>
    <x v="1"/>
    <x v="1"/>
    <x v="0"/>
    <x v="6"/>
    <x v="5"/>
    <x v="1"/>
    <n v="62"/>
    <x v="1"/>
    <x v="0"/>
  </r>
  <r>
    <n v="43256"/>
    <x v="40"/>
    <n v="0"/>
    <x v="12"/>
    <x v="12"/>
    <x v="2"/>
    <x v="6"/>
    <x v="5"/>
    <x v="1"/>
    <n v="62"/>
    <x v="15"/>
    <x v="0"/>
  </r>
  <r>
    <n v="43257"/>
    <x v="40"/>
    <n v="0"/>
    <x v="10"/>
    <x v="10"/>
    <x v="2"/>
    <x v="6"/>
    <x v="5"/>
    <x v="1"/>
    <n v="62"/>
    <x v="13"/>
    <x v="0"/>
  </r>
  <r>
    <n v="43258"/>
    <x v="40"/>
    <n v="0"/>
    <x v="2"/>
    <x v="2"/>
    <x v="1"/>
    <x v="6"/>
    <x v="5"/>
    <x v="1"/>
    <n v="62"/>
    <x v="2"/>
    <x v="0"/>
  </r>
  <r>
    <n v="43259"/>
    <x v="40"/>
    <n v="0"/>
    <x v="3"/>
    <x v="3"/>
    <x v="1"/>
    <x v="6"/>
    <x v="5"/>
    <x v="1"/>
    <n v="62"/>
    <x v="3"/>
    <x v="0"/>
  </r>
  <r>
    <n v="43260"/>
    <x v="40"/>
    <n v="0"/>
    <x v="4"/>
    <x v="4"/>
    <x v="1"/>
    <x v="6"/>
    <x v="5"/>
    <x v="1"/>
    <n v="62"/>
    <x v="4"/>
    <x v="0"/>
  </r>
  <r>
    <n v="43261"/>
    <x v="40"/>
    <n v="0"/>
    <x v="5"/>
    <x v="5"/>
    <x v="1"/>
    <x v="6"/>
    <x v="5"/>
    <x v="1"/>
    <n v="62"/>
    <x v="5"/>
    <x v="0"/>
  </r>
  <r>
    <n v="43262"/>
    <x v="40"/>
    <n v="0"/>
    <x v="6"/>
    <x v="6"/>
    <x v="1"/>
    <x v="6"/>
    <x v="5"/>
    <x v="1"/>
    <n v="62"/>
    <x v="6"/>
    <x v="0"/>
  </r>
  <r>
    <n v="43263"/>
    <x v="40"/>
    <n v="20000"/>
    <x v="0"/>
    <x v="0"/>
    <x v="3"/>
    <x v="6"/>
    <x v="5"/>
    <x v="1"/>
    <n v="62"/>
    <x v="12"/>
    <x v="0"/>
  </r>
  <r>
    <n v="43264"/>
    <x v="40"/>
    <n v="20000"/>
    <x v="1"/>
    <x v="1"/>
    <x v="3"/>
    <x v="6"/>
    <x v="5"/>
    <x v="1"/>
    <n v="62"/>
    <x v="16"/>
    <x v="0"/>
  </r>
  <r>
    <n v="43265"/>
    <x v="40"/>
    <n v="0"/>
    <x v="9"/>
    <x v="9"/>
    <x v="2"/>
    <x v="6"/>
    <x v="5"/>
    <x v="1"/>
    <n v="62"/>
    <x v="11"/>
    <x v="0"/>
  </r>
  <r>
    <n v="43266"/>
    <x v="40"/>
    <n v="0"/>
    <x v="7"/>
    <x v="7"/>
    <x v="2"/>
    <x v="6"/>
    <x v="5"/>
    <x v="1"/>
    <n v="62"/>
    <x v="10"/>
    <x v="0"/>
  </r>
  <r>
    <n v="43267"/>
    <x v="40"/>
    <n v="0"/>
    <x v="7"/>
    <x v="7"/>
    <x v="1"/>
    <x v="6"/>
    <x v="5"/>
    <x v="1"/>
    <n v="62"/>
    <x v="7"/>
    <x v="0"/>
  </r>
  <r>
    <n v="43268"/>
    <x v="40"/>
    <n v="0"/>
    <x v="8"/>
    <x v="8"/>
    <x v="2"/>
    <x v="6"/>
    <x v="5"/>
    <x v="1"/>
    <n v="62"/>
    <x v="9"/>
    <x v="0"/>
  </r>
  <r>
    <n v="43269"/>
    <x v="40"/>
    <n v="0"/>
    <x v="8"/>
    <x v="8"/>
    <x v="1"/>
    <x v="6"/>
    <x v="5"/>
    <x v="1"/>
    <n v="62"/>
    <x v="8"/>
    <x v="0"/>
  </r>
  <r>
    <n v="43270"/>
    <x v="40"/>
    <n v="0"/>
    <x v="11"/>
    <x v="11"/>
    <x v="2"/>
    <x v="6"/>
    <x v="5"/>
    <x v="1"/>
    <n v="62"/>
    <x v="14"/>
    <x v="0"/>
  </r>
  <r>
    <n v="43271"/>
    <x v="41"/>
    <n v="20000"/>
    <x v="0"/>
    <x v="0"/>
    <x v="0"/>
    <x v="6"/>
    <x v="5"/>
    <x v="1"/>
    <n v="63"/>
    <x v="0"/>
    <x v="0"/>
  </r>
  <r>
    <n v="43272"/>
    <x v="41"/>
    <n v="20000"/>
    <x v="1"/>
    <x v="1"/>
    <x v="0"/>
    <x v="6"/>
    <x v="5"/>
    <x v="1"/>
    <n v="63"/>
    <x v="1"/>
    <x v="0"/>
  </r>
  <r>
    <n v="43273"/>
    <x v="41"/>
    <n v="0"/>
    <x v="12"/>
    <x v="12"/>
    <x v="2"/>
    <x v="6"/>
    <x v="5"/>
    <x v="1"/>
    <n v="63"/>
    <x v="15"/>
    <x v="0"/>
  </r>
  <r>
    <n v="43274"/>
    <x v="41"/>
    <n v="0"/>
    <x v="10"/>
    <x v="10"/>
    <x v="2"/>
    <x v="6"/>
    <x v="5"/>
    <x v="1"/>
    <n v="63"/>
    <x v="13"/>
    <x v="0"/>
  </r>
  <r>
    <n v="43275"/>
    <x v="41"/>
    <n v="0"/>
    <x v="2"/>
    <x v="2"/>
    <x v="1"/>
    <x v="6"/>
    <x v="5"/>
    <x v="1"/>
    <n v="63"/>
    <x v="2"/>
    <x v="0"/>
  </r>
  <r>
    <n v="43276"/>
    <x v="41"/>
    <n v="0"/>
    <x v="3"/>
    <x v="3"/>
    <x v="1"/>
    <x v="6"/>
    <x v="5"/>
    <x v="1"/>
    <n v="63"/>
    <x v="3"/>
    <x v="0"/>
  </r>
  <r>
    <n v="43277"/>
    <x v="41"/>
    <n v="0"/>
    <x v="4"/>
    <x v="4"/>
    <x v="1"/>
    <x v="6"/>
    <x v="5"/>
    <x v="1"/>
    <n v="63"/>
    <x v="4"/>
    <x v="0"/>
  </r>
  <r>
    <n v="43278"/>
    <x v="41"/>
    <n v="0"/>
    <x v="5"/>
    <x v="5"/>
    <x v="1"/>
    <x v="6"/>
    <x v="5"/>
    <x v="1"/>
    <n v="63"/>
    <x v="5"/>
    <x v="0"/>
  </r>
  <r>
    <n v="43279"/>
    <x v="41"/>
    <n v="0"/>
    <x v="6"/>
    <x v="6"/>
    <x v="1"/>
    <x v="6"/>
    <x v="5"/>
    <x v="1"/>
    <n v="63"/>
    <x v="6"/>
    <x v="0"/>
  </r>
  <r>
    <n v="43280"/>
    <x v="41"/>
    <n v="20000"/>
    <x v="0"/>
    <x v="0"/>
    <x v="3"/>
    <x v="6"/>
    <x v="5"/>
    <x v="1"/>
    <n v="63"/>
    <x v="12"/>
    <x v="0"/>
  </r>
  <r>
    <n v="43281"/>
    <x v="41"/>
    <n v="20000"/>
    <x v="1"/>
    <x v="1"/>
    <x v="3"/>
    <x v="6"/>
    <x v="5"/>
    <x v="1"/>
    <n v="63"/>
    <x v="16"/>
    <x v="0"/>
  </r>
  <r>
    <n v="43282"/>
    <x v="41"/>
    <n v="0"/>
    <x v="9"/>
    <x v="9"/>
    <x v="2"/>
    <x v="6"/>
    <x v="5"/>
    <x v="1"/>
    <n v="63"/>
    <x v="11"/>
    <x v="0"/>
  </r>
  <r>
    <n v="43283"/>
    <x v="41"/>
    <n v="0"/>
    <x v="7"/>
    <x v="7"/>
    <x v="2"/>
    <x v="6"/>
    <x v="5"/>
    <x v="1"/>
    <n v="63"/>
    <x v="10"/>
    <x v="0"/>
  </r>
  <r>
    <n v="43284"/>
    <x v="41"/>
    <n v="0"/>
    <x v="7"/>
    <x v="7"/>
    <x v="1"/>
    <x v="6"/>
    <x v="5"/>
    <x v="1"/>
    <n v="63"/>
    <x v="7"/>
    <x v="0"/>
  </r>
  <r>
    <n v="43285"/>
    <x v="41"/>
    <n v="0"/>
    <x v="8"/>
    <x v="8"/>
    <x v="2"/>
    <x v="6"/>
    <x v="5"/>
    <x v="1"/>
    <n v="63"/>
    <x v="9"/>
    <x v="0"/>
  </r>
  <r>
    <n v="43286"/>
    <x v="41"/>
    <n v="0"/>
    <x v="8"/>
    <x v="8"/>
    <x v="1"/>
    <x v="6"/>
    <x v="5"/>
    <x v="1"/>
    <n v="63"/>
    <x v="8"/>
    <x v="0"/>
  </r>
  <r>
    <n v="43287"/>
    <x v="41"/>
    <n v="0"/>
    <x v="11"/>
    <x v="11"/>
    <x v="2"/>
    <x v="6"/>
    <x v="5"/>
    <x v="1"/>
    <n v="63"/>
    <x v="14"/>
    <x v="0"/>
  </r>
  <r>
    <n v="43288"/>
    <x v="42"/>
    <n v="20000"/>
    <x v="0"/>
    <x v="0"/>
    <x v="0"/>
    <x v="6"/>
    <x v="5"/>
    <x v="1"/>
    <n v="64"/>
    <x v="0"/>
    <x v="0"/>
  </r>
  <r>
    <n v="43289"/>
    <x v="42"/>
    <n v="20000"/>
    <x v="1"/>
    <x v="1"/>
    <x v="0"/>
    <x v="6"/>
    <x v="5"/>
    <x v="1"/>
    <n v="64"/>
    <x v="1"/>
    <x v="0"/>
  </r>
  <r>
    <n v="43290"/>
    <x v="42"/>
    <n v="0"/>
    <x v="12"/>
    <x v="12"/>
    <x v="2"/>
    <x v="6"/>
    <x v="5"/>
    <x v="1"/>
    <n v="64"/>
    <x v="15"/>
    <x v="0"/>
  </r>
  <r>
    <n v="43291"/>
    <x v="42"/>
    <n v="0"/>
    <x v="10"/>
    <x v="10"/>
    <x v="2"/>
    <x v="6"/>
    <x v="5"/>
    <x v="1"/>
    <n v="64"/>
    <x v="13"/>
    <x v="0"/>
  </r>
  <r>
    <n v="43292"/>
    <x v="42"/>
    <n v="0"/>
    <x v="2"/>
    <x v="2"/>
    <x v="1"/>
    <x v="6"/>
    <x v="5"/>
    <x v="1"/>
    <n v="64"/>
    <x v="2"/>
    <x v="0"/>
  </r>
  <r>
    <n v="43293"/>
    <x v="42"/>
    <n v="0"/>
    <x v="3"/>
    <x v="3"/>
    <x v="1"/>
    <x v="6"/>
    <x v="5"/>
    <x v="1"/>
    <n v="64"/>
    <x v="3"/>
    <x v="0"/>
  </r>
  <r>
    <n v="43294"/>
    <x v="42"/>
    <n v="0"/>
    <x v="4"/>
    <x v="4"/>
    <x v="1"/>
    <x v="6"/>
    <x v="5"/>
    <x v="1"/>
    <n v="64"/>
    <x v="4"/>
    <x v="0"/>
  </r>
  <r>
    <n v="43295"/>
    <x v="42"/>
    <n v="0"/>
    <x v="5"/>
    <x v="5"/>
    <x v="1"/>
    <x v="6"/>
    <x v="5"/>
    <x v="1"/>
    <n v="64"/>
    <x v="5"/>
    <x v="0"/>
  </r>
  <r>
    <n v="43296"/>
    <x v="42"/>
    <n v="0"/>
    <x v="6"/>
    <x v="6"/>
    <x v="1"/>
    <x v="6"/>
    <x v="5"/>
    <x v="1"/>
    <n v="64"/>
    <x v="6"/>
    <x v="0"/>
  </r>
  <r>
    <n v="43297"/>
    <x v="42"/>
    <n v="20000"/>
    <x v="0"/>
    <x v="0"/>
    <x v="3"/>
    <x v="6"/>
    <x v="5"/>
    <x v="1"/>
    <n v="64"/>
    <x v="12"/>
    <x v="0"/>
  </r>
  <r>
    <n v="43298"/>
    <x v="42"/>
    <n v="20000"/>
    <x v="1"/>
    <x v="1"/>
    <x v="3"/>
    <x v="6"/>
    <x v="5"/>
    <x v="1"/>
    <n v="64"/>
    <x v="16"/>
    <x v="0"/>
  </r>
  <r>
    <n v="43299"/>
    <x v="42"/>
    <n v="0"/>
    <x v="9"/>
    <x v="9"/>
    <x v="2"/>
    <x v="6"/>
    <x v="5"/>
    <x v="1"/>
    <n v="64"/>
    <x v="11"/>
    <x v="0"/>
  </r>
  <r>
    <n v="43300"/>
    <x v="42"/>
    <n v="0"/>
    <x v="7"/>
    <x v="7"/>
    <x v="2"/>
    <x v="6"/>
    <x v="5"/>
    <x v="1"/>
    <n v="64"/>
    <x v="10"/>
    <x v="0"/>
  </r>
  <r>
    <n v="43301"/>
    <x v="42"/>
    <n v="0"/>
    <x v="7"/>
    <x v="7"/>
    <x v="1"/>
    <x v="6"/>
    <x v="5"/>
    <x v="1"/>
    <n v="64"/>
    <x v="7"/>
    <x v="0"/>
  </r>
  <r>
    <n v="43302"/>
    <x v="42"/>
    <n v="0"/>
    <x v="8"/>
    <x v="8"/>
    <x v="2"/>
    <x v="6"/>
    <x v="5"/>
    <x v="1"/>
    <n v="64"/>
    <x v="9"/>
    <x v="0"/>
  </r>
  <r>
    <n v="43303"/>
    <x v="42"/>
    <n v="0"/>
    <x v="8"/>
    <x v="8"/>
    <x v="1"/>
    <x v="6"/>
    <x v="5"/>
    <x v="1"/>
    <n v="64"/>
    <x v="8"/>
    <x v="0"/>
  </r>
  <r>
    <n v="43304"/>
    <x v="42"/>
    <n v="0"/>
    <x v="11"/>
    <x v="11"/>
    <x v="2"/>
    <x v="6"/>
    <x v="5"/>
    <x v="1"/>
    <n v="64"/>
    <x v="14"/>
    <x v="0"/>
  </r>
  <r>
    <n v="43305"/>
    <x v="43"/>
    <n v="20000"/>
    <x v="0"/>
    <x v="0"/>
    <x v="0"/>
    <x v="6"/>
    <x v="5"/>
    <x v="1"/>
    <n v="65"/>
    <x v="0"/>
    <x v="0"/>
  </r>
  <r>
    <n v="43306"/>
    <x v="43"/>
    <n v="20000"/>
    <x v="1"/>
    <x v="1"/>
    <x v="0"/>
    <x v="6"/>
    <x v="5"/>
    <x v="1"/>
    <n v="65"/>
    <x v="1"/>
    <x v="0"/>
  </r>
  <r>
    <n v="43307"/>
    <x v="43"/>
    <n v="0"/>
    <x v="12"/>
    <x v="12"/>
    <x v="2"/>
    <x v="6"/>
    <x v="5"/>
    <x v="1"/>
    <n v="65"/>
    <x v="15"/>
    <x v="0"/>
  </r>
  <r>
    <n v="43308"/>
    <x v="43"/>
    <n v="0"/>
    <x v="10"/>
    <x v="10"/>
    <x v="2"/>
    <x v="6"/>
    <x v="5"/>
    <x v="1"/>
    <n v="65"/>
    <x v="13"/>
    <x v="0"/>
  </r>
  <r>
    <n v="43309"/>
    <x v="43"/>
    <n v="0"/>
    <x v="2"/>
    <x v="2"/>
    <x v="1"/>
    <x v="6"/>
    <x v="5"/>
    <x v="1"/>
    <n v="65"/>
    <x v="2"/>
    <x v="0"/>
  </r>
  <r>
    <n v="43310"/>
    <x v="43"/>
    <n v="0"/>
    <x v="3"/>
    <x v="3"/>
    <x v="1"/>
    <x v="6"/>
    <x v="5"/>
    <x v="1"/>
    <n v="65"/>
    <x v="3"/>
    <x v="0"/>
  </r>
  <r>
    <n v="43311"/>
    <x v="43"/>
    <n v="0"/>
    <x v="4"/>
    <x v="4"/>
    <x v="1"/>
    <x v="6"/>
    <x v="5"/>
    <x v="1"/>
    <n v="65"/>
    <x v="4"/>
    <x v="0"/>
  </r>
  <r>
    <n v="43312"/>
    <x v="43"/>
    <n v="0"/>
    <x v="5"/>
    <x v="5"/>
    <x v="1"/>
    <x v="6"/>
    <x v="5"/>
    <x v="1"/>
    <n v="65"/>
    <x v="5"/>
    <x v="0"/>
  </r>
  <r>
    <n v="43313"/>
    <x v="43"/>
    <n v="0"/>
    <x v="6"/>
    <x v="6"/>
    <x v="1"/>
    <x v="6"/>
    <x v="5"/>
    <x v="1"/>
    <n v="65"/>
    <x v="6"/>
    <x v="0"/>
  </r>
  <r>
    <n v="43314"/>
    <x v="43"/>
    <n v="20000"/>
    <x v="0"/>
    <x v="0"/>
    <x v="3"/>
    <x v="6"/>
    <x v="5"/>
    <x v="1"/>
    <n v="65"/>
    <x v="12"/>
    <x v="0"/>
  </r>
  <r>
    <n v="43315"/>
    <x v="43"/>
    <n v="20000"/>
    <x v="1"/>
    <x v="1"/>
    <x v="3"/>
    <x v="6"/>
    <x v="5"/>
    <x v="1"/>
    <n v="65"/>
    <x v="16"/>
    <x v="0"/>
  </r>
  <r>
    <n v="43316"/>
    <x v="43"/>
    <n v="0"/>
    <x v="9"/>
    <x v="9"/>
    <x v="2"/>
    <x v="6"/>
    <x v="5"/>
    <x v="1"/>
    <n v="65"/>
    <x v="11"/>
    <x v="0"/>
  </r>
  <r>
    <n v="43317"/>
    <x v="43"/>
    <n v="0"/>
    <x v="7"/>
    <x v="7"/>
    <x v="2"/>
    <x v="6"/>
    <x v="5"/>
    <x v="1"/>
    <n v="65"/>
    <x v="10"/>
    <x v="0"/>
  </r>
  <r>
    <n v="43318"/>
    <x v="43"/>
    <n v="0"/>
    <x v="7"/>
    <x v="7"/>
    <x v="1"/>
    <x v="6"/>
    <x v="5"/>
    <x v="1"/>
    <n v="65"/>
    <x v="7"/>
    <x v="0"/>
  </r>
  <r>
    <n v="43319"/>
    <x v="43"/>
    <n v="0"/>
    <x v="8"/>
    <x v="8"/>
    <x v="2"/>
    <x v="6"/>
    <x v="5"/>
    <x v="1"/>
    <n v="65"/>
    <x v="9"/>
    <x v="0"/>
  </r>
  <r>
    <n v="43320"/>
    <x v="43"/>
    <n v="0"/>
    <x v="8"/>
    <x v="8"/>
    <x v="1"/>
    <x v="6"/>
    <x v="5"/>
    <x v="1"/>
    <n v="65"/>
    <x v="8"/>
    <x v="0"/>
  </r>
  <r>
    <n v="43321"/>
    <x v="43"/>
    <n v="0"/>
    <x v="11"/>
    <x v="11"/>
    <x v="2"/>
    <x v="6"/>
    <x v="5"/>
    <x v="1"/>
    <n v="65"/>
    <x v="14"/>
    <x v="0"/>
  </r>
  <r>
    <n v="43322"/>
    <x v="44"/>
    <n v="20000"/>
    <x v="0"/>
    <x v="0"/>
    <x v="0"/>
    <x v="10"/>
    <x v="5"/>
    <x v="1"/>
    <n v="66"/>
    <x v="0"/>
    <x v="0"/>
  </r>
  <r>
    <n v="43323"/>
    <x v="44"/>
    <n v="20000"/>
    <x v="1"/>
    <x v="1"/>
    <x v="0"/>
    <x v="10"/>
    <x v="5"/>
    <x v="1"/>
    <n v="66"/>
    <x v="1"/>
    <x v="0"/>
  </r>
  <r>
    <n v="43324"/>
    <x v="44"/>
    <n v="0"/>
    <x v="12"/>
    <x v="12"/>
    <x v="2"/>
    <x v="10"/>
    <x v="5"/>
    <x v="1"/>
    <n v="66"/>
    <x v="15"/>
    <x v="0"/>
  </r>
  <r>
    <n v="43325"/>
    <x v="44"/>
    <n v="0"/>
    <x v="10"/>
    <x v="10"/>
    <x v="2"/>
    <x v="10"/>
    <x v="5"/>
    <x v="1"/>
    <n v="66"/>
    <x v="13"/>
    <x v="0"/>
  </r>
  <r>
    <n v="43326"/>
    <x v="44"/>
    <n v="0"/>
    <x v="2"/>
    <x v="2"/>
    <x v="1"/>
    <x v="10"/>
    <x v="5"/>
    <x v="1"/>
    <n v="66"/>
    <x v="2"/>
    <x v="0"/>
  </r>
  <r>
    <n v="43327"/>
    <x v="44"/>
    <n v="0"/>
    <x v="3"/>
    <x v="3"/>
    <x v="1"/>
    <x v="10"/>
    <x v="5"/>
    <x v="1"/>
    <n v="66"/>
    <x v="3"/>
    <x v="0"/>
  </r>
  <r>
    <n v="42602"/>
    <x v="3"/>
    <n v="2000"/>
    <x v="9"/>
    <x v="9"/>
    <x v="2"/>
    <x v="2"/>
    <x v="2"/>
    <x v="0"/>
    <n v="23"/>
    <x v="11"/>
    <x v="0"/>
  </r>
  <r>
    <n v="43328"/>
    <x v="44"/>
    <n v="0"/>
    <x v="4"/>
    <x v="4"/>
    <x v="1"/>
    <x v="10"/>
    <x v="5"/>
    <x v="1"/>
    <n v="66"/>
    <x v="4"/>
    <x v="0"/>
  </r>
  <r>
    <n v="43329"/>
    <x v="44"/>
    <n v="0"/>
    <x v="5"/>
    <x v="5"/>
    <x v="1"/>
    <x v="10"/>
    <x v="5"/>
    <x v="1"/>
    <n v="66"/>
    <x v="5"/>
    <x v="0"/>
  </r>
  <r>
    <n v="43330"/>
    <x v="44"/>
    <n v="0"/>
    <x v="6"/>
    <x v="6"/>
    <x v="1"/>
    <x v="10"/>
    <x v="5"/>
    <x v="1"/>
    <n v="66"/>
    <x v="6"/>
    <x v="0"/>
  </r>
  <r>
    <n v="43331"/>
    <x v="44"/>
    <n v="20000"/>
    <x v="0"/>
    <x v="0"/>
    <x v="3"/>
    <x v="10"/>
    <x v="5"/>
    <x v="1"/>
    <n v="66"/>
    <x v="12"/>
    <x v="0"/>
  </r>
  <r>
    <n v="43332"/>
    <x v="44"/>
    <n v="20000"/>
    <x v="1"/>
    <x v="1"/>
    <x v="3"/>
    <x v="10"/>
    <x v="5"/>
    <x v="1"/>
    <n v="66"/>
    <x v="16"/>
    <x v="0"/>
  </r>
  <r>
    <n v="43333"/>
    <x v="44"/>
    <n v="0"/>
    <x v="9"/>
    <x v="9"/>
    <x v="2"/>
    <x v="10"/>
    <x v="5"/>
    <x v="1"/>
    <n v="66"/>
    <x v="11"/>
    <x v="0"/>
  </r>
  <r>
    <n v="43334"/>
    <x v="44"/>
    <n v="0"/>
    <x v="7"/>
    <x v="7"/>
    <x v="2"/>
    <x v="10"/>
    <x v="5"/>
    <x v="1"/>
    <n v="66"/>
    <x v="10"/>
    <x v="0"/>
  </r>
  <r>
    <n v="43335"/>
    <x v="44"/>
    <n v="0"/>
    <x v="7"/>
    <x v="7"/>
    <x v="1"/>
    <x v="10"/>
    <x v="5"/>
    <x v="1"/>
    <n v="66"/>
    <x v="7"/>
    <x v="0"/>
  </r>
  <r>
    <n v="43336"/>
    <x v="44"/>
    <n v="0"/>
    <x v="8"/>
    <x v="8"/>
    <x v="2"/>
    <x v="10"/>
    <x v="5"/>
    <x v="1"/>
    <n v="66"/>
    <x v="9"/>
    <x v="0"/>
  </r>
  <r>
    <n v="43337"/>
    <x v="44"/>
    <n v="0"/>
    <x v="8"/>
    <x v="8"/>
    <x v="1"/>
    <x v="10"/>
    <x v="5"/>
    <x v="1"/>
    <n v="66"/>
    <x v="8"/>
    <x v="0"/>
  </r>
  <r>
    <n v="43338"/>
    <x v="44"/>
    <n v="0"/>
    <x v="11"/>
    <x v="11"/>
    <x v="2"/>
    <x v="10"/>
    <x v="5"/>
    <x v="1"/>
    <n v="66"/>
    <x v="14"/>
    <x v="0"/>
  </r>
  <r>
    <n v="43339"/>
    <x v="45"/>
    <n v="20000"/>
    <x v="0"/>
    <x v="0"/>
    <x v="0"/>
    <x v="10"/>
    <x v="5"/>
    <x v="1"/>
    <n v="67"/>
    <x v="0"/>
    <x v="0"/>
  </r>
  <r>
    <n v="43340"/>
    <x v="45"/>
    <n v="20000"/>
    <x v="1"/>
    <x v="1"/>
    <x v="0"/>
    <x v="10"/>
    <x v="5"/>
    <x v="1"/>
    <n v="67"/>
    <x v="1"/>
    <x v="0"/>
  </r>
  <r>
    <n v="43341"/>
    <x v="45"/>
    <n v="0"/>
    <x v="12"/>
    <x v="12"/>
    <x v="2"/>
    <x v="10"/>
    <x v="5"/>
    <x v="1"/>
    <n v="67"/>
    <x v="15"/>
    <x v="0"/>
  </r>
  <r>
    <n v="43342"/>
    <x v="45"/>
    <n v="0"/>
    <x v="10"/>
    <x v="10"/>
    <x v="2"/>
    <x v="10"/>
    <x v="5"/>
    <x v="1"/>
    <n v="67"/>
    <x v="13"/>
    <x v="0"/>
  </r>
  <r>
    <n v="43343"/>
    <x v="45"/>
    <n v="0"/>
    <x v="2"/>
    <x v="2"/>
    <x v="1"/>
    <x v="10"/>
    <x v="5"/>
    <x v="1"/>
    <n v="67"/>
    <x v="2"/>
    <x v="0"/>
  </r>
  <r>
    <n v="43344"/>
    <x v="45"/>
    <n v="0"/>
    <x v="3"/>
    <x v="3"/>
    <x v="1"/>
    <x v="10"/>
    <x v="5"/>
    <x v="1"/>
    <n v="67"/>
    <x v="3"/>
    <x v="0"/>
  </r>
  <r>
    <n v="43345"/>
    <x v="45"/>
    <n v="0"/>
    <x v="4"/>
    <x v="4"/>
    <x v="1"/>
    <x v="10"/>
    <x v="5"/>
    <x v="1"/>
    <n v="67"/>
    <x v="4"/>
    <x v="0"/>
  </r>
  <r>
    <n v="43346"/>
    <x v="45"/>
    <n v="0"/>
    <x v="5"/>
    <x v="5"/>
    <x v="1"/>
    <x v="10"/>
    <x v="5"/>
    <x v="1"/>
    <n v="67"/>
    <x v="5"/>
    <x v="0"/>
  </r>
  <r>
    <n v="43098"/>
    <x v="30"/>
    <n v="4000"/>
    <x v="8"/>
    <x v="8"/>
    <x v="2"/>
    <x v="8"/>
    <x v="5"/>
    <x v="1"/>
    <n v="52"/>
    <x v="9"/>
    <x v="0"/>
  </r>
  <r>
    <n v="43149"/>
    <x v="33"/>
    <n v="200"/>
    <x v="8"/>
    <x v="8"/>
    <x v="2"/>
    <x v="8"/>
    <x v="5"/>
    <x v="1"/>
    <n v="55"/>
    <x v="9"/>
    <x v="0"/>
  </r>
  <r>
    <n v="42549"/>
    <x v="0"/>
    <n v="43400"/>
    <x v="0"/>
    <x v="0"/>
    <x v="3"/>
    <x v="0"/>
    <x v="0"/>
    <x v="0"/>
    <n v="20"/>
    <x v="12"/>
    <x v="0"/>
  </r>
  <r>
    <n v="42600"/>
    <x v="3"/>
    <n v="36600"/>
    <x v="0"/>
    <x v="0"/>
    <x v="3"/>
    <x v="2"/>
    <x v="2"/>
    <x v="0"/>
    <n v="23"/>
    <x v="12"/>
    <x v="0"/>
  </r>
  <r>
    <n v="42651"/>
    <x v="3"/>
    <n v="30123"/>
    <x v="0"/>
    <x v="0"/>
    <x v="3"/>
    <x v="3"/>
    <x v="3"/>
    <x v="0"/>
    <n v="37"/>
    <x v="12"/>
    <x v="0"/>
  </r>
  <r>
    <n v="43347"/>
    <x v="45"/>
    <n v="0"/>
    <x v="6"/>
    <x v="6"/>
    <x v="1"/>
    <x v="10"/>
    <x v="5"/>
    <x v="1"/>
    <n v="67"/>
    <x v="6"/>
    <x v="0"/>
  </r>
  <r>
    <n v="43348"/>
    <x v="45"/>
    <n v="20000"/>
    <x v="0"/>
    <x v="0"/>
    <x v="3"/>
    <x v="10"/>
    <x v="5"/>
    <x v="1"/>
    <n v="67"/>
    <x v="12"/>
    <x v="0"/>
  </r>
  <r>
    <n v="43349"/>
    <x v="45"/>
    <n v="20000"/>
    <x v="1"/>
    <x v="1"/>
    <x v="3"/>
    <x v="10"/>
    <x v="5"/>
    <x v="1"/>
    <n v="67"/>
    <x v="16"/>
    <x v="0"/>
  </r>
  <r>
    <n v="43350"/>
    <x v="45"/>
    <n v="0"/>
    <x v="9"/>
    <x v="9"/>
    <x v="2"/>
    <x v="10"/>
    <x v="5"/>
    <x v="1"/>
    <n v="67"/>
    <x v="11"/>
    <x v="0"/>
  </r>
  <r>
    <n v="43351"/>
    <x v="45"/>
    <n v="0"/>
    <x v="7"/>
    <x v="7"/>
    <x v="2"/>
    <x v="10"/>
    <x v="5"/>
    <x v="1"/>
    <n v="67"/>
    <x v="10"/>
    <x v="0"/>
  </r>
  <r>
    <n v="43352"/>
    <x v="45"/>
    <n v="0"/>
    <x v="7"/>
    <x v="7"/>
    <x v="1"/>
    <x v="10"/>
    <x v="5"/>
    <x v="1"/>
    <n v="67"/>
    <x v="7"/>
    <x v="0"/>
  </r>
  <r>
    <n v="43353"/>
    <x v="45"/>
    <n v="0"/>
    <x v="8"/>
    <x v="8"/>
    <x v="2"/>
    <x v="10"/>
    <x v="5"/>
    <x v="1"/>
    <n v="67"/>
    <x v="9"/>
    <x v="0"/>
  </r>
  <r>
    <n v="43354"/>
    <x v="45"/>
    <n v="0"/>
    <x v="8"/>
    <x v="8"/>
    <x v="1"/>
    <x v="10"/>
    <x v="5"/>
    <x v="1"/>
    <n v="67"/>
    <x v="8"/>
    <x v="0"/>
  </r>
  <r>
    <n v="43355"/>
    <x v="45"/>
    <n v="0"/>
    <x v="11"/>
    <x v="11"/>
    <x v="2"/>
    <x v="10"/>
    <x v="5"/>
    <x v="1"/>
    <n v="67"/>
    <x v="14"/>
    <x v="0"/>
  </r>
  <r>
    <n v="43356"/>
    <x v="46"/>
    <n v="20000"/>
    <x v="0"/>
    <x v="0"/>
    <x v="0"/>
    <x v="10"/>
    <x v="5"/>
    <x v="1"/>
    <n v="68"/>
    <x v="0"/>
    <x v="0"/>
  </r>
  <r>
    <n v="43357"/>
    <x v="46"/>
    <n v="20000"/>
    <x v="1"/>
    <x v="1"/>
    <x v="0"/>
    <x v="10"/>
    <x v="5"/>
    <x v="1"/>
    <n v="68"/>
    <x v="1"/>
    <x v="0"/>
  </r>
  <r>
    <n v="43358"/>
    <x v="46"/>
    <n v="0"/>
    <x v="12"/>
    <x v="12"/>
    <x v="2"/>
    <x v="10"/>
    <x v="5"/>
    <x v="1"/>
    <n v="68"/>
    <x v="15"/>
    <x v="0"/>
  </r>
  <r>
    <n v="43359"/>
    <x v="46"/>
    <n v="0"/>
    <x v="10"/>
    <x v="10"/>
    <x v="2"/>
    <x v="10"/>
    <x v="5"/>
    <x v="1"/>
    <n v="68"/>
    <x v="13"/>
    <x v="0"/>
  </r>
  <r>
    <n v="43360"/>
    <x v="46"/>
    <n v="0"/>
    <x v="2"/>
    <x v="2"/>
    <x v="1"/>
    <x v="10"/>
    <x v="5"/>
    <x v="1"/>
    <n v="68"/>
    <x v="2"/>
    <x v="0"/>
  </r>
  <r>
    <n v="43361"/>
    <x v="46"/>
    <n v="0"/>
    <x v="3"/>
    <x v="3"/>
    <x v="1"/>
    <x v="10"/>
    <x v="5"/>
    <x v="1"/>
    <n v="68"/>
    <x v="3"/>
    <x v="0"/>
  </r>
  <r>
    <n v="43362"/>
    <x v="46"/>
    <n v="0"/>
    <x v="4"/>
    <x v="4"/>
    <x v="1"/>
    <x v="10"/>
    <x v="5"/>
    <x v="1"/>
    <n v="68"/>
    <x v="4"/>
    <x v="0"/>
  </r>
  <r>
    <n v="43363"/>
    <x v="46"/>
    <n v="0"/>
    <x v="5"/>
    <x v="5"/>
    <x v="1"/>
    <x v="10"/>
    <x v="5"/>
    <x v="1"/>
    <n v="68"/>
    <x v="5"/>
    <x v="0"/>
  </r>
  <r>
    <n v="43364"/>
    <x v="46"/>
    <n v="0"/>
    <x v="6"/>
    <x v="6"/>
    <x v="1"/>
    <x v="10"/>
    <x v="5"/>
    <x v="1"/>
    <n v="68"/>
    <x v="6"/>
    <x v="0"/>
  </r>
  <r>
    <n v="43365"/>
    <x v="46"/>
    <n v="20000"/>
    <x v="0"/>
    <x v="0"/>
    <x v="3"/>
    <x v="10"/>
    <x v="5"/>
    <x v="1"/>
    <n v="68"/>
    <x v="12"/>
    <x v="0"/>
  </r>
  <r>
    <n v="43366"/>
    <x v="46"/>
    <n v="20000"/>
    <x v="1"/>
    <x v="1"/>
    <x v="3"/>
    <x v="10"/>
    <x v="5"/>
    <x v="1"/>
    <n v="68"/>
    <x v="16"/>
    <x v="0"/>
  </r>
  <r>
    <n v="43367"/>
    <x v="46"/>
    <n v="0"/>
    <x v="9"/>
    <x v="9"/>
    <x v="2"/>
    <x v="10"/>
    <x v="5"/>
    <x v="1"/>
    <n v="68"/>
    <x v="11"/>
    <x v="0"/>
  </r>
  <r>
    <n v="43368"/>
    <x v="46"/>
    <n v="0"/>
    <x v="7"/>
    <x v="7"/>
    <x v="2"/>
    <x v="10"/>
    <x v="5"/>
    <x v="1"/>
    <n v="68"/>
    <x v="10"/>
    <x v="0"/>
  </r>
  <r>
    <n v="43369"/>
    <x v="46"/>
    <n v="0"/>
    <x v="7"/>
    <x v="7"/>
    <x v="1"/>
    <x v="10"/>
    <x v="5"/>
    <x v="1"/>
    <n v="68"/>
    <x v="7"/>
    <x v="0"/>
  </r>
  <r>
    <n v="43370"/>
    <x v="46"/>
    <n v="0"/>
    <x v="8"/>
    <x v="8"/>
    <x v="2"/>
    <x v="10"/>
    <x v="5"/>
    <x v="1"/>
    <n v="68"/>
    <x v="9"/>
    <x v="0"/>
  </r>
  <r>
    <n v="43371"/>
    <x v="46"/>
    <n v="0"/>
    <x v="8"/>
    <x v="8"/>
    <x v="1"/>
    <x v="10"/>
    <x v="5"/>
    <x v="1"/>
    <n v="68"/>
    <x v="8"/>
    <x v="0"/>
  </r>
  <r>
    <n v="43372"/>
    <x v="46"/>
    <n v="0"/>
    <x v="11"/>
    <x v="11"/>
    <x v="2"/>
    <x v="10"/>
    <x v="5"/>
    <x v="1"/>
    <n v="68"/>
    <x v="14"/>
    <x v="0"/>
  </r>
  <r>
    <n v="43373"/>
    <x v="47"/>
    <n v="20000"/>
    <x v="0"/>
    <x v="0"/>
    <x v="0"/>
    <x v="10"/>
    <x v="5"/>
    <x v="1"/>
    <n v="69"/>
    <x v="0"/>
    <x v="0"/>
  </r>
  <r>
    <n v="43374"/>
    <x v="47"/>
    <n v="20000"/>
    <x v="1"/>
    <x v="1"/>
    <x v="0"/>
    <x v="10"/>
    <x v="5"/>
    <x v="1"/>
    <n v="69"/>
    <x v="1"/>
    <x v="0"/>
  </r>
  <r>
    <n v="43375"/>
    <x v="47"/>
    <n v="0"/>
    <x v="12"/>
    <x v="12"/>
    <x v="2"/>
    <x v="10"/>
    <x v="5"/>
    <x v="1"/>
    <n v="69"/>
    <x v="15"/>
    <x v="0"/>
  </r>
  <r>
    <n v="43376"/>
    <x v="47"/>
    <n v="0"/>
    <x v="10"/>
    <x v="10"/>
    <x v="2"/>
    <x v="10"/>
    <x v="5"/>
    <x v="1"/>
    <n v="69"/>
    <x v="13"/>
    <x v="0"/>
  </r>
  <r>
    <n v="43377"/>
    <x v="47"/>
    <n v="0"/>
    <x v="2"/>
    <x v="2"/>
    <x v="1"/>
    <x v="10"/>
    <x v="5"/>
    <x v="1"/>
    <n v="69"/>
    <x v="2"/>
    <x v="0"/>
  </r>
  <r>
    <n v="43378"/>
    <x v="47"/>
    <n v="0"/>
    <x v="3"/>
    <x v="3"/>
    <x v="1"/>
    <x v="10"/>
    <x v="5"/>
    <x v="1"/>
    <n v="69"/>
    <x v="3"/>
    <x v="0"/>
  </r>
  <r>
    <n v="43379"/>
    <x v="47"/>
    <n v="0"/>
    <x v="4"/>
    <x v="4"/>
    <x v="1"/>
    <x v="10"/>
    <x v="5"/>
    <x v="1"/>
    <n v="69"/>
    <x v="4"/>
    <x v="0"/>
  </r>
  <r>
    <n v="43380"/>
    <x v="47"/>
    <n v="0"/>
    <x v="5"/>
    <x v="5"/>
    <x v="1"/>
    <x v="10"/>
    <x v="5"/>
    <x v="1"/>
    <n v="69"/>
    <x v="5"/>
    <x v="0"/>
  </r>
  <r>
    <n v="43381"/>
    <x v="47"/>
    <n v="0"/>
    <x v="6"/>
    <x v="6"/>
    <x v="1"/>
    <x v="10"/>
    <x v="5"/>
    <x v="1"/>
    <n v="69"/>
    <x v="6"/>
    <x v="0"/>
  </r>
  <r>
    <n v="43382"/>
    <x v="47"/>
    <n v="20000"/>
    <x v="0"/>
    <x v="0"/>
    <x v="3"/>
    <x v="10"/>
    <x v="5"/>
    <x v="1"/>
    <n v="69"/>
    <x v="12"/>
    <x v="0"/>
  </r>
  <r>
    <n v="43383"/>
    <x v="47"/>
    <n v="20000"/>
    <x v="1"/>
    <x v="1"/>
    <x v="3"/>
    <x v="10"/>
    <x v="5"/>
    <x v="1"/>
    <n v="69"/>
    <x v="16"/>
    <x v="0"/>
  </r>
  <r>
    <n v="43384"/>
    <x v="47"/>
    <n v="0"/>
    <x v="9"/>
    <x v="9"/>
    <x v="2"/>
    <x v="10"/>
    <x v="5"/>
    <x v="1"/>
    <n v="69"/>
    <x v="11"/>
    <x v="0"/>
  </r>
  <r>
    <n v="43385"/>
    <x v="47"/>
    <n v="0"/>
    <x v="7"/>
    <x v="7"/>
    <x v="2"/>
    <x v="10"/>
    <x v="5"/>
    <x v="1"/>
    <n v="69"/>
    <x v="10"/>
    <x v="0"/>
  </r>
  <r>
    <n v="43386"/>
    <x v="47"/>
    <n v="0"/>
    <x v="7"/>
    <x v="7"/>
    <x v="1"/>
    <x v="10"/>
    <x v="5"/>
    <x v="1"/>
    <n v="69"/>
    <x v="7"/>
    <x v="0"/>
  </r>
  <r>
    <n v="43387"/>
    <x v="47"/>
    <n v="0"/>
    <x v="8"/>
    <x v="8"/>
    <x v="2"/>
    <x v="10"/>
    <x v="5"/>
    <x v="1"/>
    <n v="69"/>
    <x v="9"/>
    <x v="0"/>
  </r>
  <r>
    <n v="43388"/>
    <x v="47"/>
    <n v="0"/>
    <x v="8"/>
    <x v="8"/>
    <x v="1"/>
    <x v="10"/>
    <x v="5"/>
    <x v="1"/>
    <n v="69"/>
    <x v="8"/>
    <x v="0"/>
  </r>
  <r>
    <n v="43389"/>
    <x v="47"/>
    <n v="0"/>
    <x v="11"/>
    <x v="11"/>
    <x v="2"/>
    <x v="10"/>
    <x v="5"/>
    <x v="1"/>
    <n v="69"/>
    <x v="14"/>
    <x v="0"/>
  </r>
  <r>
    <n v="43390"/>
    <x v="48"/>
    <n v="20000"/>
    <x v="0"/>
    <x v="0"/>
    <x v="0"/>
    <x v="11"/>
    <x v="5"/>
    <x v="1"/>
    <n v="70"/>
    <x v="0"/>
    <x v="0"/>
  </r>
  <r>
    <n v="43391"/>
    <x v="48"/>
    <n v="20000"/>
    <x v="1"/>
    <x v="1"/>
    <x v="0"/>
    <x v="11"/>
    <x v="5"/>
    <x v="1"/>
    <n v="70"/>
    <x v="1"/>
    <x v="0"/>
  </r>
  <r>
    <n v="43392"/>
    <x v="48"/>
    <n v="0"/>
    <x v="12"/>
    <x v="12"/>
    <x v="2"/>
    <x v="11"/>
    <x v="5"/>
    <x v="1"/>
    <n v="70"/>
    <x v="15"/>
    <x v="0"/>
  </r>
  <r>
    <n v="43393"/>
    <x v="48"/>
    <n v="0"/>
    <x v="10"/>
    <x v="10"/>
    <x v="2"/>
    <x v="11"/>
    <x v="5"/>
    <x v="1"/>
    <n v="70"/>
    <x v="13"/>
    <x v="0"/>
  </r>
  <r>
    <n v="43394"/>
    <x v="48"/>
    <n v="0"/>
    <x v="2"/>
    <x v="2"/>
    <x v="1"/>
    <x v="11"/>
    <x v="5"/>
    <x v="1"/>
    <n v="70"/>
    <x v="2"/>
    <x v="0"/>
  </r>
  <r>
    <n v="43395"/>
    <x v="48"/>
    <n v="0"/>
    <x v="3"/>
    <x v="3"/>
    <x v="1"/>
    <x v="11"/>
    <x v="5"/>
    <x v="1"/>
    <n v="70"/>
    <x v="3"/>
    <x v="0"/>
  </r>
  <r>
    <n v="43396"/>
    <x v="48"/>
    <n v="0"/>
    <x v="4"/>
    <x v="4"/>
    <x v="1"/>
    <x v="11"/>
    <x v="5"/>
    <x v="1"/>
    <n v="70"/>
    <x v="4"/>
    <x v="0"/>
  </r>
  <r>
    <n v="43397"/>
    <x v="48"/>
    <n v="0"/>
    <x v="5"/>
    <x v="5"/>
    <x v="1"/>
    <x v="11"/>
    <x v="5"/>
    <x v="1"/>
    <n v="70"/>
    <x v="5"/>
    <x v="0"/>
  </r>
  <r>
    <n v="43398"/>
    <x v="48"/>
    <n v="0"/>
    <x v="6"/>
    <x v="6"/>
    <x v="1"/>
    <x v="11"/>
    <x v="5"/>
    <x v="1"/>
    <n v="70"/>
    <x v="6"/>
    <x v="0"/>
  </r>
  <r>
    <n v="43399"/>
    <x v="48"/>
    <n v="20000"/>
    <x v="0"/>
    <x v="0"/>
    <x v="3"/>
    <x v="11"/>
    <x v="5"/>
    <x v="1"/>
    <n v="70"/>
    <x v="12"/>
    <x v="0"/>
  </r>
  <r>
    <n v="43400"/>
    <x v="48"/>
    <n v="20000"/>
    <x v="1"/>
    <x v="1"/>
    <x v="3"/>
    <x v="11"/>
    <x v="5"/>
    <x v="1"/>
    <n v="70"/>
    <x v="16"/>
    <x v="0"/>
  </r>
  <r>
    <n v="43401"/>
    <x v="48"/>
    <n v="0"/>
    <x v="9"/>
    <x v="9"/>
    <x v="2"/>
    <x v="11"/>
    <x v="5"/>
    <x v="1"/>
    <n v="70"/>
    <x v="11"/>
    <x v="0"/>
  </r>
  <r>
    <n v="43402"/>
    <x v="48"/>
    <n v="0"/>
    <x v="7"/>
    <x v="7"/>
    <x v="2"/>
    <x v="11"/>
    <x v="5"/>
    <x v="1"/>
    <n v="70"/>
    <x v="10"/>
    <x v="0"/>
  </r>
  <r>
    <n v="43403"/>
    <x v="48"/>
    <n v="0"/>
    <x v="7"/>
    <x v="7"/>
    <x v="1"/>
    <x v="11"/>
    <x v="5"/>
    <x v="1"/>
    <n v="70"/>
    <x v="7"/>
    <x v="0"/>
  </r>
  <r>
    <n v="43404"/>
    <x v="48"/>
    <n v="0"/>
    <x v="8"/>
    <x v="8"/>
    <x v="2"/>
    <x v="11"/>
    <x v="5"/>
    <x v="1"/>
    <n v="70"/>
    <x v="9"/>
    <x v="0"/>
  </r>
  <r>
    <n v="43405"/>
    <x v="48"/>
    <n v="0"/>
    <x v="8"/>
    <x v="8"/>
    <x v="1"/>
    <x v="11"/>
    <x v="5"/>
    <x v="1"/>
    <n v="70"/>
    <x v="8"/>
    <x v="0"/>
  </r>
  <r>
    <n v="43406"/>
    <x v="48"/>
    <n v="0"/>
    <x v="11"/>
    <x v="11"/>
    <x v="2"/>
    <x v="11"/>
    <x v="5"/>
    <x v="1"/>
    <n v="70"/>
    <x v="14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errorCaption="0" showError="1" missingCaption="0" updatedVersion="6" minRefreshableVersion="3" visualTotals="0" subtotalHiddenItems="1" rowGrandTotals="0" colGrandTotals="0" itemPrintTitles="1" createdVersion="6" indent="0" outline="1" outlineData="1" multipleFieldFilters="0" rowHeaderCaption="Tên xăng dầu">
  <location ref="B5:F21" firstHeaderRow="1" firstDataRow="2" firstDataCol="1"/>
  <pivotFields count="5">
    <pivotField axis="axisRow" allDrilled="1" showAll="0">
      <items count="50">
        <item x="2" e="0"/>
        <item x="4" e="0"/>
        <item x="6" e="0"/>
        <item x="7" e="0"/>
        <item x="0" e="0"/>
        <item x="1" e="0"/>
        <item x="8" e="0"/>
        <item x="9" e="0"/>
        <item x="10" e="0"/>
        <item x="11" e="0"/>
        <item x="12" e="0"/>
        <item x="13" e="0"/>
        <item x="14" e="0"/>
        <item x="15" e="0"/>
        <item x="16" e="0"/>
        <item x="17" e="0"/>
        <item x="18" e="0"/>
        <item x="19" e="0"/>
        <item x="20" e="0"/>
        <item x="21" e="0"/>
        <item x="22" e="0"/>
        <item x="23" e="0"/>
        <item x="24" e="0"/>
        <item x="3" e="0"/>
        <item x="25" e="0"/>
        <item x="26" e="0"/>
        <item x="27" e="0"/>
        <item x="28" e="0"/>
        <item x="29" e="0"/>
        <item x="30" e="0"/>
        <item x="31" e="0"/>
        <item x="32" e="0"/>
        <item x="33" e="0"/>
        <item x="34" e="0"/>
        <item x="35" e="0"/>
        <item x="36" e="0"/>
        <item x="37" e="0"/>
        <item x="38" e="0"/>
        <item x="39" e="0"/>
        <item x="40" e="0"/>
        <item x="41" e="0"/>
        <item x="42" e="0"/>
        <item x="43" e="0"/>
        <item x="44" e="0"/>
        <item x="45" e="0"/>
        <item x="46" e="0"/>
        <item x="47" e="0"/>
        <item x="48" e="0"/>
        <item x="5" e="0"/>
        <item t="default"/>
      </items>
    </pivotField>
    <pivotField axis="axisRow" allDrilled="1" showAll="0" defaultAttributeDrillState="1">
      <items count="14">
        <item x="3"/>
        <item x="11"/>
        <item x="12"/>
        <item x="2"/>
        <item x="0"/>
        <item x="4"/>
        <item x="5"/>
        <item x="6"/>
        <item x="7"/>
        <item x="1"/>
        <item x="8"/>
        <item x="9"/>
        <item x="10"/>
        <item t="default"/>
      </items>
    </pivotField>
    <pivotField axis="axisRow" allDrilled="1" showAll="0" sortType="descending" defaultAttributeDrillState="1">
      <items count="4">
        <item x="2"/>
        <item x="1"/>
        <item x="0"/>
        <item t="default"/>
      </items>
    </pivotField>
    <pivotField dataField="1" showAll="0"/>
    <pivotField axis="axisCol" allDrilled="1" showAll="0" dataSourceSort="1" defaultAttributeDrillState="1">
      <items count="5">
        <item x="0"/>
        <item x="1"/>
        <item x="2"/>
        <item x="3"/>
        <item t="default"/>
      </items>
    </pivotField>
  </pivotFields>
  <rowFields count="3">
    <field x="2"/>
    <field x="1"/>
    <field x="0"/>
  </rowFields>
  <rowItems count="15">
    <i>
      <x/>
    </i>
    <i r="1">
      <x/>
    </i>
    <i r="2">
      <x v="2"/>
    </i>
    <i r="2">
      <x v="3"/>
    </i>
    <i r="1">
      <x v="3"/>
    </i>
    <i r="2">
      <x v="48"/>
    </i>
    <i>
      <x v="1"/>
    </i>
    <i r="1">
      <x v="9"/>
    </i>
    <i r="2">
      <x v="1"/>
    </i>
    <i r="2">
      <x v="23"/>
    </i>
    <i>
      <x v="2"/>
    </i>
    <i r="1">
      <x v="4"/>
    </i>
    <i r="2">
      <x/>
    </i>
    <i r="2">
      <x v="4"/>
    </i>
    <i r="2">
      <x v="5"/>
    </i>
  </rowItems>
  <colFields count="1">
    <field x="4"/>
  </colFields>
  <colItems count="4">
    <i>
      <x/>
    </i>
    <i>
      <x v="1"/>
    </i>
    <i>
      <x v="2"/>
    </i>
    <i>
      <x v="3"/>
    </i>
  </colItems>
  <dataFields count="1">
    <dataField name="so_luong" fld="3" baseField="2" baseItem="0"/>
  </dataFields>
  <formats count="86">
    <format dxfId="222">
      <pivotArea type="all" dataOnly="0" outline="0" fieldPosition="0"/>
    </format>
    <format dxfId="221">
      <pivotArea outline="0" collapsedLevelsAreSubtotals="1" fieldPosition="0"/>
    </format>
    <format dxfId="220">
      <pivotArea type="origin" dataOnly="0" labelOnly="1" outline="0" fieldPosition="0"/>
    </format>
    <format dxfId="219">
      <pivotArea type="topRight" dataOnly="0" labelOnly="1" outline="0" fieldPosition="0"/>
    </format>
    <format dxfId="218">
      <pivotArea field="2" type="button" dataOnly="0" labelOnly="1" outline="0" axis="axisRow" fieldPosition="0"/>
    </format>
    <format dxfId="217">
      <pivotArea dataOnly="0" labelOnly="1" fieldPosition="0">
        <references count="1">
          <reference field="2" count="0"/>
        </references>
      </pivotArea>
    </format>
    <format dxfId="216">
      <pivotArea dataOnly="0" labelOnly="1" fieldPosition="0">
        <references count="2">
          <reference field="1" count="4">
            <x v="0"/>
            <x v="1"/>
            <x v="2"/>
            <x v="3"/>
          </reference>
          <reference field="2" count="1" selected="0">
            <x v="0"/>
          </reference>
        </references>
      </pivotArea>
    </format>
    <format dxfId="215">
      <pivotArea dataOnly="0" labelOnly="1" fieldPosition="0">
        <references count="2">
          <reference field="1" count="4">
            <x v="9"/>
            <x v="10"/>
            <x v="11"/>
            <x v="12"/>
          </reference>
          <reference field="2" count="1" selected="0">
            <x v="1"/>
          </reference>
        </references>
      </pivotArea>
    </format>
    <format dxfId="214">
      <pivotArea dataOnly="0" labelOnly="1" fieldPosition="0">
        <references count="2">
          <reference field="1" count="5">
            <x v="4"/>
            <x v="5"/>
            <x v="6"/>
            <x v="7"/>
            <x v="8"/>
          </reference>
          <reference field="2" count="1" selected="0">
            <x v="2"/>
          </reference>
        </references>
      </pivotArea>
    </format>
    <format dxfId="213">
      <pivotArea dataOnly="0" labelOnly="1" fieldPosition="0">
        <references count="3">
          <reference field="0" count="3">
            <x v="45"/>
            <x v="46"/>
            <x v="47"/>
          </reference>
          <reference field="1" count="1" selected="0">
            <x v="1"/>
          </reference>
          <reference field="2" count="1" selected="0">
            <x v="0"/>
          </reference>
        </references>
      </pivotArea>
    </format>
    <format dxfId="212">
      <pivotArea dataOnly="0" labelOnly="1" fieldPosition="0">
        <references count="3">
          <reference field="0" count="2">
            <x v="46"/>
            <x v="47"/>
          </reference>
          <reference field="1" count="1" selected="0">
            <x v="2"/>
          </reference>
          <reference field="2" count="1" selected="0">
            <x v="0"/>
          </reference>
        </references>
      </pivotArea>
    </format>
    <format dxfId="211">
      <pivotArea dataOnly="0" labelOnly="1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210">
      <pivotArea dataOnly="0" labelOnly="1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209">
      <pivotArea dataOnly="0" labelOnly="1" fieldPosition="0">
        <references count="3">
          <reference field="0" count="10">
            <x v="1"/>
            <x v="23"/>
            <x v="24"/>
            <x v="25"/>
            <x v="26"/>
            <x v="27"/>
            <x v="28"/>
            <x v="29"/>
            <x v="30"/>
            <x v="31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208">
      <pivotArea dataOnly="0" labelOnly="1" fieldPosition="0">
        <references count="3">
          <reference field="0" count="2">
            <x v="32"/>
            <x v="33"/>
          </reference>
          <reference field="1" count="1" selected="0">
            <x v="10"/>
          </reference>
          <reference field="2" count="1" selected="0">
            <x v="1"/>
          </reference>
        </references>
      </pivotArea>
    </format>
    <format dxfId="207">
      <pivotArea dataOnly="0" labelOnly="1" fieldPosition="0">
        <references count="3">
          <reference field="0" count="5">
            <x v="34"/>
            <x v="35"/>
            <x v="36"/>
            <x v="37"/>
            <x v="38"/>
          </reference>
          <reference field="1" count="1" selected="0">
            <x v="11"/>
          </reference>
          <reference field="2" count="1" selected="0">
            <x v="1"/>
          </reference>
        </references>
      </pivotArea>
    </format>
    <format dxfId="206">
      <pivotArea dataOnly="0" labelOnly="1" fieldPosition="0">
        <references count="3">
          <reference field="0" count="6">
            <x v="39"/>
            <x v="40"/>
            <x v="41"/>
            <x v="42"/>
            <x v="43"/>
            <x v="44"/>
          </reference>
          <reference field="1" count="1" selected="0">
            <x v="12"/>
          </reference>
          <reference field="2" count="1" selected="0">
            <x v="1"/>
          </reference>
        </references>
      </pivotArea>
    </format>
    <format dxfId="205">
      <pivotArea dataOnly="0" labelOnly="1" fieldPosition="0">
        <references count="3">
          <reference field="0" count="5">
            <x v="0"/>
            <x v="4"/>
            <x v="5"/>
            <x v="6"/>
            <x v="7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204">
      <pivotArea dataOnly="0" labelOnly="1" fieldPosition="0">
        <references count="3">
          <reference field="0" count="9">
            <x v="8"/>
            <x v="9"/>
            <x v="10"/>
            <x v="11"/>
            <x v="12"/>
            <x v="13"/>
            <x v="14"/>
            <x v="15"/>
            <x v="16"/>
          </reference>
          <reference field="1" count="1" selected="0">
            <x v="5"/>
          </reference>
          <reference field="2" count="1" selected="0">
            <x v="2"/>
          </reference>
        </references>
      </pivotArea>
    </format>
    <format dxfId="203">
      <pivotArea dataOnly="0" labelOnly="1" fieldPosition="0">
        <references count="3">
          <reference field="0" count="1">
            <x v="17"/>
          </reference>
          <reference field="1" count="1" selected="0">
            <x v="6"/>
          </reference>
          <reference field="2" count="1" selected="0">
            <x v="2"/>
          </reference>
        </references>
      </pivotArea>
    </format>
    <format dxfId="202">
      <pivotArea dataOnly="0" labelOnly="1" fieldPosition="0">
        <references count="3">
          <reference field="0" count="1">
            <x v="18"/>
          </reference>
          <reference field="1" count="1" selected="0">
            <x v="7"/>
          </reference>
          <reference field="2" count="1" selected="0">
            <x v="2"/>
          </reference>
        </references>
      </pivotArea>
    </format>
    <format dxfId="201">
      <pivotArea dataOnly="0" labelOnly="1" fieldPosition="0">
        <references count="3">
          <reference field="0" count="4">
            <x v="19"/>
            <x v="20"/>
            <x v="21"/>
            <x v="22"/>
          </reference>
          <reference field="1" count="1" selected="0">
            <x v="8"/>
          </reference>
          <reference field="2" count="1" selected="0">
            <x v="2"/>
          </reference>
        </references>
      </pivotArea>
    </format>
    <format dxfId="200">
      <pivotArea type="all" dataOnly="0" outline="0" fieldPosition="0"/>
    </format>
    <format dxfId="199">
      <pivotArea outline="0" collapsedLevelsAreSubtotals="1" fieldPosition="0"/>
    </format>
    <format dxfId="198">
      <pivotArea type="origin" dataOnly="0" labelOnly="1" outline="0" fieldPosition="0"/>
    </format>
    <format dxfId="197">
      <pivotArea type="topRight" dataOnly="0" labelOnly="1" outline="0" fieldPosition="0"/>
    </format>
    <format dxfId="196">
      <pivotArea field="2" type="button" dataOnly="0" labelOnly="1" outline="0" axis="axisRow" fieldPosition="0"/>
    </format>
    <format dxfId="195">
      <pivotArea dataOnly="0" labelOnly="1" fieldPosition="0">
        <references count="1">
          <reference field="2" count="0"/>
        </references>
      </pivotArea>
    </format>
    <format dxfId="194">
      <pivotArea dataOnly="0" labelOnly="1" fieldPosition="0">
        <references count="2">
          <reference field="1" count="4">
            <x v="0"/>
            <x v="1"/>
            <x v="2"/>
            <x v="3"/>
          </reference>
          <reference field="2" count="1" selected="0">
            <x v="0"/>
          </reference>
        </references>
      </pivotArea>
    </format>
    <format dxfId="193">
      <pivotArea dataOnly="0" labelOnly="1" fieldPosition="0">
        <references count="2">
          <reference field="1" count="4">
            <x v="9"/>
            <x v="10"/>
            <x v="11"/>
            <x v="12"/>
          </reference>
          <reference field="2" count="1" selected="0">
            <x v="1"/>
          </reference>
        </references>
      </pivotArea>
    </format>
    <format dxfId="192">
      <pivotArea dataOnly="0" labelOnly="1" fieldPosition="0">
        <references count="2">
          <reference field="1" count="5">
            <x v="4"/>
            <x v="5"/>
            <x v="6"/>
            <x v="7"/>
            <x v="8"/>
          </reference>
          <reference field="2" count="1" selected="0">
            <x v="2"/>
          </reference>
        </references>
      </pivotArea>
    </format>
    <format dxfId="191">
      <pivotArea dataOnly="0" labelOnly="1" fieldPosition="0">
        <references count="3">
          <reference field="0" count="3">
            <x v="45"/>
            <x v="46"/>
            <x v="47"/>
          </reference>
          <reference field="1" count="1" selected="0">
            <x v="1"/>
          </reference>
          <reference field="2" count="1" selected="0">
            <x v="0"/>
          </reference>
        </references>
      </pivotArea>
    </format>
    <format dxfId="190">
      <pivotArea dataOnly="0" labelOnly="1" fieldPosition="0">
        <references count="3">
          <reference field="0" count="2">
            <x v="46"/>
            <x v="47"/>
          </reference>
          <reference field="1" count="1" selected="0">
            <x v="2"/>
          </reference>
          <reference field="2" count="1" selected="0">
            <x v="0"/>
          </reference>
        </references>
      </pivotArea>
    </format>
    <format dxfId="189">
      <pivotArea dataOnly="0" labelOnly="1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188">
      <pivotArea dataOnly="0" labelOnly="1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187">
      <pivotArea dataOnly="0" labelOnly="1" fieldPosition="0">
        <references count="3">
          <reference field="0" count="10">
            <x v="1"/>
            <x v="23"/>
            <x v="24"/>
            <x v="25"/>
            <x v="26"/>
            <x v="27"/>
            <x v="28"/>
            <x v="29"/>
            <x v="30"/>
            <x v="31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186">
      <pivotArea dataOnly="0" labelOnly="1" fieldPosition="0">
        <references count="3">
          <reference field="0" count="2">
            <x v="32"/>
            <x v="33"/>
          </reference>
          <reference field="1" count="1" selected="0">
            <x v="10"/>
          </reference>
          <reference field="2" count="1" selected="0">
            <x v="1"/>
          </reference>
        </references>
      </pivotArea>
    </format>
    <format dxfId="185">
      <pivotArea dataOnly="0" labelOnly="1" fieldPosition="0">
        <references count="3">
          <reference field="0" count="5">
            <x v="34"/>
            <x v="35"/>
            <x v="36"/>
            <x v="37"/>
            <x v="38"/>
          </reference>
          <reference field="1" count="1" selected="0">
            <x v="11"/>
          </reference>
          <reference field="2" count="1" selected="0">
            <x v="1"/>
          </reference>
        </references>
      </pivotArea>
    </format>
    <format dxfId="184">
      <pivotArea dataOnly="0" labelOnly="1" fieldPosition="0">
        <references count="3">
          <reference field="0" count="6">
            <x v="39"/>
            <x v="40"/>
            <x v="41"/>
            <x v="42"/>
            <x v="43"/>
            <x v="44"/>
          </reference>
          <reference field="1" count="1" selected="0">
            <x v="12"/>
          </reference>
          <reference field="2" count="1" selected="0">
            <x v="1"/>
          </reference>
        </references>
      </pivotArea>
    </format>
    <format dxfId="183">
      <pivotArea dataOnly="0" labelOnly="1" fieldPosition="0">
        <references count="3">
          <reference field="0" count="5">
            <x v="0"/>
            <x v="4"/>
            <x v="5"/>
            <x v="6"/>
            <x v="7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182">
      <pivotArea dataOnly="0" labelOnly="1" fieldPosition="0">
        <references count="3">
          <reference field="0" count="9">
            <x v="8"/>
            <x v="9"/>
            <x v="10"/>
            <x v="11"/>
            <x v="12"/>
            <x v="13"/>
            <x v="14"/>
            <x v="15"/>
            <x v="16"/>
          </reference>
          <reference field="1" count="1" selected="0">
            <x v="5"/>
          </reference>
          <reference field="2" count="1" selected="0">
            <x v="2"/>
          </reference>
        </references>
      </pivotArea>
    </format>
    <format dxfId="181">
      <pivotArea dataOnly="0" labelOnly="1" fieldPosition="0">
        <references count="3">
          <reference field="0" count="1">
            <x v="17"/>
          </reference>
          <reference field="1" count="1" selected="0">
            <x v="6"/>
          </reference>
          <reference field="2" count="1" selected="0">
            <x v="2"/>
          </reference>
        </references>
      </pivotArea>
    </format>
    <format dxfId="180">
      <pivotArea dataOnly="0" labelOnly="1" fieldPosition="0">
        <references count="3">
          <reference field="0" count="1">
            <x v="18"/>
          </reference>
          <reference field="1" count="1" selected="0">
            <x v="7"/>
          </reference>
          <reference field="2" count="1" selected="0">
            <x v="2"/>
          </reference>
        </references>
      </pivotArea>
    </format>
    <format dxfId="179">
      <pivotArea dataOnly="0" labelOnly="1" fieldPosition="0">
        <references count="3">
          <reference field="0" count="4">
            <x v="19"/>
            <x v="20"/>
            <x v="21"/>
            <x v="22"/>
          </reference>
          <reference field="1" count="1" selected="0">
            <x v="8"/>
          </reference>
          <reference field="2" count="1" selected="0">
            <x v="2"/>
          </reference>
        </references>
      </pivotArea>
    </format>
    <format dxfId="178">
      <pivotArea type="origin" dataOnly="0" labelOnly="1" outline="0" fieldPosition="0"/>
    </format>
    <format dxfId="177">
      <pivotArea field="2" type="button" dataOnly="0" labelOnly="1" outline="0" axis="axisRow" fieldPosition="0"/>
    </format>
    <format dxfId="176">
      <pivotArea dataOnly="0" labelOnly="1" fieldPosition="0">
        <references count="1">
          <reference field="2" count="0"/>
        </references>
      </pivotArea>
    </format>
    <format dxfId="175">
      <pivotArea dataOnly="0" labelOnly="1" fieldPosition="0">
        <references count="1">
          <reference field="2" count="0" defaultSubtotal="1"/>
        </references>
      </pivotArea>
    </format>
    <format dxfId="174">
      <pivotArea dataOnly="0" labelOnly="1" fieldPosition="0">
        <references count="2">
          <reference field="1" count="2">
            <x v="0"/>
            <x v="3"/>
          </reference>
          <reference field="2" count="1" selected="0">
            <x v="0"/>
          </reference>
        </references>
      </pivotArea>
    </format>
    <format dxfId="173">
      <pivotArea dataOnly="0" labelOnly="1" fieldPosition="0">
        <references count="2">
          <reference field="1" count="2" defaultSubtotal="1">
            <x v="0"/>
            <x v="3"/>
          </reference>
          <reference field="2" count="1" selected="0">
            <x v="0"/>
          </reference>
        </references>
      </pivotArea>
    </format>
    <format dxfId="172">
      <pivotArea dataOnly="0" labelOnly="1" fieldPosition="0">
        <references count="2">
          <reference field="1" count="1">
            <x v="9"/>
          </reference>
          <reference field="2" count="1" selected="0">
            <x v="1"/>
          </reference>
        </references>
      </pivotArea>
    </format>
    <format dxfId="171">
      <pivotArea dataOnly="0" labelOnly="1" fieldPosition="0">
        <references count="2">
          <reference field="1" count="1" defaultSubtotal="1">
            <x v="9"/>
          </reference>
          <reference field="2" count="1" selected="0">
            <x v="1"/>
          </reference>
        </references>
      </pivotArea>
    </format>
    <format dxfId="170">
      <pivotArea dataOnly="0" labelOnly="1" fieldPosition="0">
        <references count="2">
          <reference field="1" count="1">
            <x v="4"/>
          </reference>
          <reference field="2" count="1" selected="0">
            <x v="2"/>
          </reference>
        </references>
      </pivotArea>
    </format>
    <format dxfId="169">
      <pivotArea dataOnly="0" labelOnly="1" fieldPosition="0">
        <references count="2">
          <reference field="1" count="1" defaultSubtotal="1">
            <x v="4"/>
          </reference>
          <reference field="2" count="1" selected="0">
            <x v="2"/>
          </reference>
        </references>
      </pivotArea>
    </format>
    <format dxfId="168">
      <pivotArea dataOnly="0" labelOnly="1" outline="0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167">
      <pivotArea dataOnly="0" labelOnly="1" outline="0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166">
      <pivotArea dataOnly="0" labelOnly="1" outline="0" fieldPosition="0">
        <references count="3">
          <reference field="0" count="2">
            <x v="1"/>
            <x v="23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165">
      <pivotArea dataOnly="0" labelOnly="1" outline="0" fieldPosition="0">
        <references count="3">
          <reference field="0" count="2">
            <x v="0"/>
            <x v="5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164">
      <pivotArea type="origin" dataOnly="0" labelOnly="1" outline="0" fieldPosition="0"/>
    </format>
    <format dxfId="163">
      <pivotArea field="2" type="button" dataOnly="0" labelOnly="1" outline="0" axis="axisRow" fieldPosition="0"/>
    </format>
    <format dxfId="162">
      <pivotArea dataOnly="0" labelOnly="1" fieldPosition="0">
        <references count="1">
          <reference field="2" count="0"/>
        </references>
      </pivotArea>
    </format>
    <format dxfId="161">
      <pivotArea dataOnly="0" labelOnly="1" fieldPosition="0">
        <references count="1">
          <reference field="2" count="0" defaultSubtotal="1"/>
        </references>
      </pivotArea>
    </format>
    <format dxfId="160">
      <pivotArea dataOnly="0" labelOnly="1" fieldPosition="0">
        <references count="2">
          <reference field="1" count="2">
            <x v="0"/>
            <x v="3"/>
          </reference>
          <reference field="2" count="1" selected="0">
            <x v="0"/>
          </reference>
        </references>
      </pivotArea>
    </format>
    <format dxfId="159">
      <pivotArea dataOnly="0" labelOnly="1" fieldPosition="0">
        <references count="2">
          <reference field="1" count="2" defaultSubtotal="1">
            <x v="0"/>
            <x v="3"/>
          </reference>
          <reference field="2" count="1" selected="0">
            <x v="0"/>
          </reference>
        </references>
      </pivotArea>
    </format>
    <format dxfId="158">
      <pivotArea dataOnly="0" labelOnly="1" fieldPosition="0">
        <references count="2">
          <reference field="1" count="1">
            <x v="9"/>
          </reference>
          <reference field="2" count="1" selected="0">
            <x v="1"/>
          </reference>
        </references>
      </pivotArea>
    </format>
    <format dxfId="157">
      <pivotArea dataOnly="0" labelOnly="1" fieldPosition="0">
        <references count="2">
          <reference field="1" count="1" defaultSubtotal="1">
            <x v="9"/>
          </reference>
          <reference field="2" count="1" selected="0">
            <x v="1"/>
          </reference>
        </references>
      </pivotArea>
    </format>
    <format dxfId="156">
      <pivotArea dataOnly="0" labelOnly="1" fieldPosition="0">
        <references count="2">
          <reference field="1" count="1">
            <x v="4"/>
          </reference>
          <reference field="2" count="1" selected="0">
            <x v="2"/>
          </reference>
        </references>
      </pivotArea>
    </format>
    <format dxfId="155">
      <pivotArea dataOnly="0" labelOnly="1" fieldPosition="0">
        <references count="2">
          <reference field="1" count="1" defaultSubtotal="1">
            <x v="4"/>
          </reference>
          <reference field="2" count="1" selected="0">
            <x v="2"/>
          </reference>
        </references>
      </pivotArea>
    </format>
    <format dxfId="154">
      <pivotArea dataOnly="0" labelOnly="1" outline="0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153">
      <pivotArea dataOnly="0" labelOnly="1" outline="0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152">
      <pivotArea dataOnly="0" labelOnly="1" outline="0" fieldPosition="0">
        <references count="3">
          <reference field="0" count="2">
            <x v="1"/>
            <x v="23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151">
      <pivotArea dataOnly="0" labelOnly="1" outline="0" fieldPosition="0">
        <references count="3">
          <reference field="0" count="2">
            <x v="0"/>
            <x v="5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150">
      <pivotArea type="origin" dataOnly="0" labelOnly="1" outline="0" fieldPosition="0"/>
    </format>
    <format dxfId="149">
      <pivotArea field="2" type="button" dataOnly="0" labelOnly="1" outline="0" axis="axisRow" fieldPosition="0"/>
    </format>
    <format dxfId="148">
      <pivotArea dataOnly="0" labelOnly="1" fieldPosition="0">
        <references count="1">
          <reference field="2" count="0"/>
        </references>
      </pivotArea>
    </format>
    <format dxfId="147">
      <pivotArea dataOnly="0" labelOnly="1" fieldPosition="0">
        <references count="1">
          <reference field="2" count="0" defaultSubtotal="1"/>
        </references>
      </pivotArea>
    </format>
    <format dxfId="146">
      <pivotArea dataOnly="0" labelOnly="1" fieldPosition="0">
        <references count="2">
          <reference field="1" count="2">
            <x v="0"/>
            <x v="3"/>
          </reference>
          <reference field="2" count="1" selected="0">
            <x v="0"/>
          </reference>
        </references>
      </pivotArea>
    </format>
    <format dxfId="145">
      <pivotArea dataOnly="0" labelOnly="1" fieldPosition="0">
        <references count="2">
          <reference field="1" count="2" defaultSubtotal="1">
            <x v="0"/>
            <x v="3"/>
          </reference>
          <reference field="2" count="1" selected="0">
            <x v="0"/>
          </reference>
        </references>
      </pivotArea>
    </format>
    <format dxfId="144">
      <pivotArea dataOnly="0" labelOnly="1" fieldPosition="0">
        <references count="2">
          <reference field="1" count="1">
            <x v="9"/>
          </reference>
          <reference field="2" count="1" selected="0">
            <x v="1"/>
          </reference>
        </references>
      </pivotArea>
    </format>
    <format dxfId="143">
      <pivotArea dataOnly="0" labelOnly="1" fieldPosition="0">
        <references count="2">
          <reference field="1" count="1" defaultSubtotal="1">
            <x v="9"/>
          </reference>
          <reference field="2" count="1" selected="0">
            <x v="1"/>
          </reference>
        </references>
      </pivotArea>
    </format>
    <format dxfId="142">
      <pivotArea dataOnly="0" labelOnly="1" fieldPosition="0">
        <references count="2">
          <reference field="1" count="1">
            <x v="4"/>
          </reference>
          <reference field="2" count="1" selected="0">
            <x v="2"/>
          </reference>
        </references>
      </pivotArea>
    </format>
    <format dxfId="141">
      <pivotArea dataOnly="0" labelOnly="1" fieldPosition="0">
        <references count="2">
          <reference field="1" count="1" defaultSubtotal="1">
            <x v="4"/>
          </reference>
          <reference field="2" count="1" selected="0">
            <x v="2"/>
          </reference>
        </references>
      </pivotArea>
    </format>
    <format dxfId="140">
      <pivotArea dataOnly="0" labelOnly="1" outline="0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139">
      <pivotArea dataOnly="0" labelOnly="1" outline="0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138">
      <pivotArea dataOnly="0" labelOnly="1" outline="0" fieldPosition="0">
        <references count="3">
          <reference field="0" count="2">
            <x v="1"/>
            <x v="23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137">
      <pivotArea dataOnly="0" labelOnly="1" outline="0" fieldPosition="0">
        <references count="3">
          <reference field="0" count="2">
            <x v="0"/>
            <x v="5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</formats>
  <pivotHierarchies count="8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8" showRowHeaders="1" showColHeaders="1" showRowStripes="0" showColStripes="0" showLastColumn="1"/>
  <rowHierarchiesUsage count="3">
    <rowHierarchyUsage hierarchyUsage="7"/>
    <rowHierarchyUsage hierarchyUsage="3"/>
    <rowHierarchyUsage hierarchyUsage="2"/>
  </rowHierarchiesUsage>
  <colHierarchiesUsage count="1">
    <colHierarchyUsage hierarchyUsage="6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_socai]"/>
        <x15:activeTabTopLevelEntity name="[tb_loaixd2]"/>
        <x15:activeTabTopLevelEntity name="[tb_tructhuoc]"/>
        <x15:activeTabTopLevelEntity name="[tb_nguon_nx]"/>
      </x15:pivotTableUISettings>
    </ext>
  </extLst>
</pivotTableDefinition>
</file>

<file path=xl/pivotTables/pivotTable2.xml><?xml version="1.0" encoding="utf-8"?>
<pivotTableDefinition xmlns="http://schemas.openxmlformats.org/spreadsheetml/2006/main" name="nxt_pv_table" cacheId="70" applyNumberFormats="0" applyBorderFormats="0" applyFontFormats="0" applyPatternFormats="0" applyAlignmentFormats="0" applyWidthHeightFormats="1" dataCaption="Values" updatedVersion="6" minRefreshableVersion="3" showDrill="0" rowGrandTotals="0" colGrandTotals="0" mergeItem="1" createdVersion="6" indent="0" outline="1" outlineData="1" multipleFieldFilters="0" rowHeaderCaption="Tên Xăng Dầu" fieldListSortAscending="1">
  <location ref="G9:AB84" firstHeaderRow="1" firstDataRow="4" firstDataCol="1"/>
  <pivotFields count="13"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efaultSubtotal="0">
      <items count="49">
        <item x="36"/>
        <item x="9"/>
        <item x="25"/>
        <item x="39"/>
        <item x="34"/>
        <item x="31"/>
        <item x="32"/>
        <item x="5"/>
        <item x="4"/>
        <item x="30"/>
        <item x="29"/>
        <item x="2"/>
        <item x="16"/>
        <item x="19"/>
        <item x="42"/>
        <item x="40"/>
        <item x="41"/>
        <item x="10"/>
        <item x="33"/>
        <item x="11"/>
        <item x="22"/>
        <item x="17"/>
        <item x="18"/>
        <item x="6"/>
        <item x="7"/>
        <item x="23"/>
        <item x="44"/>
        <item x="45"/>
        <item x="26"/>
        <item x="27"/>
        <item x="46"/>
        <item x="47"/>
        <item x="24"/>
        <item x="20"/>
        <item x="8"/>
        <item x="13"/>
        <item x="43"/>
        <item x="28"/>
        <item x="21"/>
        <item x="15"/>
        <item x="14"/>
        <item x="12"/>
        <item x="37"/>
        <item x="38"/>
        <item x="35"/>
        <item x="0"/>
        <item x="1"/>
        <item x="48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 defaultSubtotal="0">
      <items count="14">
        <item x="3"/>
        <item sd="0" x="0"/>
        <item sd="0" x="1"/>
        <item x="4"/>
        <item x="9"/>
        <item x="7"/>
        <item x="10"/>
        <item x="5"/>
        <item x="12"/>
        <item x="6"/>
        <item x="8"/>
        <item x="2"/>
        <item m="1" x="13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 defaultSubtotal="0">
      <items count="15">
        <item x="5"/>
        <item x="8"/>
        <item n="(blank)" m="1" x="13"/>
        <item x="0"/>
        <item x="1"/>
        <item x="9"/>
        <item x="12"/>
        <item x="10"/>
        <item x="7"/>
        <item x="2"/>
        <item x="3"/>
        <item x="4"/>
        <item x="6"/>
        <item m="1" x="14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subtotalTop="0" showAll="0" sumSubtotal="1">
      <items count="6">
        <item x="0"/>
        <item x="2"/>
        <item x="1"/>
        <item x="3"/>
        <item m="1" x="4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umSubtotal="1">
      <items count="15">
        <item x="3"/>
        <item x="4"/>
        <item x="8"/>
        <item x="2"/>
        <item x="6"/>
        <item x="9"/>
        <item x="5"/>
        <item x="1"/>
        <item x="11"/>
        <item x="7"/>
        <item x="10"/>
        <item x="0"/>
        <item m="1" x="12"/>
        <item m="1" x="1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efaultSubtotal="0">
      <items count="8">
        <item x="4"/>
        <item x="5"/>
        <item sd="0" m="1" x="6"/>
        <item x="0"/>
        <item x="1"/>
        <item x="2"/>
        <item x="3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umSubtotal="1">
      <items count="5">
        <item x="0"/>
        <item n="DM nhờn" m="1" x="2"/>
        <item n="DM nhờn2" x="1"/>
        <item m="1" x="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8"/>
    <field x="7"/>
    <field x="6"/>
    <field x="1"/>
  </rowFields>
  <rowItems count="72">
    <i>
      <x/>
    </i>
    <i r="1">
      <x v="3"/>
    </i>
    <i r="2">
      <x v="11"/>
    </i>
    <i r="3">
      <x v="45"/>
    </i>
    <i r="3">
      <x v="46"/>
    </i>
    <i r="1">
      <x v="4"/>
    </i>
    <i r="2">
      <x v="7"/>
    </i>
    <i r="3">
      <x v="11"/>
    </i>
    <i r="1">
      <x v="5"/>
    </i>
    <i r="2">
      <x v="3"/>
    </i>
    <i r="3">
      <x v="8"/>
    </i>
    <i r="3">
      <x v="48"/>
    </i>
    <i r="1">
      <x v="6"/>
    </i>
    <i r="2">
      <x/>
    </i>
    <i r="3">
      <x v="7"/>
    </i>
    <i r="3">
      <x v="8"/>
    </i>
    <i r="3">
      <x v="48"/>
    </i>
    <i>
      <x v="2"/>
    </i>
    <i r="1">
      <x/>
    </i>
    <i r="2">
      <x v="1"/>
    </i>
    <i r="3">
      <x v="1"/>
    </i>
    <i r="3">
      <x v="17"/>
    </i>
    <i r="3">
      <x v="19"/>
    </i>
    <i r="3">
      <x v="23"/>
    </i>
    <i r="3">
      <x v="24"/>
    </i>
    <i r="3">
      <x v="34"/>
    </i>
    <i r="3">
      <x v="35"/>
    </i>
    <i r="3">
      <x v="39"/>
    </i>
    <i r="3">
      <x v="40"/>
    </i>
    <i r="3">
      <x v="41"/>
    </i>
    <i r="2">
      <x v="4"/>
    </i>
    <i r="3">
      <x v="20"/>
    </i>
    <i r="3">
      <x v="38"/>
    </i>
    <i r="2">
      <x v="6"/>
    </i>
    <i r="3">
      <x v="12"/>
    </i>
    <i r="3">
      <x v="13"/>
    </i>
    <i r="3">
      <x v="21"/>
    </i>
    <i r="3">
      <x v="22"/>
    </i>
    <i r="3">
      <x v="33"/>
    </i>
    <i r="2">
      <x v="9"/>
    </i>
    <i r="3">
      <x v="2"/>
    </i>
    <i r="3">
      <x v="25"/>
    </i>
    <i r="3">
      <x v="28"/>
    </i>
    <i r="3">
      <x v="29"/>
    </i>
    <i r="3">
      <x v="32"/>
    </i>
    <i r="3">
      <x v="37"/>
    </i>
    <i r="1">
      <x v="1"/>
    </i>
    <i r="2">
      <x v="2"/>
    </i>
    <i r="3">
      <x v="5"/>
    </i>
    <i r="3">
      <x v="6"/>
    </i>
    <i r="3">
      <x v="9"/>
    </i>
    <i r="3">
      <x v="10"/>
    </i>
    <i r="3">
      <x v="18"/>
    </i>
    <i r="2">
      <x v="4"/>
    </i>
    <i r="3">
      <x/>
    </i>
    <i r="3">
      <x v="3"/>
    </i>
    <i r="3">
      <x v="14"/>
    </i>
    <i r="3">
      <x v="15"/>
    </i>
    <i r="3">
      <x v="16"/>
    </i>
    <i r="3">
      <x v="36"/>
    </i>
    <i r="3">
      <x v="42"/>
    </i>
    <i r="3">
      <x v="43"/>
    </i>
    <i r="3">
      <x v="44"/>
    </i>
    <i r="2">
      <x v="5"/>
    </i>
    <i r="3">
      <x v="4"/>
    </i>
    <i r="2">
      <x v="8"/>
    </i>
    <i r="3">
      <x v="47"/>
    </i>
    <i r="2">
      <x v="10"/>
    </i>
    <i r="3">
      <x v="26"/>
    </i>
    <i r="3">
      <x v="27"/>
    </i>
    <i r="3">
      <x v="30"/>
    </i>
    <i r="3">
      <x v="31"/>
    </i>
  </rowItems>
  <colFields count="3">
    <field x="5"/>
    <field x="4"/>
    <field x="3"/>
  </colFields>
  <colItems count="21">
    <i>
      <x/>
      <x v="3"/>
      <x v="1"/>
    </i>
    <i r="1">
      <x v="4"/>
      <x v="2"/>
    </i>
    <i t="sum">
      <x/>
    </i>
    <i>
      <x v="1"/>
      <x v="1"/>
      <x v="10"/>
    </i>
    <i r="1">
      <x v="5"/>
      <x v="4"/>
    </i>
    <i r="1">
      <x v="6"/>
      <x v="8"/>
    </i>
    <i r="1">
      <x v="7"/>
      <x v="6"/>
    </i>
    <i r="1">
      <x v="8"/>
      <x v="5"/>
    </i>
    <i r="1">
      <x v="14"/>
      <x v="13"/>
    </i>
    <i t="sum">
      <x v="1"/>
    </i>
    <i>
      <x v="2"/>
      <x/>
      <x v="7"/>
    </i>
    <i r="1">
      <x v="1"/>
      <x v="10"/>
    </i>
    <i r="1">
      <x v="8"/>
      <x v="5"/>
    </i>
    <i r="1">
      <x v="9"/>
      <x v="11"/>
    </i>
    <i r="1">
      <x v="10"/>
      <x/>
    </i>
    <i r="1">
      <x v="11"/>
      <x v="3"/>
    </i>
    <i r="1">
      <x v="12"/>
      <x v="9"/>
    </i>
    <i t="sum">
      <x v="2"/>
    </i>
    <i>
      <x v="3"/>
      <x v="3"/>
      <x v="1"/>
    </i>
    <i r="1">
      <x v="4"/>
      <x v="2"/>
    </i>
    <i t="sum">
      <x v="3"/>
    </i>
  </colItems>
  <dataFields count="1">
    <dataField name="Tên Xăng Dầu" fld="2" baseField="0" baseItem="0"/>
  </dataFields>
  <formats count="136">
    <format dxfId="136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135">
      <pivotArea dataOnly="0" labelOnly="1" fieldPosition="0">
        <references count="3">
          <reference field="3" count="1">
            <x v="10"/>
          </reference>
          <reference field="4" count="1" selected="0">
            <x v="1"/>
          </reference>
          <reference field="5" count="1" selected="0">
            <x v="1"/>
          </reference>
        </references>
      </pivotArea>
    </format>
    <format dxfId="134">
      <pivotArea dataOnly="0" labelOnly="1" fieldPosition="0">
        <references count="3">
          <reference field="3" count="4">
            <x v="4"/>
            <x v="5"/>
            <x v="6"/>
            <x v="8"/>
          </reference>
          <reference field="4" count="1" selected="0">
            <x v="2"/>
          </reference>
          <reference field="5" count="1" selected="0">
            <x v="1"/>
          </reference>
        </references>
      </pivotArea>
    </format>
    <format dxfId="133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132">
      <pivotArea dataOnly="0" labelOnly="1" fieldPosition="0">
        <references count="3">
          <reference field="3" count="5">
            <x v="0"/>
            <x v="3"/>
            <x v="5"/>
            <x v="9"/>
            <x v="11"/>
          </reference>
          <reference field="4" count="1" selected="0">
            <x v="2"/>
          </reference>
          <reference field="5" count="1" selected="0">
            <x v="2"/>
          </reference>
        </references>
      </pivotArea>
    </format>
    <format dxfId="131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3"/>
          </reference>
        </references>
      </pivotArea>
    </format>
    <format dxfId="130">
      <pivotArea dataOnly="0" labelOnly="1" fieldPosition="0">
        <references count="1">
          <reference field="5" count="0"/>
        </references>
      </pivotArea>
    </format>
    <format dxfId="129">
      <pivotArea dataOnly="0" labelOnly="1" fieldPosition="0">
        <references count="2">
          <reference field="4" count="1">
            <x v="2"/>
          </reference>
          <reference field="5" count="1" selected="0">
            <x v="0"/>
          </reference>
        </references>
      </pivotArea>
    </format>
    <format dxfId="128">
      <pivotArea dataOnly="0" labelOnly="1" fieldPosition="0">
        <references count="2">
          <reference field="4" count="2">
            <x v="1"/>
            <x v="2"/>
          </reference>
          <reference field="5" count="1" selected="0">
            <x v="1"/>
          </reference>
        </references>
      </pivotArea>
    </format>
    <format dxfId="127">
      <pivotArea dataOnly="0" labelOnly="1" fieldPosition="0">
        <references count="2">
          <reference field="4" count="2">
            <x v="0"/>
            <x v="2"/>
          </reference>
          <reference field="5" count="1" selected="0">
            <x v="2"/>
          </reference>
        </references>
      </pivotArea>
    </format>
    <format dxfId="126">
      <pivotArea dataOnly="0" labelOnly="1" fieldPosition="0">
        <references count="1">
          <reference field="5" count="0"/>
        </references>
      </pivotArea>
    </format>
    <format dxfId="125">
      <pivotArea dataOnly="0" labelOnly="1" fieldPosition="0">
        <references count="2">
          <reference field="4" count="1">
            <x v="2"/>
          </reference>
          <reference field="5" count="1" selected="0">
            <x v="0"/>
          </reference>
        </references>
      </pivotArea>
    </format>
    <format dxfId="124">
      <pivotArea dataOnly="0" labelOnly="1" fieldPosition="0">
        <references count="2">
          <reference field="4" count="2">
            <x v="0"/>
            <x v="2"/>
          </reference>
          <reference field="5" count="1" selected="0">
            <x v="2"/>
          </reference>
        </references>
      </pivotArea>
    </format>
    <format dxfId="123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122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121">
      <pivotArea dataOnly="0" labelOnly="1" fieldPosition="0">
        <references count="3">
          <reference field="3" count="5">
            <x v="0"/>
            <x v="3"/>
            <x v="5"/>
            <x v="9"/>
            <x v="11"/>
          </reference>
          <reference field="4" count="1" selected="0">
            <x v="2"/>
          </reference>
          <reference field="5" count="1" selected="0">
            <x v="2"/>
          </reference>
        </references>
      </pivotArea>
    </format>
    <format dxfId="120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3"/>
          </reference>
        </references>
      </pivotArea>
    </format>
    <format dxfId="119">
      <pivotArea dataOnly="0" labelOnly="1" fieldPosition="0">
        <references count="3">
          <reference field="3" count="1">
            <x v="5"/>
          </reference>
          <reference field="4" count="1" selected="0">
            <x v="2"/>
          </reference>
          <reference field="5" count="1" selected="0">
            <x v="1"/>
          </reference>
        </references>
      </pivotArea>
    </format>
    <format dxfId="118">
      <pivotArea dataOnly="0" labelOnly="1" fieldPosition="0">
        <references count="1">
          <reference field="6" count="0"/>
        </references>
      </pivotArea>
    </format>
    <format dxfId="117">
      <pivotArea dataOnly="0" labelOnly="1" fieldPosition="0">
        <references count="1">
          <reference field="8" count="1">
            <x v="0"/>
          </reference>
        </references>
      </pivotArea>
    </format>
    <format dxfId="116">
      <pivotArea dataOnly="0" labelOnly="1" fieldPosition="0">
        <references count="1">
          <reference field="8" count="1">
            <x v="2"/>
          </reference>
        </references>
      </pivotArea>
    </format>
    <format dxfId="115">
      <pivotArea outline="0" collapsedLevelsAreSubtotals="1" fieldPosition="0"/>
    </format>
    <format dxfId="114">
      <pivotArea outline="0" collapsedLevelsAreSubtotals="1" fieldPosition="0"/>
    </format>
    <format dxfId="113">
      <pivotArea collapsedLevelsAreSubtotals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112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111">
      <pivotArea collapsedLevelsAreSubtotals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110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109">
      <pivotArea collapsedLevelsAreSubtotals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108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107">
      <pivotArea collapsedLevelsAreSubtotals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106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105">
      <pivotArea dataOnly="0" labelOnly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104">
      <pivotArea dataOnly="0" labelOnly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103">
      <pivotArea collapsedLevelsAreSubtotals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102">
      <pivotArea dataOnly="0" labelOnly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101">
      <pivotArea collapsedLevelsAreSubtotals="1" fieldPosition="0">
        <references count="1">
          <reference field="8" count="1">
            <x v="2"/>
          </reference>
        </references>
      </pivotArea>
    </format>
    <format dxfId="100">
      <pivotArea dataOnly="0" labelOnly="1" fieldPosition="0">
        <references count="1">
          <reference field="8" count="1">
            <x v="2"/>
          </reference>
        </references>
      </pivotArea>
    </format>
    <format dxfId="99">
      <pivotArea collapsedLevelsAreSubtotals="1" fieldPosition="0">
        <references count="3">
          <reference field="6" count="1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8">
      <pivotArea dataOnly="0" labelOnly="1" fieldPosition="0">
        <references count="3">
          <reference field="6" count="1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7">
      <pivotArea collapsedLevelsAreSubtotals="1" fieldPosition="0">
        <references count="3">
          <reference field="6" count="1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6">
      <pivotArea dataOnly="0" labelOnly="1" fieldPosition="0">
        <references count="3">
          <reference field="6" count="1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5">
      <pivotArea collapsedLevelsAreSubtotals="1" fieldPosition="0">
        <references count="3">
          <reference field="6" count="1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4">
      <pivotArea dataOnly="0" labelOnly="1" fieldPosition="0">
        <references count="3">
          <reference field="6" count="1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3">
      <pivotArea collapsedLevelsAreSubtotals="1" fieldPosition="0">
        <references count="3">
          <reference field="6" count="1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2">
      <pivotArea dataOnly="0" labelOnly="1" fieldPosition="0">
        <references count="3">
          <reference field="6" count="1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1">
      <pivotArea collapsedLevelsAreSubtotals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90">
      <pivotArea dataOnly="0" labelOnly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89">
      <pivotArea collapsedLevelsAreSubtotals="1" fieldPosition="0">
        <references count="3">
          <reference field="6" count="1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8">
      <pivotArea dataOnly="0" labelOnly="1" fieldPosition="0">
        <references count="3">
          <reference field="6" count="1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7">
      <pivotArea collapsedLevelsAreSubtotals="1" fieldPosition="0">
        <references count="3">
          <reference field="6" count="1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6">
      <pivotArea dataOnly="0" labelOnly="1" fieldPosition="0">
        <references count="3">
          <reference field="6" count="1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5">
      <pivotArea collapsedLevelsAreSubtotals="1" fieldPosition="0">
        <references count="3">
          <reference field="6" count="1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4">
      <pivotArea dataOnly="0" labelOnly="1" fieldPosition="0">
        <references count="3">
          <reference field="6" count="1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3">
      <pivotArea collapsedLevelsAreSubtotals="1" fieldPosition="0">
        <references count="3">
          <reference field="6" count="1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2">
      <pivotArea dataOnly="0" labelOnly="1" fieldPosition="0">
        <references count="3">
          <reference field="6" count="1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1">
      <pivotArea collapsedLevelsAreSubtotals="1" fieldPosition="0">
        <references count="3">
          <reference field="6" count="1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0">
      <pivotArea dataOnly="0" labelOnly="1" fieldPosition="0">
        <references count="3">
          <reference field="6" count="1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79">
      <pivotArea outline="0" collapsedLevelsAreSubtotals="1" fieldPosition="0"/>
    </format>
    <format dxfId="78">
      <pivotArea dataOnly="0" labelOnly="1" fieldPosition="0">
        <references count="1">
          <reference field="8" count="0"/>
        </references>
      </pivotArea>
    </format>
    <format dxfId="77">
      <pivotArea dataOnly="0" labelOnly="1" fieldPosition="0">
        <references count="2">
          <reference field="7" count="4">
            <x v="3"/>
            <x v="4"/>
            <x v="5"/>
            <x v="6"/>
          </reference>
          <reference field="8" count="1" selected="0">
            <x v="0"/>
          </reference>
        </references>
      </pivotArea>
    </format>
    <format dxfId="76">
      <pivotArea dataOnly="0" labelOnly="1" fieldPosition="0">
        <references count="2">
          <reference field="7" count="2">
            <x v="0"/>
            <x v="1"/>
          </reference>
          <reference field="8" count="1" selected="0">
            <x v="2"/>
          </reference>
        </references>
      </pivotArea>
    </format>
    <format dxfId="75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74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73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72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71">
      <pivotArea dataOnly="0" labelOnly="1" fieldPosition="0">
        <references count="3">
          <reference field="6" count="4">
            <x v="1"/>
            <x v="4"/>
            <x v="6"/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70">
      <pivotArea dataOnly="0" labelOnly="1" fieldPosition="0">
        <references count="3">
          <reference field="6" count="5">
            <x v="2"/>
            <x v="4"/>
            <x v="5"/>
            <x v="8"/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69">
      <pivotArea dataOnly="0" labelOnly="1" fieldPosition="0">
        <references count="4">
          <reference field="1" count="2">
            <x v="45"/>
            <x v="46"/>
          </reference>
          <reference field="6" count="1" selected="0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68">
      <pivotArea dataOnly="0" labelOnly="1" fieldPosition="0">
        <references count="4">
          <reference field="1" count="1">
            <x v="11"/>
          </reference>
          <reference field="6" count="1" selected="0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67">
      <pivotArea dataOnly="0" labelOnly="1" fieldPosition="0">
        <references count="4">
          <reference field="1" count="2">
            <x v="8"/>
            <x v="48"/>
          </reference>
          <reference field="6" count="1" selected="0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66">
      <pivotArea dataOnly="0" labelOnly="1" fieldPosition="0">
        <references count="4">
          <reference field="1" count="3">
            <x v="7"/>
            <x v="8"/>
            <x v="48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65">
      <pivotArea dataOnly="0" labelOnly="1" fieldPosition="0">
        <references count="4">
          <reference field="1" count="10">
            <x v="1"/>
            <x v="17"/>
            <x v="19"/>
            <x v="23"/>
            <x v="24"/>
            <x v="34"/>
            <x v="35"/>
            <x v="39"/>
            <x v="40"/>
            <x v="41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64">
      <pivotArea dataOnly="0" labelOnly="1" fieldPosition="0">
        <references count="4">
          <reference field="1" count="2">
            <x v="20"/>
            <x v="38"/>
          </reference>
          <reference field="6" count="1" selected="0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63">
      <pivotArea dataOnly="0" labelOnly="1" fieldPosition="0">
        <references count="4">
          <reference field="1" count="5">
            <x v="12"/>
            <x v="13"/>
            <x v="21"/>
            <x v="22"/>
            <x v="33"/>
          </reference>
          <reference field="6" count="1" selected="0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62">
      <pivotArea dataOnly="0" labelOnly="1" fieldPosition="0">
        <references count="4">
          <reference field="1" count="6">
            <x v="2"/>
            <x v="25"/>
            <x v="28"/>
            <x v="29"/>
            <x v="32"/>
            <x v="37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61">
      <pivotArea dataOnly="0" labelOnly="1" fieldPosition="0">
        <references count="4">
          <reference field="1" count="5">
            <x v="5"/>
            <x v="6"/>
            <x v="9"/>
            <x v="10"/>
            <x v="18"/>
          </reference>
          <reference field="6" count="1" selected="0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60">
      <pivotArea dataOnly="0" labelOnly="1" fieldPosition="0">
        <references count="4">
          <reference field="1" count="9">
            <x v="0"/>
            <x v="3"/>
            <x v="14"/>
            <x v="15"/>
            <x v="16"/>
            <x v="36"/>
            <x v="42"/>
            <x v="43"/>
            <x v="44"/>
          </reference>
          <reference field="6" count="1" selected="0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59">
      <pivotArea dataOnly="0" labelOnly="1" fieldPosition="0">
        <references count="4">
          <reference field="1" count="1">
            <x v="4"/>
          </reference>
          <reference field="6" count="1" selected="0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58">
      <pivotArea dataOnly="0" labelOnly="1" fieldPosition="0">
        <references count="4">
          <reference field="1" count="1">
            <x v="47"/>
          </reference>
          <reference field="6" count="1" selected="0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57">
      <pivotArea dataOnly="0" labelOnly="1" fieldPosition="0">
        <references count="4">
          <reference field="1" count="4">
            <x v="26"/>
            <x v="27"/>
            <x v="30"/>
            <x v="31"/>
          </reference>
          <reference field="6" count="1" selected="0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56">
      <pivotArea type="all" dataOnly="0" outline="0" fieldPosition="0"/>
    </format>
    <format dxfId="55">
      <pivotArea outline="0" collapsedLevelsAreSubtotals="1" fieldPosition="0"/>
    </format>
    <format dxfId="54">
      <pivotArea type="origin" dataOnly="0" labelOnly="1" outline="0" fieldPosition="0"/>
    </format>
    <format dxfId="53">
      <pivotArea field="5" type="button" dataOnly="0" labelOnly="1" outline="0" axis="axisCol" fieldPosition="0"/>
    </format>
    <format dxfId="52">
      <pivotArea field="4" type="button" dataOnly="0" labelOnly="1" outline="0" axis="axisCol" fieldPosition="1"/>
    </format>
    <format dxfId="51">
      <pivotArea field="3" type="button" dataOnly="0" labelOnly="1" outline="0" axis="axisCol" fieldPosition="2"/>
    </format>
    <format dxfId="50">
      <pivotArea type="topRight" dataOnly="0" labelOnly="1" outline="0" fieldPosition="0"/>
    </format>
    <format dxfId="49">
      <pivotArea field="8" type="button" dataOnly="0" labelOnly="1" outline="0" axis="axisRow" fieldPosition="0"/>
    </format>
    <format dxfId="48">
      <pivotArea dataOnly="0" labelOnly="1" fieldPosition="0">
        <references count="1">
          <reference field="8" count="0"/>
        </references>
      </pivotArea>
    </format>
    <format dxfId="47">
      <pivotArea dataOnly="0" labelOnly="1" fieldPosition="0">
        <references count="2">
          <reference field="7" count="4">
            <x v="3"/>
            <x v="4"/>
            <x v="5"/>
            <x v="6"/>
          </reference>
          <reference field="8" count="1" selected="0">
            <x v="0"/>
          </reference>
        </references>
      </pivotArea>
    </format>
    <format dxfId="46">
      <pivotArea dataOnly="0" labelOnly="1" fieldPosition="0">
        <references count="2">
          <reference field="7" count="2">
            <x v="0"/>
            <x v="1"/>
          </reference>
          <reference field="8" count="1" selected="0">
            <x v="2"/>
          </reference>
        </references>
      </pivotArea>
    </format>
    <format dxfId="45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44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43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42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41">
      <pivotArea dataOnly="0" labelOnly="1" fieldPosition="0">
        <references count="3">
          <reference field="6" count="4">
            <x v="1"/>
            <x v="4"/>
            <x v="6"/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40">
      <pivotArea dataOnly="0" labelOnly="1" fieldPosition="0">
        <references count="3">
          <reference field="6" count="5">
            <x v="2"/>
            <x v="4"/>
            <x v="5"/>
            <x v="8"/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39">
      <pivotArea dataOnly="0" labelOnly="1" fieldPosition="0">
        <references count="4">
          <reference field="1" count="2">
            <x v="45"/>
            <x v="46"/>
          </reference>
          <reference field="6" count="1" selected="0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38">
      <pivotArea dataOnly="0" labelOnly="1" fieldPosition="0">
        <references count="4">
          <reference field="1" count="1">
            <x v="11"/>
          </reference>
          <reference field="6" count="1" selected="0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37">
      <pivotArea dataOnly="0" labelOnly="1" fieldPosition="0">
        <references count="4">
          <reference field="1" count="2">
            <x v="8"/>
            <x v="48"/>
          </reference>
          <reference field="6" count="1" selected="0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36">
      <pivotArea dataOnly="0" labelOnly="1" fieldPosition="0">
        <references count="4">
          <reference field="1" count="3">
            <x v="7"/>
            <x v="8"/>
            <x v="48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35">
      <pivotArea dataOnly="0" labelOnly="1" fieldPosition="0">
        <references count="4">
          <reference field="1" count="10">
            <x v="1"/>
            <x v="17"/>
            <x v="19"/>
            <x v="23"/>
            <x v="24"/>
            <x v="34"/>
            <x v="35"/>
            <x v="39"/>
            <x v="40"/>
            <x v="41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4">
      <pivotArea dataOnly="0" labelOnly="1" fieldPosition="0">
        <references count="4">
          <reference field="1" count="2">
            <x v="20"/>
            <x v="38"/>
          </reference>
          <reference field="6" count="1" selected="0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3">
      <pivotArea dataOnly="0" labelOnly="1" fieldPosition="0">
        <references count="4">
          <reference field="1" count="5">
            <x v="12"/>
            <x v="13"/>
            <x v="21"/>
            <x v="22"/>
            <x v="33"/>
          </reference>
          <reference field="6" count="1" selected="0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2">
      <pivotArea dataOnly="0" labelOnly="1" fieldPosition="0">
        <references count="4">
          <reference field="1" count="6">
            <x v="2"/>
            <x v="25"/>
            <x v="28"/>
            <x v="29"/>
            <x v="32"/>
            <x v="37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1">
      <pivotArea dataOnly="0" labelOnly="1" fieldPosition="0">
        <references count="4">
          <reference field="1" count="5">
            <x v="5"/>
            <x v="6"/>
            <x v="9"/>
            <x v="10"/>
            <x v="18"/>
          </reference>
          <reference field="6" count="1" selected="0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30">
      <pivotArea dataOnly="0" labelOnly="1" fieldPosition="0">
        <references count="4">
          <reference field="1" count="9">
            <x v="0"/>
            <x v="3"/>
            <x v="14"/>
            <x v="15"/>
            <x v="16"/>
            <x v="36"/>
            <x v="42"/>
            <x v="43"/>
            <x v="44"/>
          </reference>
          <reference field="6" count="1" selected="0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29">
      <pivotArea dataOnly="0" labelOnly="1" fieldPosition="0">
        <references count="4">
          <reference field="1" count="1">
            <x v="4"/>
          </reference>
          <reference field="6" count="1" selected="0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28">
      <pivotArea dataOnly="0" labelOnly="1" fieldPosition="0">
        <references count="4">
          <reference field="1" count="1">
            <x v="47"/>
          </reference>
          <reference field="6" count="1" selected="0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27">
      <pivotArea dataOnly="0" labelOnly="1" fieldPosition="0">
        <references count="4">
          <reference field="1" count="4">
            <x v="26"/>
            <x v="27"/>
            <x v="30"/>
            <x v="31"/>
          </reference>
          <reference field="6" count="1" selected="0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26">
      <pivotArea dataOnly="0" labelOnly="1" outline="0" fieldPosition="0">
        <references count="1">
          <reference field="5" count="0"/>
        </references>
      </pivotArea>
    </format>
    <format dxfId="25">
      <pivotArea dataOnly="0" labelOnly="1" outline="0" fieldPosition="0">
        <references count="1">
          <reference field="5" count="0" sumSubtotal="1"/>
        </references>
      </pivotArea>
    </format>
    <format dxfId="24">
      <pivotArea dataOnly="0" labelOnly="1" fieldPosition="0">
        <references count="2">
          <reference field="4" count="2">
            <x v="3"/>
            <x v="4"/>
          </reference>
          <reference field="5" count="1" selected="0">
            <x v="0"/>
          </reference>
        </references>
      </pivotArea>
    </format>
    <format dxfId="23">
      <pivotArea dataOnly="0" labelOnly="1" fieldPosition="0">
        <references count="2">
          <reference field="4" count="5">
            <x v="1"/>
            <x v="5"/>
            <x v="6"/>
            <x v="7"/>
            <x v="8"/>
          </reference>
          <reference field="5" count="1" selected="0">
            <x v="1"/>
          </reference>
        </references>
      </pivotArea>
    </format>
    <format dxfId="22">
      <pivotArea dataOnly="0" labelOnly="1" fieldPosition="0">
        <references count="2">
          <reference field="4" count="6">
            <x v="0"/>
            <x v="8"/>
            <x v="9"/>
            <x v="10"/>
            <x v="11"/>
            <x v="12"/>
          </reference>
          <reference field="5" count="1" selected="0">
            <x v="2"/>
          </reference>
        </references>
      </pivotArea>
    </format>
    <format dxfId="21">
      <pivotArea dataOnly="0" labelOnly="1" fieldPosition="0">
        <references count="2">
          <reference field="4" count="2">
            <x v="3"/>
            <x v="4"/>
          </reference>
          <reference field="5" count="1" selected="0">
            <x v="3"/>
          </reference>
        </references>
      </pivotArea>
    </format>
    <format dxfId="20">
      <pivotArea dataOnly="0" labelOnly="1" fieldPosition="0">
        <references count="3">
          <reference field="3" count="1">
            <x v="1"/>
          </reference>
          <reference field="4" count="1" selected="0">
            <x v="3"/>
          </reference>
          <reference field="5" count="1" selected="0">
            <x v="0"/>
          </reference>
        </references>
      </pivotArea>
    </format>
    <format dxfId="19">
      <pivotArea dataOnly="0" labelOnly="1" fieldPosition="0">
        <references count="3">
          <reference field="3" count="1">
            <x v="2"/>
          </reference>
          <reference field="4" count="1" selected="0">
            <x v="4"/>
          </reference>
          <reference field="5" count="1" selected="0">
            <x v="0"/>
          </reference>
        </references>
      </pivotArea>
    </format>
    <format dxfId="18">
      <pivotArea dataOnly="0" labelOnly="1" fieldPosition="0">
        <references count="3">
          <reference field="3" count="1">
            <x v="10"/>
          </reference>
          <reference field="4" count="1" selected="0">
            <x v="1"/>
          </reference>
          <reference field="5" count="1" selected="0">
            <x v="1"/>
          </reference>
        </references>
      </pivotArea>
    </format>
    <format dxfId="17">
      <pivotArea dataOnly="0" labelOnly="1" fieldPosition="0">
        <references count="3">
          <reference field="3" count="1">
            <x v="4"/>
          </reference>
          <reference field="4" count="1" selected="0">
            <x v="5"/>
          </reference>
          <reference field="5" count="1" selected="0">
            <x v="1"/>
          </reference>
        </references>
      </pivotArea>
    </format>
    <format dxfId="16">
      <pivotArea dataOnly="0" labelOnly="1" fieldPosition="0">
        <references count="3">
          <reference field="3" count="1">
            <x v="8"/>
          </reference>
          <reference field="4" count="1" selected="0">
            <x v="6"/>
          </reference>
          <reference field="5" count="1" selected="0">
            <x v="1"/>
          </reference>
        </references>
      </pivotArea>
    </format>
    <format dxfId="15">
      <pivotArea dataOnly="0" labelOnly="1" fieldPosition="0">
        <references count="3">
          <reference field="3" count="1">
            <x v="6"/>
          </reference>
          <reference field="4" count="1" selected="0">
            <x v="7"/>
          </reference>
          <reference field="5" count="1" selected="0">
            <x v="1"/>
          </reference>
        </references>
      </pivotArea>
    </format>
    <format dxfId="14">
      <pivotArea dataOnly="0" labelOnly="1" fieldPosition="0">
        <references count="3">
          <reference field="3" count="1">
            <x v="5"/>
          </reference>
          <reference field="4" count="1" selected="0">
            <x v="8"/>
          </reference>
          <reference field="5" count="1" selected="0">
            <x v="1"/>
          </reference>
        </references>
      </pivotArea>
    </format>
    <format dxfId="13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12">
      <pivotArea dataOnly="0" labelOnly="1" fieldPosition="0">
        <references count="3">
          <reference field="3" count="1">
            <x v="5"/>
          </reference>
          <reference field="4" count="1" selected="0">
            <x v="8"/>
          </reference>
          <reference field="5" count="1" selected="0">
            <x v="2"/>
          </reference>
        </references>
      </pivotArea>
    </format>
    <format dxfId="11">
      <pivotArea dataOnly="0" labelOnly="1" fieldPosition="0">
        <references count="3">
          <reference field="3" count="1">
            <x v="11"/>
          </reference>
          <reference field="4" count="1" selected="0">
            <x v="9"/>
          </reference>
          <reference field="5" count="1" selected="0">
            <x v="2"/>
          </reference>
        </references>
      </pivotArea>
    </format>
    <format dxfId="10">
      <pivotArea dataOnly="0" labelOnly="1" fieldPosition="0">
        <references count="3">
          <reference field="3" count="1">
            <x v="0"/>
          </reference>
          <reference field="4" count="1" selected="0">
            <x v="10"/>
          </reference>
          <reference field="5" count="1" selected="0">
            <x v="2"/>
          </reference>
        </references>
      </pivotArea>
    </format>
    <format dxfId="9">
      <pivotArea dataOnly="0" labelOnly="1" fieldPosition="0">
        <references count="3">
          <reference field="3" count="1">
            <x v="3"/>
          </reference>
          <reference field="4" count="1" selected="0">
            <x v="11"/>
          </reference>
          <reference field="5" count="1" selected="0">
            <x v="2"/>
          </reference>
        </references>
      </pivotArea>
    </format>
    <format dxfId="8">
      <pivotArea dataOnly="0" labelOnly="1" fieldPosition="0">
        <references count="3">
          <reference field="3" count="1">
            <x v="9"/>
          </reference>
          <reference field="4" count="1" selected="0">
            <x v="12"/>
          </reference>
          <reference field="5" count="1" selected="0">
            <x v="2"/>
          </reference>
        </references>
      </pivotArea>
    </format>
    <format dxfId="7">
      <pivotArea dataOnly="0" labelOnly="1" fieldPosition="0">
        <references count="3">
          <reference field="3" count="1">
            <x v="1"/>
          </reference>
          <reference field="4" count="1" selected="0">
            <x v="3"/>
          </reference>
          <reference field="5" count="1" selected="0">
            <x v="3"/>
          </reference>
        </references>
      </pivotArea>
    </format>
    <format dxfId="6">
      <pivotArea dataOnly="0" labelOnly="1" fieldPosition="0">
        <references count="3">
          <reference field="3" count="1">
            <x v="2"/>
          </reference>
          <reference field="4" count="1" selected="0">
            <x v="4"/>
          </reference>
          <reference field="5" count="1" selected="0">
            <x v="3"/>
          </reference>
        </references>
      </pivotArea>
    </format>
    <format dxfId="5">
      <pivotArea dataOnly="0" labelOnly="1" fieldPosition="0">
        <references count="1">
          <reference field="8" count="1">
            <x v="0"/>
          </reference>
        </references>
      </pivotArea>
    </format>
    <format dxfId="4">
      <pivotArea dataOnly="0" labelOnly="1" fieldPosition="0">
        <references count="1">
          <reference field="8" count="1">
            <x v="0"/>
          </reference>
        </references>
      </pivotArea>
    </format>
    <format dxfId="3">
      <pivotArea collapsedLevelsAreSubtotals="1" fieldPosition="0">
        <references count="1">
          <reference field="8" count="1">
            <x v="0"/>
          </reference>
        </references>
      </pivotArea>
    </format>
    <format dxfId="2">
      <pivotArea dataOnly="0" labelOnly="1" fieldPosition="0">
        <references count="1">
          <reference field="8" count="1">
            <x v="0"/>
          </reference>
        </references>
      </pivotArea>
    </format>
    <format dxfId="1">
      <pivotArea collapsedLevelsAreSubtotals="1" fieldPosition="0">
        <references count="7">
          <reference field="1" count="1">
            <x v="7"/>
          </reference>
          <reference field="3" count="1" selected="0">
            <x v="8"/>
          </reference>
          <reference field="4" count="1" selected="0">
            <x v="6"/>
          </reference>
          <reference field="5" count="1" selected="0">
            <x v="1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</format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queryTables/queryTable1.xml><?xml version="1.0" encoding="utf-8"?>
<queryTable xmlns="http://schemas.openxmlformats.org/spreadsheetml/2006/main" name="postgres" connectionId="8" autoFormatId="16" applyNumberFormats="0" applyBorderFormats="0" applyFontFormats="0" applyPatternFormats="0" applyAlignmentFormats="0" applyWidthHeightFormats="0">
  <queryTableRefresh nextId="44">
    <queryTableFields count="43">
      <queryTableField id="1" name="dvi" tableColumnId="1"/>
      <queryTableField id="2" name="ngay" tableColumnId="2"/>
      <queryTableField id="3" name="ma_xd" tableColumnId="3"/>
      <queryTableField id="4" name="ten_xd" tableColumnId="4"/>
      <queryTableField id="5" name="chung_loai" tableColumnId="5"/>
      <queryTableField id="6" name="loai_phieu" tableColumnId="6"/>
      <queryTableField id="7" name="so" tableColumnId="7"/>
      <queryTableField id="8" name="theo_lenh_so" tableColumnId="8"/>
      <queryTableField id="9" name="nhiem_vu" tableColumnId="9"/>
      <queryTableField id="10" name="nguoi_nhan_hang" tableColumnId="10"/>
      <queryTableField id="11" name="so_xe" tableColumnId="11"/>
      <queryTableField id="12" name="chat_luong" tableColumnId="12"/>
      <queryTableField id="13" name="phai_xuat" tableColumnId="13"/>
      <queryTableField id="14" name="nhiet_do_tt" tableColumnId="14"/>
      <queryTableField id="15" name="ty_trong" tableColumnId="15"/>
      <queryTableField id="16" name="he_so_vcf" tableColumnId="16"/>
      <queryTableField id="17" name="thuc_xuat" tableColumnId="17"/>
      <queryTableField id="18" name="don_gia" tableColumnId="18"/>
      <queryTableField id="19" name="thanh_tien" tableColumnId="19"/>
      <queryTableField id="20" name="so_km" tableColumnId="20"/>
      <queryTableField id="21" name="so_gio" tableColumnId="21"/>
      <queryTableField id="22" name="dvvc" tableColumnId="22"/>
      <queryTableField id="23" name="id" tableColumnId="23"/>
      <queryTableField id="24" name="loaixd_id" tableColumnId="24"/>
      <queryTableField id="25" name="nguonnx_id" tableColumnId="25"/>
      <queryTableField id="26" name="cmt" tableColumnId="26"/>
      <queryTableField id="27" name="nguonnx_dvvc_id" tableColumnId="27"/>
      <queryTableField id="28" name="sscd" tableColumnId="28"/>
      <queryTableField id="29" name="denngay" tableColumnId="29"/>
      <queryTableField id="30" name="quarter_id" tableColumnId="30"/>
      <queryTableField id="31" name="timestamp" tableColumnId="31"/>
      <queryTableField id="32" name="tcn_id" tableColumnId="32"/>
      <queryTableField id="33" name="nhiemvu_id" tableColumnId="33"/>
      <queryTableField id="34" name="nvu_tcn_id" tableColumnId="34"/>
      <queryTableField id="35" name="nvu_tructhuoc" tableColumnId="35"/>
      <queryTableField id="36" name="nguonnx_tructhuoc" tableColumnId="36"/>
      <queryTableField id="37" name="nguonnx_tcn" tableColumnId="37"/>
      <queryTableField id="38" name="phuongtien_id" tableColumnId="38"/>
      <queryTableField id="39" name="nguonnx_nvu_id" tableColumnId="39"/>
      <queryTableField id="40" name="phuongtien_nvu_id" tableColumnId="40"/>
      <queryTableField id="41" name="so_phut" tableColumnId="41"/>
      <queryTableField id="42" name="tonkhotong_id" tableColumnId="42"/>
      <queryTableField id="43" name="tonkho_id" tableColumnId="43"/>
    </queryTableFields>
  </queryTableRefresh>
</queryTable>
</file>

<file path=xl/queryTables/queryTable2.xml><?xml version="1.0" encoding="utf-8"?>
<queryTable xmlns="http://schemas.openxmlformats.org/spreadsheetml/2006/main" name="postgres loaixd2" connectionId="3" autoFormatId="16" applyNumberFormats="0" applyBorderFormats="0" applyFontFormats="0" applyPatternFormats="0" applyAlignmentFormats="0" applyWidthHeightFormats="0">
  <queryTableRefresh nextId="9">
    <queryTableFields count="8">
      <queryTableField id="1" name="id" tableColumnId="1"/>
      <queryTableField id="2" name="maxd" tableColumnId="2"/>
      <queryTableField id="3" name="tenxd" tableColumnId="3"/>
      <queryTableField id="4" name="chungloai" tableColumnId="4"/>
      <queryTableField id="5" name="status" tableColumnId="5"/>
      <queryTableField id="6" name="timestamp" tableColumnId="6"/>
      <queryTableField id="7" name="ut" tableColumnId="7"/>
      <queryTableField id="8" name="type" tableColumnId="8"/>
    </queryTableFields>
  </queryTableRefresh>
</queryTable>
</file>

<file path=xl/queryTables/queryTable3.xml><?xml version="1.0" encoding="utf-8"?>
<queryTable xmlns="http://schemas.openxmlformats.org/spreadsheetml/2006/main" name="postgres nguon_nx" connectionId="4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ten" tableColumnId="2"/>
      <queryTableField id="3" name="loai" tableColumnId="3"/>
      <queryTableField id="4" name="createtime" tableColumnId="4"/>
      <queryTableField id="5" name="loai_tt" tableColumnId="5"/>
      <queryTableField id="6" name="may_bay" tableColumnId="6"/>
    </queryTableFields>
  </queryTableRefresh>
</queryTable>
</file>

<file path=xl/queryTables/queryTable4.xml><?xml version="1.0" encoding="utf-8"?>
<queryTable xmlns="http://schemas.openxmlformats.org/spreadsheetml/2006/main" name="postgres nxt_reporter" connectionId="6" autoFormatId="16" applyNumberFormats="0" applyBorderFormats="0" applyFontFormats="0" applyPatternFormats="0" applyAlignmentFormats="0" applyWidthHeightFormats="0">
  <queryTableRefresh nextId="8">
    <queryTableFields count="7">
      <queryTableField id="1" name="petro_name" tableColumnId="1"/>
      <queryTableField id="2" name="petro_title_lv1" tableColumnId="2"/>
      <queryTableField id="3" name="petro_title_lv2" tableColumnId="3"/>
      <queryTableField id="4" name="title_lv1" tableColumnId="4"/>
      <queryTableField id="5" name="title_lv2" tableColumnId="5"/>
      <queryTableField id="6" name="title_lv3" tableColumnId="6"/>
      <queryTableField id="7" name="title_lv4" tableColumnId="7"/>
    </queryTableFields>
  </queryTableRefresh>
</queryTable>
</file>

<file path=xl/queryTables/queryTable5.xml><?xml version="1.0" encoding="utf-8"?>
<queryTable xmlns="http://schemas.openxmlformats.org/spreadsheetml/2006/main" name="postgres tructhuoc" connectionId="7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transaction" tableColumnId="4"/>
      <queryTableField id="5" name="timestamp" tableColumnId="5"/>
      <queryTableField id="6" name="loai_phieu" tableColumnId="6"/>
      <queryTableField id="7" name="status" tableColumnId="7"/>
    </queryTableFields>
  </queryTableRefresh>
</queryTable>
</file>

<file path=xl/queryTables/queryTable6.xml><?xml version="1.0" encoding="utf-8"?>
<queryTable xmlns="http://schemas.openxmlformats.org/spreadsheetml/2006/main" name="postgres nguonnx_tructhuoc" connectionId="5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guonnx_id" tableColumnId="2"/>
      <queryTableField id="3" name="tructhuoc_id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id="1" name="tb_socai" displayName="tb_socai" ref="B2:AR11" tableType="queryTable" totalsRowShown="0">
  <autoFilter ref="B2:AR11"/>
  <tableColumns count="43">
    <tableColumn id="1" uniqueName="1" name="dvi" queryTableFieldId="1"/>
    <tableColumn id="2" uniqueName="2" name="ngay" queryTableFieldId="2"/>
    <tableColumn id="3" uniqueName="3" name="ma_xd" queryTableFieldId="3"/>
    <tableColumn id="4" uniqueName="4" name="ten_xd" queryTableFieldId="4"/>
    <tableColumn id="5" uniqueName="5" name="chung_loai" queryTableFieldId="5"/>
    <tableColumn id="6" uniqueName="6" name="loai_phieu" queryTableFieldId="6"/>
    <tableColumn id="7" uniqueName="7" name="so" queryTableFieldId="7"/>
    <tableColumn id="8" uniqueName="8" name="theo_lenh_so" queryTableFieldId="8"/>
    <tableColumn id="9" uniqueName="9" name="nhiem_vu" queryTableFieldId="9"/>
    <tableColumn id="10" uniqueName="10" name="nguoi_nhan_hang" queryTableFieldId="10"/>
    <tableColumn id="11" uniqueName="11" name="so_xe" queryTableFieldId="11"/>
    <tableColumn id="12" uniqueName="12" name="chat_luong" queryTableFieldId="12"/>
    <tableColumn id="13" uniqueName="13" name="phai_xuat" queryTableFieldId="13"/>
    <tableColumn id="14" uniqueName="14" name="nhiet_do_tt" queryTableFieldId="14"/>
    <tableColumn id="15" uniqueName="15" name="ty_trong" queryTableFieldId="15"/>
    <tableColumn id="16" uniqueName="16" name="he_so_vcf" queryTableFieldId="16"/>
    <tableColumn id="17" uniqueName="17" name="thuc_xuat" queryTableFieldId="17"/>
    <tableColumn id="18" uniqueName="18" name="don_gia" queryTableFieldId="18"/>
    <tableColumn id="19" uniqueName="19" name="thanh_tien" queryTableFieldId="19"/>
    <tableColumn id="20" uniqueName="20" name="so_km" queryTableFieldId="20"/>
    <tableColumn id="21" uniqueName="21" name="so_gio" queryTableFieldId="21"/>
    <tableColumn id="22" uniqueName="22" name="dvvc" queryTableFieldId="22"/>
    <tableColumn id="23" uniqueName="23" name="id" queryTableFieldId="23"/>
    <tableColumn id="24" uniqueName="24" name="loaixd_id" queryTableFieldId="24"/>
    <tableColumn id="25" uniqueName="25" name="nguonnx_id" queryTableFieldId="25"/>
    <tableColumn id="26" uniqueName="26" name="cmt" queryTableFieldId="26"/>
    <tableColumn id="27" uniqueName="27" name="nguonnx_dvvc_id" queryTableFieldId="27"/>
    <tableColumn id="28" uniqueName="28" name="sscd" queryTableFieldId="28"/>
    <tableColumn id="29" uniqueName="29" name="denngay" queryTableFieldId="29"/>
    <tableColumn id="30" uniqueName="30" name="quarter_id" queryTableFieldId="30"/>
    <tableColumn id="31" uniqueName="31" name="timestamp" queryTableFieldId="31" dataDxfId="224"/>
    <tableColumn id="32" uniqueName="32" name="tcn_id" queryTableFieldId="32"/>
    <tableColumn id="33" uniqueName="33" name="nhiemvu_id" queryTableFieldId="33"/>
    <tableColumn id="34" uniqueName="34" name="nvu_tcn_id" queryTableFieldId="34"/>
    <tableColumn id="35" uniqueName="35" name="nvu_tructhuoc" queryTableFieldId="35"/>
    <tableColumn id="36" uniqueName="36" name="nguonnx_tructhuoc" queryTableFieldId="36"/>
    <tableColumn id="37" uniqueName="37" name="nguonnx_tcn" queryTableFieldId="37"/>
    <tableColumn id="38" uniqueName="38" name="phuongtien_id" queryTableFieldId="38"/>
    <tableColumn id="39" uniqueName="39" name="nguonnx_nvu_id" queryTableFieldId="39"/>
    <tableColumn id="40" uniqueName="40" name="phuongtien_nvu_id" queryTableFieldId="40"/>
    <tableColumn id="41" uniqueName="41" name="so_phut" queryTableFieldId="41"/>
    <tableColumn id="42" uniqueName="42" name="tonkhotong_id" queryTableFieldId="42"/>
    <tableColumn id="43" uniqueName="43" name="tonkho_id" queryTableFieldId="4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_loaixd2" displayName="tb_loaixd2" ref="B2:I53" tableType="queryTable" totalsRowShown="0">
  <autoFilter ref="B2:I53"/>
  <tableColumns count="8">
    <tableColumn id="1" uniqueName="1" name="id" queryTableFieldId="1"/>
    <tableColumn id="2" uniqueName="2" name="maxd" queryTableFieldId="2"/>
    <tableColumn id="3" uniqueName="3" name="tenxd" queryTableFieldId="3"/>
    <tableColumn id="4" uniqueName="4" name="chungloai" queryTableFieldId="4"/>
    <tableColumn id="5" uniqueName="5" name="status" queryTableFieldId="5"/>
    <tableColumn id="6" uniqueName="6" name="timestamp" queryTableFieldId="6" dataDxfId="223"/>
    <tableColumn id="7" uniqueName="7" name="ut" queryTableFieldId="7"/>
    <tableColumn id="8" uniqueName="8" name="type" queryTableField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b_nguon_nx" displayName="tb_nguon_nx" ref="A1:F46" tableType="queryTable" totalsRowShown="0">
  <autoFilter ref="A1:F46"/>
  <tableColumns count="6">
    <tableColumn id="1" uniqueName="1" name="id" queryTableFieldId="1"/>
    <tableColumn id="2" uniqueName="2" name="ten" queryTableFieldId="2"/>
    <tableColumn id="3" uniqueName="3" name="loai" queryTableFieldId="3"/>
    <tableColumn id="4" uniqueName="4" name="createtime" queryTableFieldId="4"/>
    <tableColumn id="5" uniqueName="5" name="loai_tt" queryTableFieldId="5"/>
    <tableColumn id="6" uniqueName="6" name="may_bay" queryTableField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Table_postgres_nxt_reporter" displayName="Table_postgres_nxt_reporter" ref="D20:J21" tableType="queryTable" insertRow="1" totalsRowShown="0">
  <autoFilter ref="D20:J21"/>
  <tableColumns count="7">
    <tableColumn id="1" uniqueName="1" name="petro_name" queryTableFieldId="1"/>
    <tableColumn id="2" uniqueName="2" name="petro_title_lv1" queryTableFieldId="2"/>
    <tableColumn id="3" uniqueName="3" name="petro_title_lv2" queryTableFieldId="3"/>
    <tableColumn id="4" uniqueName="4" name="title_lv1" queryTableFieldId="4"/>
    <tableColumn id="5" uniqueName="5" name="title_lv2" queryTableFieldId="5"/>
    <tableColumn id="6" uniqueName="6" name="title_lv3" queryTableFieldId="6"/>
    <tableColumn id="7" uniqueName="7" name="title_lv4" queryTableFieldId="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b_tructhuoc" displayName="tb_tructhuoc" ref="A1:G15" tableType="queryTable" totalsRowShown="0">
  <autoFilter ref="A1:G15">
    <filterColumn colId="5">
      <filters>
        <filter val="NHAP"/>
      </filters>
    </filterColumn>
  </autoFilter>
  <sortState ref="A2:G15">
    <sortCondition ref="A1:A15"/>
  </sortState>
  <tableColumns count="7">
    <tableColumn id="1" uniqueName="1" name="id" queryTableFieldId="1"/>
    <tableColumn id="2" uniqueName="2" name="name" queryTableFieldId="2"/>
    <tableColumn id="3" uniqueName="3" name="type" queryTableFieldId="3"/>
    <tableColumn id="4" uniqueName="4" name="transaction" queryTableFieldId="4"/>
    <tableColumn id="5" uniqueName="5" name="timestamp" queryTableFieldId="5" dataDxfId="0"/>
    <tableColumn id="6" uniqueName="6" name="loai_phieu" queryTableFieldId="6"/>
    <tableColumn id="7" uniqueName="7" name="status" queryTableFieldId="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b_nguonnx_tructhuoc" displayName="tb_nguonnx_tructhuoc" ref="A1:C31" tableType="queryTable" totalsRowShown="0">
  <autoFilter ref="A1:C31"/>
  <tableColumns count="3">
    <tableColumn id="1" uniqueName="1" name="id" queryTableFieldId="1"/>
    <tableColumn id="2" uniqueName="2" name="nguonnx_id" queryTableFieldId="2"/>
    <tableColumn id="3" uniqueName="3" name="tructhuoc_id" queryTableField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R11"/>
  <sheetViews>
    <sheetView workbookViewId="0">
      <selection activeCell="F11" sqref="F11"/>
    </sheetView>
  </sheetViews>
  <sheetFormatPr defaultRowHeight="15" x14ac:dyDescent="0.25"/>
  <cols>
    <col min="2" max="2" width="5.85546875" bestFit="1" customWidth="1"/>
    <col min="3" max="3" width="10.28515625" bestFit="1" customWidth="1"/>
    <col min="4" max="4" width="9" bestFit="1" customWidth="1"/>
    <col min="5" max="5" width="18.42578125" bestFit="1" customWidth="1"/>
    <col min="6" max="6" width="12.7109375" bestFit="1" customWidth="1"/>
    <col min="7" max="7" width="12.28515625" bestFit="1" customWidth="1"/>
    <col min="8" max="8" width="5.140625" bestFit="1" customWidth="1"/>
    <col min="9" max="9" width="14.5703125" bestFit="1" customWidth="1"/>
    <col min="10" max="10" width="16.140625" bestFit="1" customWidth="1"/>
    <col min="11" max="11" width="18.7109375" bestFit="1" customWidth="1"/>
    <col min="12" max="12" width="8.42578125" bestFit="1" customWidth="1"/>
    <col min="13" max="13" width="12.7109375" bestFit="1" customWidth="1"/>
    <col min="14" max="14" width="11.7109375" bestFit="1" customWidth="1"/>
    <col min="15" max="15" width="13.140625" bestFit="1" customWidth="1"/>
    <col min="16" max="16" width="10.5703125" bestFit="1" customWidth="1"/>
    <col min="17" max="18" width="11.7109375" bestFit="1" customWidth="1"/>
    <col min="19" max="19" width="10.140625" bestFit="1" customWidth="1"/>
    <col min="20" max="20" width="12.42578125" bestFit="1" customWidth="1"/>
    <col min="22" max="22" width="8.7109375" bestFit="1" customWidth="1"/>
    <col min="23" max="23" width="11.7109375" bestFit="1" customWidth="1"/>
    <col min="24" max="24" width="4.85546875" bestFit="1" customWidth="1"/>
    <col min="25" max="25" width="11.28515625" bestFit="1" customWidth="1"/>
    <col min="26" max="26" width="13.42578125" bestFit="1" customWidth="1"/>
    <col min="27" max="27" width="6.42578125" bestFit="1" customWidth="1"/>
    <col min="28" max="28" width="18.5703125" bestFit="1" customWidth="1"/>
    <col min="29" max="29" width="6.7109375" bestFit="1" customWidth="1"/>
    <col min="30" max="30" width="10.42578125" bestFit="1" customWidth="1"/>
    <col min="31" max="31" width="12.28515625" bestFit="1" customWidth="1"/>
    <col min="32" max="32" width="15.28515625" bestFit="1" customWidth="1"/>
    <col min="33" max="33" width="8.5703125" bestFit="1" customWidth="1"/>
    <col min="34" max="34" width="13.28515625" bestFit="1" customWidth="1"/>
    <col min="35" max="35" width="12.7109375" bestFit="1" customWidth="1"/>
    <col min="36" max="36" width="15.85546875" bestFit="1" customWidth="1"/>
    <col min="37" max="37" width="20.28515625" bestFit="1" customWidth="1"/>
    <col min="38" max="38" width="14.42578125" bestFit="1" customWidth="1"/>
    <col min="39" max="39" width="15.7109375" bestFit="1" customWidth="1"/>
    <col min="40" max="40" width="17.7109375" bestFit="1" customWidth="1"/>
    <col min="41" max="41" width="20.140625" bestFit="1" customWidth="1"/>
    <col min="42" max="42" width="10.140625" bestFit="1" customWidth="1"/>
    <col min="43" max="43" width="16.140625" bestFit="1" customWidth="1"/>
    <col min="44" max="44" width="12.140625" bestFit="1" customWidth="1"/>
  </cols>
  <sheetData>
    <row r="2" spans="2:44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  <c r="L2" t="s">
        <v>10</v>
      </c>
      <c r="M2" t="s">
        <v>11</v>
      </c>
      <c r="N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T2" t="s">
        <v>18</v>
      </c>
      <c r="U2" t="s">
        <v>19</v>
      </c>
      <c r="V2" t="s">
        <v>20</v>
      </c>
      <c r="W2" t="s">
        <v>21</v>
      </c>
      <c r="X2" t="s">
        <v>22</v>
      </c>
      <c r="Y2" t="s">
        <v>23</v>
      </c>
      <c r="Z2" t="s">
        <v>24</v>
      </c>
      <c r="AA2" t="s">
        <v>25</v>
      </c>
      <c r="AB2" t="s">
        <v>26</v>
      </c>
      <c r="AC2" t="s">
        <v>27</v>
      </c>
      <c r="AD2" t="s">
        <v>28</v>
      </c>
      <c r="AE2" t="s">
        <v>29</v>
      </c>
      <c r="AF2" t="s">
        <v>30</v>
      </c>
      <c r="AG2" t="s">
        <v>31</v>
      </c>
      <c r="AH2" t="s">
        <v>32</v>
      </c>
      <c r="AI2" t="s">
        <v>33</v>
      </c>
      <c r="AJ2" t="s">
        <v>34</v>
      </c>
      <c r="AK2" t="s">
        <v>35</v>
      </c>
      <c r="AL2" t="s">
        <v>36</v>
      </c>
      <c r="AM2" t="s">
        <v>37</v>
      </c>
      <c r="AN2" t="s">
        <v>38</v>
      </c>
      <c r="AO2" t="s">
        <v>39</v>
      </c>
      <c r="AP2" t="s">
        <v>40</v>
      </c>
      <c r="AQ2" t="s">
        <v>41</v>
      </c>
      <c r="AR2" t="s">
        <v>42</v>
      </c>
    </row>
    <row r="3" spans="2:44" x14ac:dyDescent="0.25">
      <c r="B3" t="s">
        <v>43</v>
      </c>
      <c r="C3" t="s">
        <v>44</v>
      </c>
      <c r="E3" t="s">
        <v>45</v>
      </c>
      <c r="G3" t="s">
        <v>46</v>
      </c>
      <c r="H3" t="s">
        <v>47</v>
      </c>
      <c r="I3" t="s">
        <v>48</v>
      </c>
      <c r="J3" t="s">
        <v>49</v>
      </c>
      <c r="K3" t="s">
        <v>50</v>
      </c>
      <c r="L3" t="s">
        <v>51</v>
      </c>
      <c r="N3">
        <v>20000</v>
      </c>
      <c r="O3" t="s">
        <v>52</v>
      </c>
      <c r="P3">
        <v>0</v>
      </c>
      <c r="Q3">
        <v>0</v>
      </c>
      <c r="R3">
        <v>20000</v>
      </c>
      <c r="S3">
        <v>21220</v>
      </c>
      <c r="T3">
        <v>424400000</v>
      </c>
      <c r="U3">
        <v>0</v>
      </c>
      <c r="V3">
        <v>0</v>
      </c>
      <c r="W3" t="s">
        <v>53</v>
      </c>
      <c r="X3">
        <v>463</v>
      </c>
      <c r="Y3">
        <v>20</v>
      </c>
      <c r="Z3">
        <v>54</v>
      </c>
      <c r="AB3">
        <v>1</v>
      </c>
      <c r="AD3" t="s">
        <v>54</v>
      </c>
      <c r="AE3">
        <v>20</v>
      </c>
      <c r="AF3" s="1">
        <v>45573.617604166669</v>
      </c>
      <c r="AH3">
        <v>0</v>
      </c>
      <c r="AI3">
        <v>0</v>
      </c>
      <c r="AJ3">
        <v>0</v>
      </c>
      <c r="AK3">
        <v>23</v>
      </c>
      <c r="AL3">
        <v>7</v>
      </c>
      <c r="AM3">
        <v>0</v>
      </c>
      <c r="AN3">
        <v>0</v>
      </c>
      <c r="AO3">
        <v>0</v>
      </c>
      <c r="AP3">
        <v>0</v>
      </c>
      <c r="AQ3">
        <v>177</v>
      </c>
      <c r="AR3">
        <v>315</v>
      </c>
    </row>
    <row r="4" spans="2:44" x14ac:dyDescent="0.25">
      <c r="B4" t="s">
        <v>43</v>
      </c>
      <c r="C4" t="s">
        <v>44</v>
      </c>
      <c r="E4" t="s">
        <v>55</v>
      </c>
      <c r="G4" t="s">
        <v>46</v>
      </c>
      <c r="H4" t="s">
        <v>56</v>
      </c>
      <c r="I4" t="s">
        <v>57</v>
      </c>
      <c r="J4" t="s">
        <v>49</v>
      </c>
      <c r="K4" t="s">
        <v>50</v>
      </c>
      <c r="L4" t="s">
        <v>58</v>
      </c>
      <c r="N4">
        <v>20000</v>
      </c>
      <c r="O4" t="s">
        <v>52</v>
      </c>
      <c r="P4">
        <v>0</v>
      </c>
      <c r="Q4">
        <v>0</v>
      </c>
      <c r="R4">
        <v>20000</v>
      </c>
      <c r="S4">
        <v>32152</v>
      </c>
      <c r="T4">
        <v>643040000</v>
      </c>
      <c r="U4">
        <v>0</v>
      </c>
      <c r="V4">
        <v>0</v>
      </c>
      <c r="W4" t="s">
        <v>59</v>
      </c>
      <c r="X4">
        <v>464</v>
      </c>
      <c r="Y4">
        <v>21</v>
      </c>
      <c r="Z4">
        <v>54</v>
      </c>
      <c r="AB4">
        <v>17</v>
      </c>
      <c r="AD4" t="s">
        <v>60</v>
      </c>
      <c r="AE4">
        <v>20</v>
      </c>
      <c r="AF4" s="1">
        <v>45574.326099537036</v>
      </c>
      <c r="AH4">
        <v>0</v>
      </c>
      <c r="AI4">
        <v>0</v>
      </c>
      <c r="AJ4">
        <v>0</v>
      </c>
      <c r="AK4">
        <v>25</v>
      </c>
      <c r="AL4">
        <v>5</v>
      </c>
      <c r="AM4">
        <v>0</v>
      </c>
      <c r="AN4">
        <v>0</v>
      </c>
      <c r="AO4">
        <v>0</v>
      </c>
      <c r="AP4">
        <v>0</v>
      </c>
      <c r="AQ4">
        <v>178</v>
      </c>
      <c r="AR4">
        <v>316</v>
      </c>
    </row>
    <row r="5" spans="2:44" x14ac:dyDescent="0.25">
      <c r="B5" t="s">
        <v>43</v>
      </c>
      <c r="C5" t="s">
        <v>44</v>
      </c>
      <c r="E5" t="s">
        <v>61</v>
      </c>
      <c r="G5" t="s">
        <v>46</v>
      </c>
      <c r="H5" t="s">
        <v>56</v>
      </c>
      <c r="I5" t="s">
        <v>57</v>
      </c>
      <c r="J5" t="s">
        <v>49</v>
      </c>
      <c r="K5" t="s">
        <v>50</v>
      </c>
      <c r="L5" t="s">
        <v>58</v>
      </c>
      <c r="N5">
        <v>30000</v>
      </c>
      <c r="O5" t="s">
        <v>52</v>
      </c>
      <c r="P5">
        <v>0</v>
      </c>
      <c r="Q5">
        <v>0</v>
      </c>
      <c r="R5">
        <v>30000</v>
      </c>
      <c r="S5">
        <v>31544</v>
      </c>
      <c r="T5">
        <v>946320000</v>
      </c>
      <c r="U5">
        <v>0</v>
      </c>
      <c r="V5">
        <v>0</v>
      </c>
      <c r="W5" t="s">
        <v>59</v>
      </c>
      <c r="X5">
        <v>465</v>
      </c>
      <c r="Y5">
        <v>30</v>
      </c>
      <c r="Z5">
        <v>54</v>
      </c>
      <c r="AB5">
        <v>17</v>
      </c>
      <c r="AD5" t="s">
        <v>60</v>
      </c>
      <c r="AE5">
        <v>20</v>
      </c>
      <c r="AF5" s="1">
        <v>45574.326099537036</v>
      </c>
      <c r="AH5">
        <v>0</v>
      </c>
      <c r="AI5">
        <v>0</v>
      </c>
      <c r="AJ5">
        <v>0</v>
      </c>
      <c r="AK5">
        <v>25</v>
      </c>
      <c r="AL5">
        <v>5</v>
      </c>
      <c r="AM5">
        <v>0</v>
      </c>
      <c r="AN5">
        <v>0</v>
      </c>
      <c r="AO5">
        <v>0</v>
      </c>
      <c r="AP5">
        <v>0</v>
      </c>
      <c r="AQ5">
        <v>179</v>
      </c>
      <c r="AR5">
        <v>317</v>
      </c>
    </row>
    <row r="6" spans="2:44" x14ac:dyDescent="0.25">
      <c r="B6" t="s">
        <v>43</v>
      </c>
      <c r="C6" t="s">
        <v>44</v>
      </c>
      <c r="E6" t="s">
        <v>62</v>
      </c>
      <c r="G6" t="s">
        <v>46</v>
      </c>
      <c r="H6" t="s">
        <v>63</v>
      </c>
      <c r="I6" t="s">
        <v>64</v>
      </c>
      <c r="J6" t="s">
        <v>49</v>
      </c>
      <c r="K6" t="s">
        <v>50</v>
      </c>
      <c r="L6" t="s">
        <v>64</v>
      </c>
      <c r="N6">
        <v>2000</v>
      </c>
      <c r="O6" t="s">
        <v>52</v>
      </c>
      <c r="P6">
        <v>0</v>
      </c>
      <c r="Q6">
        <v>0</v>
      </c>
      <c r="R6">
        <v>2000</v>
      </c>
      <c r="S6">
        <v>16444</v>
      </c>
      <c r="T6">
        <v>32888000</v>
      </c>
      <c r="U6">
        <v>0</v>
      </c>
      <c r="V6">
        <v>0</v>
      </c>
      <c r="W6" t="s">
        <v>65</v>
      </c>
      <c r="X6">
        <v>470</v>
      </c>
      <c r="Y6">
        <v>52</v>
      </c>
      <c r="Z6">
        <v>54</v>
      </c>
      <c r="AB6">
        <v>18</v>
      </c>
      <c r="AD6" t="s">
        <v>66</v>
      </c>
      <c r="AE6">
        <v>20</v>
      </c>
      <c r="AF6" s="1">
        <v>45574.375023148146</v>
      </c>
      <c r="AH6">
        <v>0</v>
      </c>
      <c r="AI6">
        <v>0</v>
      </c>
      <c r="AJ6">
        <v>0</v>
      </c>
      <c r="AK6">
        <v>26</v>
      </c>
      <c r="AL6">
        <v>22</v>
      </c>
      <c r="AM6">
        <v>0</v>
      </c>
      <c r="AN6">
        <v>0</v>
      </c>
      <c r="AO6">
        <v>0</v>
      </c>
      <c r="AP6">
        <v>0</v>
      </c>
      <c r="AQ6">
        <v>182</v>
      </c>
      <c r="AR6">
        <v>320</v>
      </c>
    </row>
    <row r="7" spans="2:44" x14ac:dyDescent="0.25">
      <c r="B7" t="s">
        <v>43</v>
      </c>
      <c r="C7" t="s">
        <v>44</v>
      </c>
      <c r="E7" t="s">
        <v>78</v>
      </c>
      <c r="G7" t="s">
        <v>46</v>
      </c>
      <c r="H7" t="s">
        <v>218</v>
      </c>
      <c r="I7" t="s">
        <v>219</v>
      </c>
      <c r="J7" t="s">
        <v>49</v>
      </c>
      <c r="K7" t="s">
        <v>64</v>
      </c>
      <c r="L7" t="s">
        <v>220</v>
      </c>
      <c r="N7">
        <v>20000</v>
      </c>
      <c r="O7" t="s">
        <v>52</v>
      </c>
      <c r="P7">
        <v>0</v>
      </c>
      <c r="Q7">
        <v>0</v>
      </c>
      <c r="R7">
        <v>20000</v>
      </c>
      <c r="S7">
        <v>66225</v>
      </c>
      <c r="T7">
        <v>1324500000</v>
      </c>
      <c r="U7">
        <v>0</v>
      </c>
      <c r="V7">
        <v>0</v>
      </c>
      <c r="W7" t="s">
        <v>53</v>
      </c>
      <c r="X7">
        <v>471</v>
      </c>
      <c r="Y7">
        <v>54</v>
      </c>
      <c r="Z7">
        <v>54</v>
      </c>
      <c r="AB7">
        <v>1</v>
      </c>
      <c r="AD7" t="s">
        <v>221</v>
      </c>
      <c r="AE7">
        <v>20</v>
      </c>
      <c r="AF7" s="1">
        <v>45575.422407407408</v>
      </c>
      <c r="AH7">
        <v>0</v>
      </c>
      <c r="AI7">
        <v>0</v>
      </c>
      <c r="AJ7">
        <v>0</v>
      </c>
      <c r="AK7">
        <v>51</v>
      </c>
      <c r="AL7">
        <v>7</v>
      </c>
      <c r="AM7">
        <v>0</v>
      </c>
      <c r="AN7">
        <v>0</v>
      </c>
      <c r="AO7">
        <v>0</v>
      </c>
      <c r="AP7">
        <v>0</v>
      </c>
      <c r="AQ7">
        <v>183</v>
      </c>
      <c r="AR7">
        <v>321</v>
      </c>
    </row>
    <row r="8" spans="2:44" x14ac:dyDescent="0.25">
      <c r="B8" t="s">
        <v>43</v>
      </c>
      <c r="C8" t="s">
        <v>222</v>
      </c>
      <c r="E8" t="s">
        <v>122</v>
      </c>
      <c r="G8" t="s">
        <v>46</v>
      </c>
      <c r="H8" t="s">
        <v>223</v>
      </c>
      <c r="I8" t="s">
        <v>224</v>
      </c>
      <c r="J8" t="s">
        <v>49</v>
      </c>
      <c r="K8" t="s">
        <v>50</v>
      </c>
      <c r="L8" t="s">
        <v>225</v>
      </c>
      <c r="N8">
        <v>22200</v>
      </c>
      <c r="O8" t="s">
        <v>52</v>
      </c>
      <c r="P8">
        <v>0</v>
      </c>
      <c r="Q8">
        <v>0</v>
      </c>
      <c r="R8">
        <v>22200</v>
      </c>
      <c r="S8">
        <v>15645</v>
      </c>
      <c r="T8">
        <v>347319000</v>
      </c>
      <c r="U8">
        <v>0</v>
      </c>
      <c r="V8">
        <v>0</v>
      </c>
      <c r="W8" t="s">
        <v>53</v>
      </c>
      <c r="X8">
        <v>472</v>
      </c>
      <c r="Y8">
        <v>28</v>
      </c>
      <c r="Z8">
        <v>54</v>
      </c>
      <c r="AB8">
        <v>1</v>
      </c>
      <c r="AD8" t="s">
        <v>226</v>
      </c>
      <c r="AE8">
        <v>20</v>
      </c>
      <c r="AF8" s="1">
        <v>45575.424155092594</v>
      </c>
      <c r="AH8">
        <v>0</v>
      </c>
      <c r="AI8">
        <v>0</v>
      </c>
      <c r="AJ8">
        <v>0</v>
      </c>
      <c r="AK8">
        <v>23</v>
      </c>
      <c r="AL8">
        <v>7</v>
      </c>
      <c r="AM8">
        <v>0</v>
      </c>
      <c r="AN8">
        <v>0</v>
      </c>
      <c r="AO8">
        <v>0</v>
      </c>
      <c r="AP8">
        <v>0</v>
      </c>
      <c r="AQ8">
        <v>184</v>
      </c>
      <c r="AR8">
        <v>322</v>
      </c>
    </row>
    <row r="9" spans="2:44" x14ac:dyDescent="0.25">
      <c r="B9" t="s">
        <v>43</v>
      </c>
      <c r="C9" t="s">
        <v>60</v>
      </c>
      <c r="E9" t="s">
        <v>103</v>
      </c>
      <c r="G9" t="s">
        <v>46</v>
      </c>
      <c r="H9" t="s">
        <v>227</v>
      </c>
      <c r="I9" t="s">
        <v>228</v>
      </c>
      <c r="J9" t="s">
        <v>229</v>
      </c>
      <c r="K9" t="s">
        <v>230</v>
      </c>
      <c r="L9" t="s">
        <v>231</v>
      </c>
      <c r="N9">
        <v>30000</v>
      </c>
      <c r="O9" t="s">
        <v>52</v>
      </c>
      <c r="P9">
        <v>0</v>
      </c>
      <c r="Q9">
        <v>0</v>
      </c>
      <c r="R9">
        <v>30000</v>
      </c>
      <c r="S9">
        <v>16888</v>
      </c>
      <c r="T9">
        <v>506640000</v>
      </c>
      <c r="U9">
        <v>0</v>
      </c>
      <c r="V9">
        <v>0</v>
      </c>
      <c r="W9" t="s">
        <v>173</v>
      </c>
      <c r="X9">
        <v>473</v>
      </c>
      <c r="Y9">
        <v>22</v>
      </c>
      <c r="Z9">
        <v>54</v>
      </c>
      <c r="AB9">
        <v>19</v>
      </c>
      <c r="AD9" t="s">
        <v>232</v>
      </c>
      <c r="AE9">
        <v>20</v>
      </c>
      <c r="AF9" s="1">
        <v>45575.428865740738</v>
      </c>
      <c r="AH9">
        <v>0</v>
      </c>
      <c r="AI9">
        <v>0</v>
      </c>
      <c r="AJ9">
        <v>0</v>
      </c>
      <c r="AK9">
        <v>27</v>
      </c>
      <c r="AL9">
        <v>6</v>
      </c>
      <c r="AM9">
        <v>0</v>
      </c>
      <c r="AN9">
        <v>0</v>
      </c>
      <c r="AO9">
        <v>0</v>
      </c>
      <c r="AP9">
        <v>0</v>
      </c>
      <c r="AQ9">
        <v>185</v>
      </c>
      <c r="AR9">
        <v>323</v>
      </c>
    </row>
    <row r="10" spans="2:44" x14ac:dyDescent="0.25">
      <c r="B10" t="s">
        <v>43</v>
      </c>
      <c r="C10" t="s">
        <v>60</v>
      </c>
      <c r="E10" t="s">
        <v>45</v>
      </c>
      <c r="G10" t="s">
        <v>46</v>
      </c>
      <c r="H10" t="s">
        <v>234</v>
      </c>
      <c r="I10" t="s">
        <v>235</v>
      </c>
      <c r="J10" t="s">
        <v>236</v>
      </c>
      <c r="K10" t="s">
        <v>237</v>
      </c>
      <c r="L10" t="s">
        <v>238</v>
      </c>
      <c r="N10">
        <v>15500</v>
      </c>
      <c r="O10" t="s">
        <v>52</v>
      </c>
      <c r="P10">
        <v>0</v>
      </c>
      <c r="Q10">
        <v>0</v>
      </c>
      <c r="R10">
        <v>15500</v>
      </c>
      <c r="S10">
        <v>15000</v>
      </c>
      <c r="T10">
        <v>232500000</v>
      </c>
      <c r="U10">
        <v>0</v>
      </c>
      <c r="V10">
        <v>0</v>
      </c>
      <c r="W10" t="s">
        <v>175</v>
      </c>
      <c r="X10">
        <v>474</v>
      </c>
      <c r="Y10">
        <v>20</v>
      </c>
      <c r="Z10">
        <v>54</v>
      </c>
      <c r="AB10">
        <v>20</v>
      </c>
      <c r="AD10" t="s">
        <v>232</v>
      </c>
      <c r="AE10">
        <v>20</v>
      </c>
      <c r="AF10" s="1">
        <v>45575.444490740738</v>
      </c>
      <c r="AH10">
        <v>0</v>
      </c>
      <c r="AI10">
        <v>0</v>
      </c>
      <c r="AJ10">
        <v>0</v>
      </c>
      <c r="AK10">
        <v>28</v>
      </c>
      <c r="AL10">
        <v>19</v>
      </c>
      <c r="AM10">
        <v>0</v>
      </c>
      <c r="AN10">
        <v>0</v>
      </c>
      <c r="AO10">
        <v>0</v>
      </c>
      <c r="AP10">
        <v>0</v>
      </c>
      <c r="AQ10">
        <v>177</v>
      </c>
      <c r="AR10">
        <v>324</v>
      </c>
    </row>
    <row r="11" spans="2:44" x14ac:dyDescent="0.25">
      <c r="B11" t="s">
        <v>201</v>
      </c>
      <c r="C11" t="s">
        <v>44</v>
      </c>
      <c r="E11" t="s">
        <v>77</v>
      </c>
      <c r="G11" t="s">
        <v>239</v>
      </c>
      <c r="H11" t="s">
        <v>240</v>
      </c>
      <c r="I11" t="s">
        <v>241</v>
      </c>
      <c r="J11" t="s">
        <v>242</v>
      </c>
      <c r="K11" t="s">
        <v>243</v>
      </c>
      <c r="L11" t="s">
        <v>64</v>
      </c>
      <c r="N11">
        <v>10000</v>
      </c>
      <c r="O11" t="s">
        <v>52</v>
      </c>
      <c r="P11">
        <v>0</v>
      </c>
      <c r="Q11">
        <v>0</v>
      </c>
      <c r="R11">
        <v>10000</v>
      </c>
      <c r="S11">
        <v>16555</v>
      </c>
      <c r="T11">
        <v>165550000</v>
      </c>
      <c r="U11">
        <v>0</v>
      </c>
      <c r="V11">
        <v>0</v>
      </c>
      <c r="W11" t="s">
        <v>43</v>
      </c>
      <c r="X11">
        <v>475</v>
      </c>
      <c r="Y11">
        <v>53</v>
      </c>
      <c r="Z11">
        <v>5</v>
      </c>
      <c r="AB11">
        <v>54</v>
      </c>
      <c r="AD11" t="s">
        <v>244</v>
      </c>
      <c r="AE11">
        <v>20</v>
      </c>
      <c r="AF11" s="1">
        <v>45575.642129629632</v>
      </c>
      <c r="AH11">
        <v>0</v>
      </c>
      <c r="AI11">
        <v>0</v>
      </c>
      <c r="AJ11">
        <v>0</v>
      </c>
      <c r="AK11">
        <v>44</v>
      </c>
      <c r="AL11">
        <v>52</v>
      </c>
      <c r="AM11">
        <v>0</v>
      </c>
      <c r="AN11">
        <v>0</v>
      </c>
      <c r="AO11">
        <v>0</v>
      </c>
      <c r="AP11">
        <v>0</v>
      </c>
      <c r="AQ11">
        <v>181</v>
      </c>
      <c r="AR11">
        <v>319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I53"/>
  <sheetViews>
    <sheetView workbookViewId="0">
      <selection activeCell="C7" sqref="C7"/>
    </sheetView>
  </sheetViews>
  <sheetFormatPr defaultRowHeight="15" x14ac:dyDescent="0.25"/>
  <cols>
    <col min="2" max="2" width="4.85546875" bestFit="1" customWidth="1"/>
    <col min="3" max="4" width="23.85546875" bestFit="1" customWidth="1"/>
    <col min="5" max="5" width="19.42578125" bestFit="1" customWidth="1"/>
    <col min="6" max="6" width="8.28515625" bestFit="1" customWidth="1"/>
    <col min="7" max="7" width="14.28515625" bestFit="1" customWidth="1"/>
    <col min="8" max="8" width="5" bestFit="1" customWidth="1"/>
    <col min="9" max="9" width="9.5703125" bestFit="1" customWidth="1"/>
  </cols>
  <sheetData>
    <row r="2" spans="2:9" x14ac:dyDescent="0.25">
      <c r="B2" t="s">
        <v>22</v>
      </c>
      <c r="C2" t="s">
        <v>67</v>
      </c>
      <c r="D2" t="s">
        <v>68</v>
      </c>
      <c r="E2" t="s">
        <v>69</v>
      </c>
      <c r="F2" t="s">
        <v>70</v>
      </c>
      <c r="G2" t="s">
        <v>30</v>
      </c>
      <c r="H2" t="s">
        <v>71</v>
      </c>
      <c r="I2" t="s">
        <v>72</v>
      </c>
    </row>
    <row r="3" spans="2:9" x14ac:dyDescent="0.25">
      <c r="B3">
        <v>51</v>
      </c>
      <c r="C3" t="s">
        <v>73</v>
      </c>
      <c r="D3" t="s">
        <v>73</v>
      </c>
      <c r="E3" t="s">
        <v>74</v>
      </c>
      <c r="F3" t="s">
        <v>75</v>
      </c>
      <c r="G3" s="1">
        <v>45554.47215277778</v>
      </c>
      <c r="H3">
        <v>1</v>
      </c>
      <c r="I3" t="s">
        <v>76</v>
      </c>
    </row>
    <row r="4" spans="2:9" x14ac:dyDescent="0.25">
      <c r="B4">
        <v>52</v>
      </c>
      <c r="C4" t="s">
        <v>62</v>
      </c>
      <c r="D4" t="s">
        <v>62</v>
      </c>
      <c r="E4" t="s">
        <v>74</v>
      </c>
      <c r="F4" t="s">
        <v>75</v>
      </c>
      <c r="G4" s="1">
        <v>45554.47215277778</v>
      </c>
      <c r="H4">
        <v>2</v>
      </c>
      <c r="I4" t="s">
        <v>76</v>
      </c>
    </row>
    <row r="5" spans="2:9" x14ac:dyDescent="0.25">
      <c r="B5">
        <v>53</v>
      </c>
      <c r="C5" t="s">
        <v>77</v>
      </c>
      <c r="D5" t="s">
        <v>77</v>
      </c>
      <c r="E5" t="s">
        <v>74</v>
      </c>
      <c r="F5" t="s">
        <v>75</v>
      </c>
      <c r="G5" s="1">
        <v>45554.47215277778</v>
      </c>
      <c r="H5">
        <v>3</v>
      </c>
      <c r="I5" t="s">
        <v>76</v>
      </c>
    </row>
    <row r="6" spans="2:9" x14ac:dyDescent="0.25">
      <c r="B6">
        <v>54</v>
      </c>
      <c r="C6" t="s">
        <v>78</v>
      </c>
      <c r="D6" t="s">
        <v>78</v>
      </c>
      <c r="E6" t="s">
        <v>74</v>
      </c>
      <c r="F6" t="s">
        <v>75</v>
      </c>
      <c r="G6" s="1">
        <v>45554.47215277778</v>
      </c>
      <c r="H6">
        <v>4</v>
      </c>
      <c r="I6" t="s">
        <v>76</v>
      </c>
    </row>
    <row r="7" spans="2:9" x14ac:dyDescent="0.25">
      <c r="B7">
        <v>55</v>
      </c>
      <c r="C7" t="s">
        <v>79</v>
      </c>
      <c r="D7" t="s">
        <v>79</v>
      </c>
      <c r="E7" t="s">
        <v>74</v>
      </c>
      <c r="F7" t="s">
        <v>75</v>
      </c>
      <c r="G7" s="1">
        <v>45554.47216435185</v>
      </c>
      <c r="H7">
        <v>5</v>
      </c>
      <c r="I7" t="s">
        <v>76</v>
      </c>
    </row>
    <row r="8" spans="2:9" x14ac:dyDescent="0.25">
      <c r="B8">
        <v>56</v>
      </c>
      <c r="C8" t="s">
        <v>80</v>
      </c>
      <c r="D8" t="s">
        <v>80</v>
      </c>
      <c r="E8" t="s">
        <v>81</v>
      </c>
      <c r="F8" t="s">
        <v>75</v>
      </c>
      <c r="G8" s="1">
        <v>45554.47216435185</v>
      </c>
      <c r="H8">
        <v>1</v>
      </c>
      <c r="I8" t="s">
        <v>76</v>
      </c>
    </row>
    <row r="9" spans="2:9" x14ac:dyDescent="0.25">
      <c r="B9">
        <v>57</v>
      </c>
      <c r="C9" t="s">
        <v>82</v>
      </c>
      <c r="D9" t="s">
        <v>82</v>
      </c>
      <c r="E9" t="s">
        <v>83</v>
      </c>
      <c r="F9" t="s">
        <v>75</v>
      </c>
      <c r="G9" s="1">
        <v>45554.47216435185</v>
      </c>
      <c r="H9">
        <v>1</v>
      </c>
      <c r="I9" t="s">
        <v>76</v>
      </c>
    </row>
    <row r="10" spans="2:9" x14ac:dyDescent="0.25">
      <c r="B10">
        <v>58</v>
      </c>
      <c r="C10" t="s">
        <v>84</v>
      </c>
      <c r="D10" t="s">
        <v>84</v>
      </c>
      <c r="E10" t="s">
        <v>83</v>
      </c>
      <c r="F10" t="s">
        <v>75</v>
      </c>
      <c r="G10" s="1">
        <v>45554.47216435185</v>
      </c>
      <c r="H10">
        <v>2</v>
      </c>
      <c r="I10" t="s">
        <v>76</v>
      </c>
    </row>
    <row r="11" spans="2:9" x14ac:dyDescent="0.25">
      <c r="B11">
        <v>59</v>
      </c>
      <c r="C11" t="s">
        <v>85</v>
      </c>
      <c r="D11" t="s">
        <v>85</v>
      </c>
      <c r="E11" t="s">
        <v>83</v>
      </c>
      <c r="F11" t="s">
        <v>75</v>
      </c>
      <c r="G11" s="1">
        <v>45554.47216435185</v>
      </c>
      <c r="H11">
        <v>3</v>
      </c>
      <c r="I11" t="s">
        <v>76</v>
      </c>
    </row>
    <row r="12" spans="2:9" x14ac:dyDescent="0.25">
      <c r="B12">
        <v>60</v>
      </c>
      <c r="C12" t="s">
        <v>86</v>
      </c>
      <c r="D12" t="s">
        <v>86</v>
      </c>
      <c r="E12" t="s">
        <v>83</v>
      </c>
      <c r="F12" t="s">
        <v>75</v>
      </c>
      <c r="G12" s="1">
        <v>45554.47216435185</v>
      </c>
      <c r="H12">
        <v>4</v>
      </c>
      <c r="I12" t="s">
        <v>76</v>
      </c>
    </row>
    <row r="13" spans="2:9" x14ac:dyDescent="0.25">
      <c r="B13">
        <v>61</v>
      </c>
      <c r="C13" t="s">
        <v>87</v>
      </c>
      <c r="D13" t="s">
        <v>87</v>
      </c>
      <c r="E13" t="s">
        <v>83</v>
      </c>
      <c r="F13" t="s">
        <v>75</v>
      </c>
      <c r="G13" s="1">
        <v>45554.47216435185</v>
      </c>
      <c r="H13">
        <v>5</v>
      </c>
      <c r="I13" t="s">
        <v>76</v>
      </c>
    </row>
    <row r="14" spans="2:9" x14ac:dyDescent="0.25">
      <c r="B14">
        <v>62</v>
      </c>
      <c r="C14" t="s">
        <v>88</v>
      </c>
      <c r="D14" t="s">
        <v>88</v>
      </c>
      <c r="E14" t="s">
        <v>83</v>
      </c>
      <c r="F14" t="s">
        <v>75</v>
      </c>
      <c r="G14" s="1">
        <v>45554.47216435185</v>
      </c>
      <c r="H14">
        <v>6</v>
      </c>
      <c r="I14" t="s">
        <v>76</v>
      </c>
    </row>
    <row r="15" spans="2:9" x14ac:dyDescent="0.25">
      <c r="B15">
        <v>63</v>
      </c>
      <c r="C15" t="s">
        <v>89</v>
      </c>
      <c r="D15" t="s">
        <v>89</v>
      </c>
      <c r="E15" t="s">
        <v>83</v>
      </c>
      <c r="F15" t="s">
        <v>75</v>
      </c>
      <c r="G15" s="1">
        <v>45554.47216435185</v>
      </c>
      <c r="H15">
        <v>7</v>
      </c>
      <c r="I15" t="s">
        <v>76</v>
      </c>
    </row>
    <row r="16" spans="2:9" x14ac:dyDescent="0.25">
      <c r="B16">
        <v>64</v>
      </c>
      <c r="C16" t="s">
        <v>90</v>
      </c>
      <c r="D16" t="s">
        <v>90</v>
      </c>
      <c r="E16" t="s">
        <v>83</v>
      </c>
      <c r="F16" t="s">
        <v>75</v>
      </c>
      <c r="G16" s="1">
        <v>45554.47216435185</v>
      </c>
      <c r="H16">
        <v>8</v>
      </c>
      <c r="I16" t="s">
        <v>76</v>
      </c>
    </row>
    <row r="17" spans="2:9" x14ac:dyDescent="0.25">
      <c r="B17">
        <v>65</v>
      </c>
      <c r="C17" t="s">
        <v>91</v>
      </c>
      <c r="D17" t="s">
        <v>91</v>
      </c>
      <c r="E17" t="s">
        <v>83</v>
      </c>
      <c r="F17" t="s">
        <v>75</v>
      </c>
      <c r="G17" s="1">
        <v>45554.47216435185</v>
      </c>
      <c r="H17">
        <v>9</v>
      </c>
      <c r="I17" t="s">
        <v>76</v>
      </c>
    </row>
    <row r="18" spans="2:9" x14ac:dyDescent="0.25">
      <c r="B18">
        <v>66</v>
      </c>
      <c r="C18" t="s">
        <v>92</v>
      </c>
      <c r="D18" t="s">
        <v>92</v>
      </c>
      <c r="E18" t="s">
        <v>93</v>
      </c>
      <c r="F18" t="s">
        <v>75</v>
      </c>
      <c r="G18" s="1">
        <v>45554.47216435185</v>
      </c>
      <c r="H18">
        <v>1</v>
      </c>
      <c r="I18" t="s">
        <v>76</v>
      </c>
    </row>
    <row r="19" spans="2:9" x14ac:dyDescent="0.25">
      <c r="B19">
        <v>67</v>
      </c>
      <c r="C19" t="s">
        <v>94</v>
      </c>
      <c r="D19" t="s">
        <v>94</v>
      </c>
      <c r="E19" t="s">
        <v>93</v>
      </c>
      <c r="F19" t="s">
        <v>75</v>
      </c>
      <c r="G19" s="1">
        <v>45554.47216435185</v>
      </c>
      <c r="H19">
        <v>2</v>
      </c>
      <c r="I19" t="s">
        <v>76</v>
      </c>
    </row>
    <row r="20" spans="2:9" x14ac:dyDescent="0.25">
      <c r="B20">
        <v>68</v>
      </c>
      <c r="C20" t="s">
        <v>95</v>
      </c>
      <c r="D20" t="s">
        <v>95</v>
      </c>
      <c r="E20" t="s">
        <v>93</v>
      </c>
      <c r="F20" t="s">
        <v>75</v>
      </c>
      <c r="G20" s="1">
        <v>45554.47216435185</v>
      </c>
      <c r="H20">
        <v>3</v>
      </c>
      <c r="I20" t="s">
        <v>76</v>
      </c>
    </row>
    <row r="21" spans="2:9" x14ac:dyDescent="0.25">
      <c r="B21">
        <v>69</v>
      </c>
      <c r="C21" t="s">
        <v>96</v>
      </c>
      <c r="D21" t="s">
        <v>96</v>
      </c>
      <c r="E21" t="s">
        <v>93</v>
      </c>
      <c r="F21" t="s">
        <v>75</v>
      </c>
      <c r="G21" s="1">
        <v>45554.47216435185</v>
      </c>
      <c r="H21">
        <v>4</v>
      </c>
      <c r="I21" t="s">
        <v>76</v>
      </c>
    </row>
    <row r="22" spans="2:9" x14ac:dyDescent="0.25">
      <c r="B22">
        <v>70</v>
      </c>
      <c r="C22" t="s">
        <v>97</v>
      </c>
      <c r="D22" t="s">
        <v>97</v>
      </c>
      <c r="E22" t="s">
        <v>98</v>
      </c>
      <c r="F22" t="s">
        <v>75</v>
      </c>
      <c r="G22" s="1">
        <v>45554.47216435185</v>
      </c>
      <c r="H22">
        <v>1</v>
      </c>
      <c r="I22" t="s">
        <v>76</v>
      </c>
    </row>
    <row r="23" spans="2:9" x14ac:dyDescent="0.25">
      <c r="B23">
        <v>20</v>
      </c>
      <c r="C23" t="s">
        <v>99</v>
      </c>
      <c r="D23" t="s">
        <v>45</v>
      </c>
      <c r="E23" t="s">
        <v>100</v>
      </c>
      <c r="F23" t="s">
        <v>75</v>
      </c>
      <c r="G23" s="1">
        <v>45554.47215277778</v>
      </c>
      <c r="H23">
        <v>1</v>
      </c>
      <c r="I23" t="s">
        <v>101</v>
      </c>
    </row>
    <row r="24" spans="2:9" x14ac:dyDescent="0.25">
      <c r="B24">
        <v>21</v>
      </c>
      <c r="C24" t="s">
        <v>102</v>
      </c>
      <c r="D24" t="s">
        <v>55</v>
      </c>
      <c r="E24" t="s">
        <v>100</v>
      </c>
      <c r="F24" t="s">
        <v>75</v>
      </c>
      <c r="G24" s="1">
        <v>45554.47215277778</v>
      </c>
      <c r="H24">
        <v>2</v>
      </c>
      <c r="I24" t="s">
        <v>101</v>
      </c>
    </row>
    <row r="25" spans="2:9" x14ac:dyDescent="0.25">
      <c r="B25">
        <v>22</v>
      </c>
      <c r="C25" t="s">
        <v>103</v>
      </c>
      <c r="D25" t="s">
        <v>103</v>
      </c>
      <c r="E25" t="s">
        <v>104</v>
      </c>
      <c r="F25" t="s">
        <v>75</v>
      </c>
      <c r="G25" s="1">
        <v>45554.47215277778</v>
      </c>
      <c r="H25">
        <v>1</v>
      </c>
      <c r="I25" t="s">
        <v>101</v>
      </c>
    </row>
    <row r="26" spans="2:9" x14ac:dyDescent="0.25">
      <c r="B26">
        <v>36</v>
      </c>
      <c r="C26" t="s">
        <v>105</v>
      </c>
      <c r="D26" t="s">
        <v>106</v>
      </c>
      <c r="E26" t="s">
        <v>107</v>
      </c>
      <c r="F26" t="s">
        <v>75</v>
      </c>
      <c r="G26" s="1">
        <v>45554.47215277778</v>
      </c>
      <c r="H26">
        <v>1</v>
      </c>
      <c r="I26" t="s">
        <v>101</v>
      </c>
    </row>
    <row r="27" spans="2:9" x14ac:dyDescent="0.25">
      <c r="B27">
        <v>37</v>
      </c>
      <c r="C27" t="s">
        <v>108</v>
      </c>
      <c r="D27" t="s">
        <v>109</v>
      </c>
      <c r="E27" t="s">
        <v>107</v>
      </c>
      <c r="F27" t="s">
        <v>75</v>
      </c>
      <c r="G27" s="1">
        <v>45554.47215277778</v>
      </c>
      <c r="H27">
        <v>2</v>
      </c>
      <c r="I27" t="s">
        <v>101</v>
      </c>
    </row>
    <row r="28" spans="2:9" x14ac:dyDescent="0.25">
      <c r="B28">
        <v>38</v>
      </c>
      <c r="C28" t="s">
        <v>110</v>
      </c>
      <c r="D28" t="s">
        <v>111</v>
      </c>
      <c r="E28" t="s">
        <v>107</v>
      </c>
      <c r="F28" t="s">
        <v>75</v>
      </c>
      <c r="G28" s="1">
        <v>45554.47215277778</v>
      </c>
      <c r="H28">
        <v>3</v>
      </c>
      <c r="I28" t="s">
        <v>101</v>
      </c>
    </row>
    <row r="29" spans="2:9" x14ac:dyDescent="0.25">
      <c r="B29">
        <v>23</v>
      </c>
      <c r="C29" t="s">
        <v>112</v>
      </c>
      <c r="D29" t="s">
        <v>113</v>
      </c>
      <c r="E29" t="s">
        <v>114</v>
      </c>
      <c r="F29" t="s">
        <v>75</v>
      </c>
      <c r="G29" s="1">
        <v>45554.47215277778</v>
      </c>
      <c r="H29">
        <v>1</v>
      </c>
      <c r="I29" t="s">
        <v>101</v>
      </c>
    </row>
    <row r="30" spans="2:9" x14ac:dyDescent="0.25">
      <c r="B30">
        <v>24</v>
      </c>
      <c r="C30" t="s">
        <v>115</v>
      </c>
      <c r="D30" t="s">
        <v>116</v>
      </c>
      <c r="E30" t="s">
        <v>114</v>
      </c>
      <c r="F30" t="s">
        <v>75</v>
      </c>
      <c r="G30" s="1">
        <v>45554.47215277778</v>
      </c>
      <c r="H30">
        <v>2</v>
      </c>
      <c r="I30" t="s">
        <v>101</v>
      </c>
    </row>
    <row r="31" spans="2:9" x14ac:dyDescent="0.25">
      <c r="B31">
        <v>25</v>
      </c>
      <c r="C31" t="s">
        <v>117</v>
      </c>
      <c r="D31" t="s">
        <v>117</v>
      </c>
      <c r="E31" t="s">
        <v>118</v>
      </c>
      <c r="F31" t="s">
        <v>75</v>
      </c>
      <c r="G31" s="1">
        <v>45554.47215277778</v>
      </c>
      <c r="H31">
        <v>1</v>
      </c>
      <c r="I31" t="s">
        <v>119</v>
      </c>
    </row>
    <row r="32" spans="2:9" x14ac:dyDescent="0.25">
      <c r="B32">
        <v>26</v>
      </c>
      <c r="C32" t="s">
        <v>120</v>
      </c>
      <c r="D32" t="s">
        <v>120</v>
      </c>
      <c r="E32" t="s">
        <v>118</v>
      </c>
      <c r="F32" t="s">
        <v>75</v>
      </c>
      <c r="G32" s="1">
        <v>45554.47215277778</v>
      </c>
      <c r="H32">
        <v>2</v>
      </c>
      <c r="I32" t="s">
        <v>119</v>
      </c>
    </row>
    <row r="33" spans="2:9" x14ac:dyDescent="0.25">
      <c r="B33">
        <v>27</v>
      </c>
      <c r="C33" t="s">
        <v>121</v>
      </c>
      <c r="D33" t="s">
        <v>121</v>
      </c>
      <c r="E33" t="s">
        <v>118</v>
      </c>
      <c r="F33" t="s">
        <v>75</v>
      </c>
      <c r="G33" s="1">
        <v>45554.47215277778</v>
      </c>
      <c r="H33">
        <v>3</v>
      </c>
      <c r="I33" t="s">
        <v>119</v>
      </c>
    </row>
    <row r="34" spans="2:9" x14ac:dyDescent="0.25">
      <c r="B34">
        <v>28</v>
      </c>
      <c r="C34" t="s">
        <v>122</v>
      </c>
      <c r="D34" t="s">
        <v>122</v>
      </c>
      <c r="E34" t="s">
        <v>118</v>
      </c>
      <c r="F34" t="s">
        <v>75</v>
      </c>
      <c r="G34" s="1">
        <v>45554.47215277778</v>
      </c>
      <c r="H34">
        <v>4</v>
      </c>
      <c r="I34" t="s">
        <v>119</v>
      </c>
    </row>
    <row r="35" spans="2:9" x14ac:dyDescent="0.25">
      <c r="B35">
        <v>29</v>
      </c>
      <c r="C35" t="s">
        <v>123</v>
      </c>
      <c r="D35" t="s">
        <v>123</v>
      </c>
      <c r="E35" t="s">
        <v>118</v>
      </c>
      <c r="F35" t="s">
        <v>75</v>
      </c>
      <c r="G35" s="1">
        <v>45554.47215277778</v>
      </c>
      <c r="H35">
        <v>5</v>
      </c>
      <c r="I35" t="s">
        <v>119</v>
      </c>
    </row>
    <row r="36" spans="2:9" x14ac:dyDescent="0.25">
      <c r="B36">
        <v>30</v>
      </c>
      <c r="C36" t="s">
        <v>61</v>
      </c>
      <c r="D36" t="s">
        <v>61</v>
      </c>
      <c r="E36" t="s">
        <v>118</v>
      </c>
      <c r="F36" t="s">
        <v>75</v>
      </c>
      <c r="G36" s="1">
        <v>45554.47215277778</v>
      </c>
      <c r="H36">
        <v>6</v>
      </c>
      <c r="I36" t="s">
        <v>119</v>
      </c>
    </row>
    <row r="37" spans="2:9" x14ac:dyDescent="0.25">
      <c r="B37">
        <v>31</v>
      </c>
      <c r="C37" t="s">
        <v>124</v>
      </c>
      <c r="D37" t="s">
        <v>124</v>
      </c>
      <c r="E37" t="s">
        <v>118</v>
      </c>
      <c r="F37" t="s">
        <v>75</v>
      </c>
      <c r="G37" s="1">
        <v>45554.47215277778</v>
      </c>
      <c r="H37">
        <v>7</v>
      </c>
      <c r="I37" t="s">
        <v>119</v>
      </c>
    </row>
    <row r="38" spans="2:9" x14ac:dyDescent="0.25">
      <c r="B38">
        <v>32</v>
      </c>
      <c r="C38" t="s">
        <v>125</v>
      </c>
      <c r="D38" t="s">
        <v>125</v>
      </c>
      <c r="E38" t="s">
        <v>118</v>
      </c>
      <c r="F38" t="s">
        <v>75</v>
      </c>
      <c r="G38" s="1">
        <v>45554.47215277778</v>
      </c>
      <c r="H38">
        <v>8</v>
      </c>
      <c r="I38" t="s">
        <v>119</v>
      </c>
    </row>
    <row r="39" spans="2:9" x14ac:dyDescent="0.25">
      <c r="B39">
        <v>33</v>
      </c>
      <c r="C39" t="s">
        <v>126</v>
      </c>
      <c r="D39" t="s">
        <v>126</v>
      </c>
      <c r="E39" t="s">
        <v>118</v>
      </c>
      <c r="F39" t="s">
        <v>75</v>
      </c>
      <c r="G39" s="1">
        <v>45554.47215277778</v>
      </c>
      <c r="H39">
        <v>9</v>
      </c>
      <c r="I39" t="s">
        <v>119</v>
      </c>
    </row>
    <row r="40" spans="2:9" x14ac:dyDescent="0.25">
      <c r="B40">
        <v>34</v>
      </c>
      <c r="C40" t="s">
        <v>127</v>
      </c>
      <c r="D40" t="s">
        <v>127</v>
      </c>
      <c r="E40" t="s">
        <v>118</v>
      </c>
      <c r="F40" t="s">
        <v>75</v>
      </c>
      <c r="G40" s="1">
        <v>45554.47215277778</v>
      </c>
      <c r="H40">
        <v>10</v>
      </c>
      <c r="I40" t="s">
        <v>119</v>
      </c>
    </row>
    <row r="41" spans="2:9" x14ac:dyDescent="0.25">
      <c r="B41">
        <v>35</v>
      </c>
      <c r="C41" t="s">
        <v>128</v>
      </c>
      <c r="D41" t="s">
        <v>128</v>
      </c>
      <c r="E41" t="s">
        <v>129</v>
      </c>
      <c r="F41" t="s">
        <v>75</v>
      </c>
      <c r="G41" s="1">
        <v>45554.47215277778</v>
      </c>
      <c r="H41">
        <v>1</v>
      </c>
      <c r="I41" t="s">
        <v>119</v>
      </c>
    </row>
    <row r="42" spans="2:9" x14ac:dyDescent="0.25">
      <c r="B42">
        <v>39</v>
      </c>
      <c r="C42" t="s">
        <v>130</v>
      </c>
      <c r="D42" t="s">
        <v>130</v>
      </c>
      <c r="E42" t="s">
        <v>129</v>
      </c>
      <c r="F42" t="s">
        <v>75</v>
      </c>
      <c r="G42" s="1">
        <v>45554.47215277778</v>
      </c>
      <c r="H42">
        <v>2</v>
      </c>
      <c r="I42" t="s">
        <v>119</v>
      </c>
    </row>
    <row r="43" spans="2:9" x14ac:dyDescent="0.25">
      <c r="B43">
        <v>40</v>
      </c>
      <c r="C43" t="s">
        <v>131</v>
      </c>
      <c r="D43" t="s">
        <v>131</v>
      </c>
      <c r="E43" t="s">
        <v>129</v>
      </c>
      <c r="F43" t="s">
        <v>75</v>
      </c>
      <c r="G43" s="1">
        <v>45554.47215277778</v>
      </c>
      <c r="H43">
        <v>3</v>
      </c>
      <c r="I43" t="s">
        <v>119</v>
      </c>
    </row>
    <row r="44" spans="2:9" x14ac:dyDescent="0.25">
      <c r="B44">
        <v>41</v>
      </c>
      <c r="C44" t="s">
        <v>132</v>
      </c>
      <c r="D44" t="s">
        <v>132</v>
      </c>
      <c r="E44" t="s">
        <v>129</v>
      </c>
      <c r="F44" t="s">
        <v>75</v>
      </c>
      <c r="G44" s="1">
        <v>45554.47215277778</v>
      </c>
      <c r="H44">
        <v>4</v>
      </c>
      <c r="I44" t="s">
        <v>119</v>
      </c>
    </row>
    <row r="45" spans="2:9" x14ac:dyDescent="0.25">
      <c r="B45">
        <v>42</v>
      </c>
      <c r="C45" t="s">
        <v>133</v>
      </c>
      <c r="D45" t="s">
        <v>133</v>
      </c>
      <c r="E45" t="s">
        <v>129</v>
      </c>
      <c r="F45" t="s">
        <v>75</v>
      </c>
      <c r="G45" s="1">
        <v>45554.47215277778</v>
      </c>
      <c r="H45">
        <v>5</v>
      </c>
      <c r="I45" t="s">
        <v>119</v>
      </c>
    </row>
    <row r="46" spans="2:9" x14ac:dyDescent="0.25">
      <c r="B46">
        <v>43</v>
      </c>
      <c r="C46" t="s">
        <v>134</v>
      </c>
      <c r="D46" t="s">
        <v>134</v>
      </c>
      <c r="E46" t="s">
        <v>135</v>
      </c>
      <c r="F46" t="s">
        <v>75</v>
      </c>
      <c r="G46" s="1">
        <v>45554.47215277778</v>
      </c>
      <c r="H46">
        <v>1</v>
      </c>
      <c r="I46" t="s">
        <v>119</v>
      </c>
    </row>
    <row r="47" spans="2:9" x14ac:dyDescent="0.25">
      <c r="B47">
        <v>44</v>
      </c>
      <c r="C47" t="s">
        <v>136</v>
      </c>
      <c r="D47" t="s">
        <v>136</v>
      </c>
      <c r="E47" t="s">
        <v>135</v>
      </c>
      <c r="F47" t="s">
        <v>75</v>
      </c>
      <c r="G47" s="1">
        <v>45554.47215277778</v>
      </c>
      <c r="H47">
        <v>2</v>
      </c>
      <c r="I47" t="s">
        <v>119</v>
      </c>
    </row>
    <row r="48" spans="2:9" x14ac:dyDescent="0.25">
      <c r="B48">
        <v>45</v>
      </c>
      <c r="C48" t="s">
        <v>137</v>
      </c>
      <c r="D48" t="s">
        <v>137</v>
      </c>
      <c r="E48" t="s">
        <v>138</v>
      </c>
      <c r="F48" t="s">
        <v>75</v>
      </c>
      <c r="G48" s="1">
        <v>45554.47215277778</v>
      </c>
      <c r="H48">
        <v>1</v>
      </c>
      <c r="I48" t="s">
        <v>119</v>
      </c>
    </row>
    <row r="49" spans="2:9" x14ac:dyDescent="0.25">
      <c r="B49">
        <v>46</v>
      </c>
      <c r="C49" t="s">
        <v>139</v>
      </c>
      <c r="D49" t="s">
        <v>139</v>
      </c>
      <c r="E49" t="s">
        <v>138</v>
      </c>
      <c r="F49" t="s">
        <v>75</v>
      </c>
      <c r="G49" s="1">
        <v>45554.47215277778</v>
      </c>
      <c r="H49">
        <v>2</v>
      </c>
      <c r="I49" t="s">
        <v>119</v>
      </c>
    </row>
    <row r="50" spans="2:9" x14ac:dyDescent="0.25">
      <c r="B50">
        <v>47</v>
      </c>
      <c r="C50" t="s">
        <v>140</v>
      </c>
      <c r="D50" t="s">
        <v>140</v>
      </c>
      <c r="E50" t="s">
        <v>138</v>
      </c>
      <c r="F50" t="s">
        <v>75</v>
      </c>
      <c r="G50" s="1">
        <v>45554.47215277778</v>
      </c>
      <c r="H50">
        <v>3</v>
      </c>
      <c r="I50" t="s">
        <v>119</v>
      </c>
    </row>
    <row r="51" spans="2:9" x14ac:dyDescent="0.25">
      <c r="B51">
        <v>48</v>
      </c>
      <c r="C51" t="s">
        <v>141</v>
      </c>
      <c r="D51" t="s">
        <v>141</v>
      </c>
      <c r="E51" t="s">
        <v>138</v>
      </c>
      <c r="F51" t="s">
        <v>75</v>
      </c>
      <c r="G51" s="1">
        <v>45554.47215277778</v>
      </c>
      <c r="H51">
        <v>4</v>
      </c>
      <c r="I51" t="s">
        <v>119</v>
      </c>
    </row>
    <row r="52" spans="2:9" x14ac:dyDescent="0.25">
      <c r="B52">
        <v>49</v>
      </c>
      <c r="C52" t="s">
        <v>142</v>
      </c>
      <c r="D52" t="s">
        <v>142</v>
      </c>
      <c r="E52" t="s">
        <v>138</v>
      </c>
      <c r="F52" t="s">
        <v>75</v>
      </c>
      <c r="G52" s="1">
        <v>45554.47215277778</v>
      </c>
      <c r="H52">
        <v>5</v>
      </c>
      <c r="I52" t="s">
        <v>119</v>
      </c>
    </row>
    <row r="53" spans="2:9" x14ac:dyDescent="0.25">
      <c r="B53">
        <v>50</v>
      </c>
      <c r="C53" t="s">
        <v>143</v>
      </c>
      <c r="D53" t="s">
        <v>143</v>
      </c>
      <c r="E53" t="s">
        <v>138</v>
      </c>
      <c r="F53" t="s">
        <v>75</v>
      </c>
      <c r="G53" s="1">
        <v>45554.47215277778</v>
      </c>
      <c r="H53">
        <v>6</v>
      </c>
      <c r="I53" t="s">
        <v>119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46"/>
  <sheetViews>
    <sheetView workbookViewId="0">
      <selection activeCell="K8" sqref="K8"/>
    </sheetView>
  </sheetViews>
  <sheetFormatPr defaultRowHeight="15" x14ac:dyDescent="0.25"/>
  <cols>
    <col min="1" max="1" width="4.85546875" bestFit="1" customWidth="1"/>
    <col min="2" max="2" width="17.7109375" bestFit="1" customWidth="1"/>
    <col min="3" max="3" width="14.140625" bestFit="1" customWidth="1"/>
    <col min="4" max="4" width="12.140625" bestFit="1" customWidth="1"/>
    <col min="5" max="5" width="11.7109375" bestFit="1" customWidth="1"/>
    <col min="6" max="6" width="11" bestFit="1" customWidth="1"/>
  </cols>
  <sheetData>
    <row r="1" spans="1:6" x14ac:dyDescent="0.25">
      <c r="A1" t="s">
        <v>22</v>
      </c>
      <c r="B1" t="s">
        <v>163</v>
      </c>
      <c r="C1" t="s">
        <v>164</v>
      </c>
      <c r="D1" t="s">
        <v>165</v>
      </c>
      <c r="E1" t="s">
        <v>166</v>
      </c>
      <c r="F1" t="s">
        <v>167</v>
      </c>
    </row>
    <row r="2" spans="1:6" x14ac:dyDescent="0.25">
      <c r="A2">
        <v>1</v>
      </c>
      <c r="B2" t="s">
        <v>53</v>
      </c>
      <c r="C2" t="s">
        <v>168</v>
      </c>
      <c r="D2" t="s">
        <v>169</v>
      </c>
      <c r="E2" t="s">
        <v>170</v>
      </c>
    </row>
    <row r="3" spans="1:6" x14ac:dyDescent="0.25">
      <c r="A3">
        <v>2</v>
      </c>
      <c r="B3" t="s">
        <v>171</v>
      </c>
      <c r="C3" t="s">
        <v>168</v>
      </c>
      <c r="D3" t="s">
        <v>169</v>
      </c>
      <c r="E3" t="s">
        <v>170</v>
      </c>
    </row>
    <row r="4" spans="1:6" x14ac:dyDescent="0.25">
      <c r="A4">
        <v>17</v>
      </c>
      <c r="B4" t="s">
        <v>59</v>
      </c>
      <c r="C4" t="s">
        <v>168</v>
      </c>
      <c r="D4" t="s">
        <v>172</v>
      </c>
      <c r="E4" t="s">
        <v>170</v>
      </c>
    </row>
    <row r="5" spans="1:6" x14ac:dyDescent="0.25">
      <c r="A5">
        <v>18</v>
      </c>
      <c r="B5" t="s">
        <v>65</v>
      </c>
      <c r="C5" t="s">
        <v>168</v>
      </c>
      <c r="D5" t="s">
        <v>172</v>
      </c>
      <c r="E5" t="s">
        <v>170</v>
      </c>
    </row>
    <row r="6" spans="1:6" x14ac:dyDescent="0.25">
      <c r="A6">
        <v>19</v>
      </c>
      <c r="B6" t="s">
        <v>173</v>
      </c>
      <c r="C6" t="s">
        <v>174</v>
      </c>
      <c r="D6" t="s">
        <v>172</v>
      </c>
      <c r="E6" t="s">
        <v>170</v>
      </c>
    </row>
    <row r="7" spans="1:6" x14ac:dyDescent="0.25">
      <c r="A7">
        <v>20</v>
      </c>
      <c r="B7" t="s">
        <v>175</v>
      </c>
      <c r="C7" t="s">
        <v>176</v>
      </c>
      <c r="D7" t="s">
        <v>172</v>
      </c>
      <c r="E7" t="s">
        <v>170</v>
      </c>
    </row>
    <row r="8" spans="1:6" x14ac:dyDescent="0.25">
      <c r="A8">
        <v>21</v>
      </c>
      <c r="B8" t="s">
        <v>177</v>
      </c>
      <c r="C8" t="s">
        <v>176</v>
      </c>
      <c r="D8" t="s">
        <v>172</v>
      </c>
      <c r="E8" t="s">
        <v>170</v>
      </c>
    </row>
    <row r="9" spans="1:6" x14ac:dyDescent="0.25">
      <c r="A9">
        <v>22</v>
      </c>
      <c r="B9" t="s">
        <v>178</v>
      </c>
      <c r="C9" t="s">
        <v>176</v>
      </c>
      <c r="D9" t="s">
        <v>172</v>
      </c>
      <c r="E9" t="s">
        <v>170</v>
      </c>
    </row>
    <row r="10" spans="1:6" x14ac:dyDescent="0.25">
      <c r="A10">
        <v>23</v>
      </c>
      <c r="B10" t="s">
        <v>179</v>
      </c>
      <c r="C10" t="s">
        <v>176</v>
      </c>
      <c r="D10" t="s">
        <v>172</v>
      </c>
      <c r="E10" t="s">
        <v>170</v>
      </c>
    </row>
    <row r="11" spans="1:6" x14ac:dyDescent="0.25">
      <c r="A11">
        <v>24</v>
      </c>
      <c r="B11" t="s">
        <v>180</v>
      </c>
      <c r="C11" t="s">
        <v>176</v>
      </c>
      <c r="D11" t="s">
        <v>172</v>
      </c>
      <c r="E11" t="s">
        <v>170</v>
      </c>
    </row>
    <row r="12" spans="1:6" x14ac:dyDescent="0.25">
      <c r="A12">
        <v>25</v>
      </c>
      <c r="B12" t="s">
        <v>181</v>
      </c>
      <c r="C12" t="s">
        <v>182</v>
      </c>
      <c r="D12" t="s">
        <v>172</v>
      </c>
      <c r="E12" t="s">
        <v>170</v>
      </c>
    </row>
    <row r="13" spans="1:6" x14ac:dyDescent="0.25">
      <c r="A13">
        <v>26</v>
      </c>
      <c r="B13" t="s">
        <v>183</v>
      </c>
      <c r="C13" t="s">
        <v>182</v>
      </c>
      <c r="D13" t="s">
        <v>172</v>
      </c>
      <c r="E13" t="s">
        <v>170</v>
      </c>
    </row>
    <row r="14" spans="1:6" x14ac:dyDescent="0.25">
      <c r="A14">
        <v>36</v>
      </c>
      <c r="B14" t="s">
        <v>184</v>
      </c>
      <c r="C14" t="s">
        <v>185</v>
      </c>
      <c r="D14" t="s">
        <v>172</v>
      </c>
      <c r="E14" t="s">
        <v>170</v>
      </c>
    </row>
    <row r="15" spans="1:6" x14ac:dyDescent="0.25">
      <c r="A15">
        <v>37</v>
      </c>
      <c r="B15" t="s">
        <v>186</v>
      </c>
      <c r="C15" t="s">
        <v>185</v>
      </c>
      <c r="D15" t="s">
        <v>172</v>
      </c>
      <c r="E15" t="s">
        <v>170</v>
      </c>
    </row>
    <row r="16" spans="1:6" x14ac:dyDescent="0.25">
      <c r="A16">
        <v>29</v>
      </c>
      <c r="B16" t="s">
        <v>187</v>
      </c>
      <c r="C16" t="s">
        <v>182</v>
      </c>
      <c r="D16" t="s">
        <v>172</v>
      </c>
      <c r="E16" t="s">
        <v>170</v>
      </c>
    </row>
    <row r="17" spans="1:5" x14ac:dyDescent="0.25">
      <c r="A17">
        <v>30</v>
      </c>
      <c r="B17" t="s">
        <v>188</v>
      </c>
      <c r="C17" t="s">
        <v>189</v>
      </c>
      <c r="D17" t="s">
        <v>172</v>
      </c>
      <c r="E17" t="s">
        <v>170</v>
      </c>
    </row>
    <row r="18" spans="1:5" x14ac:dyDescent="0.25">
      <c r="A18">
        <v>31</v>
      </c>
      <c r="B18" t="s">
        <v>190</v>
      </c>
      <c r="C18" t="s">
        <v>182</v>
      </c>
      <c r="D18" t="s">
        <v>172</v>
      </c>
      <c r="E18" t="s">
        <v>170</v>
      </c>
    </row>
    <row r="19" spans="1:5" x14ac:dyDescent="0.25">
      <c r="A19">
        <v>32</v>
      </c>
      <c r="B19" t="s">
        <v>191</v>
      </c>
      <c r="C19" t="s">
        <v>185</v>
      </c>
      <c r="D19" t="s">
        <v>172</v>
      </c>
      <c r="E19" t="s">
        <v>170</v>
      </c>
    </row>
    <row r="20" spans="1:5" x14ac:dyDescent="0.25">
      <c r="A20">
        <v>33</v>
      </c>
      <c r="B20" t="s">
        <v>192</v>
      </c>
      <c r="C20" t="s">
        <v>185</v>
      </c>
      <c r="D20" t="s">
        <v>172</v>
      </c>
      <c r="E20" t="s">
        <v>170</v>
      </c>
    </row>
    <row r="21" spans="1:5" x14ac:dyDescent="0.25">
      <c r="A21">
        <v>34</v>
      </c>
      <c r="B21" t="s">
        <v>193</v>
      </c>
      <c r="C21" t="s">
        <v>185</v>
      </c>
      <c r="D21" t="s">
        <v>172</v>
      </c>
      <c r="E21" t="s">
        <v>170</v>
      </c>
    </row>
    <row r="22" spans="1:5" x14ac:dyDescent="0.25">
      <c r="A22">
        <v>35</v>
      </c>
      <c r="B22" t="s">
        <v>194</v>
      </c>
      <c r="C22" t="s">
        <v>185</v>
      </c>
      <c r="D22" t="s">
        <v>172</v>
      </c>
      <c r="E22" t="s">
        <v>170</v>
      </c>
    </row>
    <row r="23" spans="1:5" x14ac:dyDescent="0.25">
      <c r="A23">
        <v>53</v>
      </c>
      <c r="B23" t="s">
        <v>161</v>
      </c>
      <c r="C23" t="s">
        <v>195</v>
      </c>
      <c r="D23" t="s">
        <v>172</v>
      </c>
      <c r="E23" t="s">
        <v>196</v>
      </c>
    </row>
    <row r="24" spans="1:5" x14ac:dyDescent="0.25">
      <c r="A24">
        <v>3</v>
      </c>
      <c r="B24" t="s">
        <v>197</v>
      </c>
      <c r="C24" t="s">
        <v>198</v>
      </c>
      <c r="D24" t="s">
        <v>172</v>
      </c>
      <c r="E24" t="s">
        <v>199</v>
      </c>
    </row>
    <row r="25" spans="1:5" x14ac:dyDescent="0.25">
      <c r="A25">
        <v>4</v>
      </c>
      <c r="B25" t="s">
        <v>200</v>
      </c>
      <c r="C25" t="s">
        <v>198</v>
      </c>
      <c r="D25" t="s">
        <v>172</v>
      </c>
      <c r="E25" t="s">
        <v>199</v>
      </c>
    </row>
    <row r="26" spans="1:5" x14ac:dyDescent="0.25">
      <c r="A26">
        <v>5</v>
      </c>
      <c r="B26" t="s">
        <v>201</v>
      </c>
      <c r="C26" t="s">
        <v>198</v>
      </c>
      <c r="D26" t="s">
        <v>172</v>
      </c>
      <c r="E26" t="s">
        <v>199</v>
      </c>
    </row>
    <row r="27" spans="1:5" x14ac:dyDescent="0.25">
      <c r="A27">
        <v>6</v>
      </c>
      <c r="B27" t="s">
        <v>202</v>
      </c>
      <c r="C27" t="s">
        <v>198</v>
      </c>
      <c r="D27" t="s">
        <v>172</v>
      </c>
      <c r="E27" t="s">
        <v>199</v>
      </c>
    </row>
    <row r="28" spans="1:5" x14ac:dyDescent="0.25">
      <c r="A28">
        <v>8</v>
      </c>
      <c r="B28" t="s">
        <v>203</v>
      </c>
      <c r="C28" t="s">
        <v>198</v>
      </c>
      <c r="D28" t="s">
        <v>172</v>
      </c>
      <c r="E28" t="s">
        <v>199</v>
      </c>
    </row>
    <row r="29" spans="1:5" x14ac:dyDescent="0.25">
      <c r="A29">
        <v>9</v>
      </c>
      <c r="B29" t="s">
        <v>204</v>
      </c>
      <c r="C29" t="s">
        <v>198</v>
      </c>
      <c r="D29" t="s">
        <v>172</v>
      </c>
      <c r="E29" t="s">
        <v>199</v>
      </c>
    </row>
    <row r="30" spans="1:5" x14ac:dyDescent="0.25">
      <c r="A30">
        <v>10</v>
      </c>
      <c r="B30" t="s">
        <v>205</v>
      </c>
      <c r="C30" t="s">
        <v>198</v>
      </c>
      <c r="D30" t="s">
        <v>172</v>
      </c>
      <c r="E30" t="s">
        <v>199</v>
      </c>
    </row>
    <row r="31" spans="1:5" x14ac:dyDescent="0.25">
      <c r="A31">
        <v>28</v>
      </c>
      <c r="B31" t="s">
        <v>206</v>
      </c>
      <c r="C31" t="s">
        <v>198</v>
      </c>
      <c r="D31" t="s">
        <v>172</v>
      </c>
      <c r="E31" t="s">
        <v>199</v>
      </c>
    </row>
    <row r="32" spans="1:5" x14ac:dyDescent="0.25">
      <c r="A32">
        <v>54</v>
      </c>
      <c r="B32" t="s">
        <v>43</v>
      </c>
      <c r="C32" t="s">
        <v>207</v>
      </c>
      <c r="D32" t="s">
        <v>172</v>
      </c>
      <c r="E32" t="s">
        <v>208</v>
      </c>
    </row>
    <row r="33" spans="1:5" x14ac:dyDescent="0.25">
      <c r="A33">
        <v>39</v>
      </c>
      <c r="B33" t="s">
        <v>209</v>
      </c>
      <c r="C33" t="s">
        <v>195</v>
      </c>
      <c r="D33" t="s">
        <v>172</v>
      </c>
      <c r="E33" t="s">
        <v>196</v>
      </c>
    </row>
    <row r="34" spans="1:5" x14ac:dyDescent="0.25">
      <c r="A34">
        <v>40</v>
      </c>
      <c r="B34" t="s">
        <v>160</v>
      </c>
      <c r="C34" t="s">
        <v>195</v>
      </c>
      <c r="D34" t="s">
        <v>172</v>
      </c>
      <c r="E34" t="s">
        <v>196</v>
      </c>
    </row>
    <row r="35" spans="1:5" x14ac:dyDescent="0.25">
      <c r="A35">
        <v>41</v>
      </c>
      <c r="B35" t="s">
        <v>175</v>
      </c>
      <c r="C35" t="s">
        <v>210</v>
      </c>
      <c r="D35" t="s">
        <v>172</v>
      </c>
      <c r="E35" t="s">
        <v>196</v>
      </c>
    </row>
    <row r="36" spans="1:5" x14ac:dyDescent="0.25">
      <c r="A36">
        <v>42</v>
      </c>
      <c r="B36" t="s">
        <v>177</v>
      </c>
      <c r="C36" t="s">
        <v>210</v>
      </c>
      <c r="D36" t="s">
        <v>172</v>
      </c>
      <c r="E36" t="s">
        <v>196</v>
      </c>
    </row>
    <row r="37" spans="1:5" x14ac:dyDescent="0.25">
      <c r="A37">
        <v>43</v>
      </c>
      <c r="B37" t="s">
        <v>180</v>
      </c>
      <c r="C37" t="s">
        <v>210</v>
      </c>
      <c r="D37" t="s">
        <v>172</v>
      </c>
      <c r="E37" t="s">
        <v>196</v>
      </c>
    </row>
    <row r="38" spans="1:5" x14ac:dyDescent="0.25">
      <c r="A38">
        <v>44</v>
      </c>
      <c r="B38" t="s">
        <v>179</v>
      </c>
      <c r="C38" t="s">
        <v>210</v>
      </c>
      <c r="D38" t="s">
        <v>172</v>
      </c>
      <c r="E38" t="s">
        <v>196</v>
      </c>
    </row>
    <row r="39" spans="1:5" x14ac:dyDescent="0.25">
      <c r="A39">
        <v>45</v>
      </c>
      <c r="B39" t="s">
        <v>211</v>
      </c>
      <c r="C39" t="s">
        <v>210</v>
      </c>
      <c r="D39" t="s">
        <v>172</v>
      </c>
      <c r="E39" t="s">
        <v>196</v>
      </c>
    </row>
    <row r="40" spans="1:5" x14ac:dyDescent="0.25">
      <c r="A40">
        <v>46</v>
      </c>
      <c r="B40" t="s">
        <v>178</v>
      </c>
      <c r="C40" t="s">
        <v>210</v>
      </c>
      <c r="D40" t="s">
        <v>172</v>
      </c>
      <c r="E40" t="s">
        <v>196</v>
      </c>
    </row>
    <row r="41" spans="1:5" x14ac:dyDescent="0.25">
      <c r="A41">
        <v>47</v>
      </c>
      <c r="B41" t="s">
        <v>212</v>
      </c>
      <c r="C41" t="s">
        <v>213</v>
      </c>
      <c r="D41" t="s">
        <v>172</v>
      </c>
      <c r="E41" t="s">
        <v>196</v>
      </c>
    </row>
    <row r="42" spans="1:5" x14ac:dyDescent="0.25">
      <c r="A42">
        <v>48</v>
      </c>
      <c r="B42" t="s">
        <v>194</v>
      </c>
      <c r="C42" t="s">
        <v>213</v>
      </c>
      <c r="D42" t="s">
        <v>172</v>
      </c>
      <c r="E42" t="s">
        <v>196</v>
      </c>
    </row>
    <row r="43" spans="1:5" x14ac:dyDescent="0.25">
      <c r="A43">
        <v>49</v>
      </c>
      <c r="B43" t="s">
        <v>214</v>
      </c>
      <c r="C43" t="s">
        <v>213</v>
      </c>
      <c r="D43" t="s">
        <v>172</v>
      </c>
      <c r="E43" t="s">
        <v>196</v>
      </c>
    </row>
    <row r="44" spans="1:5" x14ac:dyDescent="0.25">
      <c r="A44">
        <v>50</v>
      </c>
      <c r="B44" t="s">
        <v>193</v>
      </c>
      <c r="C44" t="s">
        <v>213</v>
      </c>
      <c r="D44" t="s">
        <v>172</v>
      </c>
      <c r="E44" t="s">
        <v>196</v>
      </c>
    </row>
    <row r="45" spans="1:5" x14ac:dyDescent="0.25">
      <c r="A45">
        <v>51</v>
      </c>
      <c r="B45" t="s">
        <v>215</v>
      </c>
      <c r="C45" t="s">
        <v>213</v>
      </c>
      <c r="D45" t="s">
        <v>172</v>
      </c>
      <c r="E45" t="s">
        <v>196</v>
      </c>
    </row>
    <row r="46" spans="1:5" x14ac:dyDescent="0.25">
      <c r="A46">
        <v>52</v>
      </c>
      <c r="B46" t="s">
        <v>155</v>
      </c>
      <c r="C46" t="s">
        <v>213</v>
      </c>
      <c r="D46" t="s">
        <v>172</v>
      </c>
      <c r="E46" t="s">
        <v>196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5:F47"/>
  <sheetViews>
    <sheetView topLeftCell="B1" workbookViewId="0">
      <selection activeCell="G7" sqref="G7"/>
    </sheetView>
  </sheetViews>
  <sheetFormatPr defaultRowHeight="15" x14ac:dyDescent="0.25"/>
  <cols>
    <col min="2" max="2" width="30.28515625" style="6" customWidth="1"/>
    <col min="3" max="3" width="16.5703125" bestFit="1" customWidth="1"/>
    <col min="4" max="4" width="12.5703125" customWidth="1"/>
    <col min="5" max="5" width="14.140625" customWidth="1"/>
    <col min="6" max="6" width="9" customWidth="1"/>
    <col min="7" max="7" width="15.28515625" customWidth="1"/>
    <col min="8" max="8" width="16.140625" customWidth="1"/>
    <col min="9" max="9" width="18.5703125" customWidth="1"/>
    <col min="10" max="10" width="21.7109375" customWidth="1"/>
    <col min="11" max="11" width="9.7109375" customWidth="1"/>
    <col min="12" max="12" width="8.42578125" customWidth="1"/>
    <col min="13" max="13" width="19.28515625" customWidth="1"/>
    <col min="14" max="14" width="9.7109375" customWidth="1"/>
    <col min="15" max="16" width="8.28515625" customWidth="1"/>
    <col min="17" max="17" width="9.28515625" customWidth="1"/>
    <col min="18" max="18" width="11.5703125" customWidth="1"/>
    <col min="19" max="19" width="10" customWidth="1"/>
    <col min="20" max="20" width="13.28515625" customWidth="1"/>
    <col min="21" max="21" width="14.7109375" bestFit="1" customWidth="1"/>
    <col min="22" max="22" width="18.28515625" customWidth="1"/>
    <col min="23" max="23" width="11.28515625" customWidth="1"/>
    <col min="24" max="24" width="14.5703125" bestFit="1" customWidth="1"/>
    <col min="25" max="25" width="14.7109375" bestFit="1" customWidth="1"/>
    <col min="26" max="26" width="14.28515625" customWidth="1"/>
    <col min="27" max="27" width="15" customWidth="1"/>
    <col min="28" max="28" width="14.28515625" customWidth="1"/>
    <col min="29" max="29" width="13.7109375" customWidth="1"/>
    <col min="30" max="30" width="21.28515625" customWidth="1"/>
    <col min="31" max="31" width="24.5703125" customWidth="1"/>
    <col min="32" max="32" width="14.28515625" customWidth="1"/>
    <col min="33" max="33" width="16.7109375" customWidth="1"/>
    <col min="34" max="34" width="14.28515625" customWidth="1"/>
    <col min="35" max="35" width="12.42578125" customWidth="1"/>
    <col min="36" max="38" width="14.28515625" customWidth="1"/>
    <col min="39" max="39" width="14.85546875" customWidth="1"/>
    <col min="40" max="40" width="14.28515625" customWidth="1"/>
    <col min="41" max="41" width="12.42578125" customWidth="1"/>
    <col min="42" max="42" width="14.28515625" customWidth="1"/>
    <col min="43" max="43" width="13.28515625" customWidth="1"/>
    <col min="44" max="44" width="14.7109375" customWidth="1"/>
    <col min="45" max="45" width="18.28515625" bestFit="1" customWidth="1"/>
    <col min="46" max="46" width="14.28515625" customWidth="1"/>
    <col min="47" max="47" width="14.5703125" customWidth="1"/>
    <col min="48" max="48" width="17.7109375" bestFit="1" customWidth="1"/>
    <col min="49" max="49" width="21.7109375" bestFit="1" customWidth="1"/>
    <col min="50" max="50" width="19.85546875" bestFit="1" customWidth="1"/>
    <col min="51" max="51" width="21.7109375" bestFit="1" customWidth="1"/>
    <col min="52" max="52" width="19.85546875" bestFit="1" customWidth="1"/>
    <col min="53" max="53" width="21.7109375" bestFit="1" customWidth="1"/>
    <col min="54" max="54" width="24.5703125" bestFit="1" customWidth="1"/>
    <col min="55" max="55" width="21.7109375" bestFit="1" customWidth="1"/>
    <col min="56" max="56" width="19.85546875" bestFit="1" customWidth="1"/>
    <col min="57" max="57" width="21.7109375" bestFit="1" customWidth="1"/>
    <col min="58" max="58" width="19.85546875" bestFit="1" customWidth="1"/>
    <col min="59" max="59" width="21.7109375" bestFit="1" customWidth="1"/>
    <col min="60" max="60" width="19.85546875" bestFit="1" customWidth="1"/>
    <col min="61" max="61" width="21.7109375" bestFit="1" customWidth="1"/>
    <col min="62" max="62" width="19.85546875" bestFit="1" customWidth="1"/>
    <col min="63" max="63" width="21.7109375" bestFit="1" customWidth="1"/>
    <col min="64" max="64" width="19.85546875" bestFit="1" customWidth="1"/>
    <col min="65" max="65" width="21.7109375" bestFit="1" customWidth="1"/>
    <col min="66" max="66" width="19.85546875" bestFit="1" customWidth="1"/>
    <col min="67" max="67" width="21.7109375" bestFit="1" customWidth="1"/>
    <col min="68" max="68" width="19.85546875" bestFit="1" customWidth="1"/>
    <col min="69" max="69" width="21.7109375" bestFit="1" customWidth="1"/>
    <col min="70" max="70" width="19.85546875" bestFit="1" customWidth="1"/>
    <col min="71" max="71" width="25.140625" bestFit="1" customWidth="1"/>
    <col min="72" max="72" width="16.5703125" bestFit="1" customWidth="1"/>
    <col min="73" max="73" width="15" customWidth="1"/>
    <col min="74" max="74" width="16.5703125" customWidth="1"/>
    <col min="75" max="75" width="14.7109375" customWidth="1"/>
    <col min="76" max="76" width="21.28515625" bestFit="1" customWidth="1"/>
    <col min="77" max="77" width="24.5703125" bestFit="1" customWidth="1"/>
    <col min="78" max="78" width="16.5703125" bestFit="1" customWidth="1"/>
    <col min="79" max="79" width="16.7109375" bestFit="1" customWidth="1"/>
    <col min="80" max="80" width="16.5703125" bestFit="1" customWidth="1"/>
    <col min="81" max="81" width="14.7109375" customWidth="1"/>
    <col min="82" max="82" width="16.5703125" bestFit="1" customWidth="1"/>
    <col min="83" max="83" width="14.7109375" customWidth="1"/>
    <col min="84" max="84" width="16.5703125" bestFit="1" customWidth="1"/>
    <col min="85" max="85" width="14.85546875" customWidth="1"/>
    <col min="86" max="86" width="16.5703125" customWidth="1"/>
    <col min="87" max="87" width="14.7109375" customWidth="1"/>
    <col min="88" max="88" width="16.5703125" bestFit="1" customWidth="1"/>
    <col min="89" max="89" width="14.7109375" customWidth="1"/>
    <col min="90" max="90" width="16.5703125" bestFit="1" customWidth="1"/>
    <col min="91" max="91" width="18.28515625" bestFit="1" customWidth="1"/>
    <col min="92" max="92" width="16.5703125" bestFit="1" customWidth="1"/>
    <col min="93" max="93" width="14.7109375" customWidth="1"/>
    <col min="94" max="94" width="19.85546875" bestFit="1" customWidth="1"/>
    <col min="95" max="95" width="15.28515625" customWidth="1"/>
    <col min="96" max="96" width="15" customWidth="1"/>
    <col min="97" max="97" width="15.28515625" customWidth="1"/>
    <col min="98" max="98" width="13.7109375" customWidth="1"/>
    <col min="99" max="99" width="21.28515625" bestFit="1" customWidth="1"/>
    <col min="100" max="100" width="24.5703125" bestFit="1" customWidth="1"/>
    <col min="101" max="101" width="15.28515625" customWidth="1"/>
    <col min="102" max="102" width="16.7109375" customWidth="1"/>
    <col min="103" max="103" width="15.28515625" customWidth="1"/>
    <col min="104" max="104" width="13.28515625" customWidth="1"/>
    <col min="105" max="105" width="15.28515625" customWidth="1"/>
    <col min="106" max="106" width="14.28515625" customWidth="1"/>
    <col min="107" max="107" width="15.28515625" customWidth="1"/>
    <col min="108" max="108" width="14.85546875" customWidth="1"/>
    <col min="109" max="109" width="15.28515625" customWidth="1"/>
    <col min="110" max="110" width="13.28515625" customWidth="1"/>
    <col min="111" max="111" width="15.28515625" customWidth="1"/>
    <col min="112" max="112" width="13.28515625" customWidth="1"/>
    <col min="113" max="113" width="15.28515625" customWidth="1"/>
    <col min="114" max="114" width="18.28515625" bestFit="1" customWidth="1"/>
    <col min="115" max="115" width="15.28515625" customWidth="1"/>
    <col min="116" max="116" width="14.5703125" customWidth="1"/>
    <col min="117" max="117" width="18.5703125" bestFit="1" customWidth="1"/>
    <col min="118" max="118" width="15.5703125" bestFit="1" customWidth="1"/>
    <col min="119" max="119" width="15" customWidth="1"/>
    <col min="120" max="120" width="15.5703125" bestFit="1" customWidth="1"/>
    <col min="121" max="121" width="13.7109375" customWidth="1"/>
    <col min="122" max="122" width="21.28515625" bestFit="1" customWidth="1"/>
    <col min="123" max="123" width="24.5703125" bestFit="1" customWidth="1"/>
    <col min="124" max="124" width="15.5703125" customWidth="1"/>
    <col min="125" max="125" width="16.7109375" customWidth="1"/>
    <col min="126" max="126" width="15.5703125" customWidth="1"/>
    <col min="127" max="127" width="13.7109375" customWidth="1"/>
    <col min="128" max="128" width="15.5703125" customWidth="1"/>
    <col min="129" max="129" width="14.28515625" customWidth="1"/>
    <col min="130" max="130" width="15.5703125" customWidth="1"/>
    <col min="131" max="131" width="14.85546875" customWidth="1"/>
    <col min="132" max="132" width="15.5703125" customWidth="1"/>
    <col min="133" max="133" width="13.7109375" customWidth="1"/>
    <col min="134" max="134" width="15.5703125" customWidth="1"/>
    <col min="135" max="135" width="13.7109375" customWidth="1"/>
    <col min="136" max="136" width="15.5703125" customWidth="1"/>
    <col min="137" max="137" width="18.28515625" customWidth="1"/>
    <col min="138" max="138" width="15.5703125" customWidth="1"/>
    <col min="139" max="139" width="14.5703125" customWidth="1"/>
    <col min="140" max="140" width="18.85546875" bestFit="1" customWidth="1"/>
    <col min="141" max="141" width="16.28515625" customWidth="1"/>
    <col min="142" max="142" width="15" customWidth="1"/>
    <col min="143" max="143" width="16.28515625" customWidth="1"/>
    <col min="144" max="144" width="14.28515625" customWidth="1"/>
    <col min="145" max="145" width="21.28515625" bestFit="1" customWidth="1"/>
    <col min="146" max="146" width="24.5703125" bestFit="1" customWidth="1"/>
    <col min="147" max="147" width="16.28515625" customWidth="1"/>
    <col min="148" max="148" width="16.7109375" customWidth="1"/>
    <col min="149" max="149" width="16.28515625" customWidth="1"/>
    <col min="150" max="150" width="14.28515625" customWidth="1"/>
    <col min="151" max="151" width="16.28515625" customWidth="1"/>
    <col min="152" max="152" width="14.28515625" customWidth="1"/>
    <col min="153" max="153" width="16.28515625" customWidth="1"/>
    <col min="154" max="154" width="14.85546875" customWidth="1"/>
    <col min="155" max="155" width="16.28515625" customWidth="1"/>
    <col min="156" max="156" width="14.28515625" customWidth="1"/>
    <col min="157" max="157" width="16.28515625" customWidth="1"/>
    <col min="158" max="158" width="14.28515625" customWidth="1"/>
    <col min="159" max="159" width="16.28515625" bestFit="1" customWidth="1"/>
    <col min="160" max="160" width="18.28515625" bestFit="1" customWidth="1"/>
    <col min="161" max="161" width="16.28515625" bestFit="1" customWidth="1"/>
    <col min="162" max="162" width="14.5703125" bestFit="1" customWidth="1"/>
    <col min="163" max="163" width="19.5703125" bestFit="1" customWidth="1"/>
    <col min="164" max="164" width="15.5703125" bestFit="1" customWidth="1"/>
    <col min="165" max="165" width="15" bestFit="1" customWidth="1"/>
    <col min="166" max="166" width="15.5703125" bestFit="1" customWidth="1"/>
    <col min="167" max="167" width="13.7109375" bestFit="1" customWidth="1"/>
    <col min="168" max="168" width="21.28515625" bestFit="1" customWidth="1"/>
    <col min="169" max="169" width="24.5703125" bestFit="1" customWidth="1"/>
    <col min="170" max="170" width="15.5703125" bestFit="1" customWidth="1"/>
    <col min="171" max="171" width="16.7109375" bestFit="1" customWidth="1"/>
    <col min="172" max="172" width="15.5703125" bestFit="1" customWidth="1"/>
    <col min="173" max="173" width="13.7109375" bestFit="1" customWidth="1"/>
    <col min="174" max="174" width="15.5703125" bestFit="1" customWidth="1"/>
    <col min="175" max="175" width="14.28515625" bestFit="1" customWidth="1"/>
    <col min="176" max="176" width="15.5703125" bestFit="1" customWidth="1"/>
    <col min="177" max="177" width="14.85546875" bestFit="1" customWidth="1"/>
    <col min="178" max="178" width="15.5703125" bestFit="1" customWidth="1"/>
    <col min="179" max="179" width="13.7109375" bestFit="1" customWidth="1"/>
    <col min="180" max="180" width="15.5703125" bestFit="1" customWidth="1"/>
    <col min="181" max="181" width="13.7109375" bestFit="1" customWidth="1"/>
    <col min="182" max="182" width="15.5703125" bestFit="1" customWidth="1"/>
    <col min="183" max="183" width="18.28515625" bestFit="1" customWidth="1"/>
    <col min="184" max="184" width="15.5703125" bestFit="1" customWidth="1"/>
    <col min="185" max="185" width="14.5703125" bestFit="1" customWidth="1"/>
    <col min="186" max="186" width="18.85546875" bestFit="1" customWidth="1"/>
    <col min="187" max="187" width="19.7109375" bestFit="1" customWidth="1"/>
    <col min="188" max="188" width="17.85546875" bestFit="1" customWidth="1"/>
    <col min="189" max="189" width="19.7109375" bestFit="1" customWidth="1"/>
    <col min="190" max="190" width="17.85546875" bestFit="1" customWidth="1"/>
    <col min="191" max="191" width="21.28515625" bestFit="1" customWidth="1"/>
    <col min="192" max="192" width="24.5703125" bestFit="1" customWidth="1"/>
    <col min="193" max="193" width="19.7109375" bestFit="1" customWidth="1"/>
    <col min="194" max="194" width="17.85546875" bestFit="1" customWidth="1"/>
    <col min="195" max="195" width="19.7109375" bestFit="1" customWidth="1"/>
    <col min="196" max="196" width="17.85546875" bestFit="1" customWidth="1"/>
    <col min="197" max="197" width="19.7109375" bestFit="1" customWidth="1"/>
    <col min="198" max="198" width="17.85546875" bestFit="1" customWidth="1"/>
    <col min="199" max="199" width="19.7109375" bestFit="1" customWidth="1"/>
    <col min="200" max="200" width="17.85546875" bestFit="1" customWidth="1"/>
    <col min="201" max="201" width="19.7109375" bestFit="1" customWidth="1"/>
    <col min="202" max="202" width="17.85546875" bestFit="1" customWidth="1"/>
    <col min="203" max="203" width="19.7109375" bestFit="1" customWidth="1"/>
    <col min="204" max="204" width="17.85546875" bestFit="1" customWidth="1"/>
    <col min="205" max="205" width="19.7109375" bestFit="1" customWidth="1"/>
    <col min="206" max="206" width="18.28515625" bestFit="1" customWidth="1"/>
    <col min="207" max="207" width="19.7109375" bestFit="1" customWidth="1"/>
    <col min="208" max="208" width="17.85546875" bestFit="1" customWidth="1"/>
    <col min="209" max="209" width="23.140625" bestFit="1" customWidth="1"/>
    <col min="210" max="210" width="15.42578125" bestFit="1" customWidth="1"/>
    <col min="211" max="211" width="15" bestFit="1" customWidth="1"/>
    <col min="212" max="212" width="15.42578125" bestFit="1" customWidth="1"/>
    <col min="213" max="213" width="13.7109375" bestFit="1" customWidth="1"/>
    <col min="214" max="214" width="21.28515625" bestFit="1" customWidth="1"/>
    <col min="215" max="215" width="24.5703125" bestFit="1" customWidth="1"/>
    <col min="216" max="216" width="15.42578125" bestFit="1" customWidth="1"/>
    <col min="217" max="217" width="16.7109375" bestFit="1" customWidth="1"/>
    <col min="218" max="218" width="15.42578125" bestFit="1" customWidth="1"/>
    <col min="219" max="219" width="13.5703125" bestFit="1" customWidth="1"/>
    <col min="220" max="220" width="15.42578125" bestFit="1" customWidth="1"/>
    <col min="221" max="221" width="14.28515625" bestFit="1" customWidth="1"/>
    <col min="222" max="222" width="15.42578125" bestFit="1" customWidth="1"/>
    <col min="223" max="223" width="14.85546875" bestFit="1" customWidth="1"/>
    <col min="224" max="224" width="15.42578125" bestFit="1" customWidth="1"/>
    <col min="225" max="225" width="13.5703125" bestFit="1" customWidth="1"/>
    <col min="226" max="226" width="15.42578125" bestFit="1" customWidth="1"/>
    <col min="227" max="227" width="13.5703125" bestFit="1" customWidth="1"/>
    <col min="228" max="228" width="15.42578125" bestFit="1" customWidth="1"/>
    <col min="229" max="229" width="18.28515625" bestFit="1" customWidth="1"/>
    <col min="230" max="230" width="15.42578125" bestFit="1" customWidth="1"/>
    <col min="231" max="231" width="14.5703125" bestFit="1" customWidth="1"/>
    <col min="232" max="232" width="18.7109375" bestFit="1" customWidth="1"/>
    <col min="233" max="233" width="16.5703125" bestFit="1" customWidth="1"/>
    <col min="234" max="234" width="15" bestFit="1" customWidth="1"/>
    <col min="235" max="235" width="16.5703125" bestFit="1" customWidth="1"/>
    <col min="236" max="236" width="14.7109375" bestFit="1" customWidth="1"/>
    <col min="237" max="237" width="21.28515625" bestFit="1" customWidth="1"/>
    <col min="238" max="238" width="24.5703125" bestFit="1" customWidth="1"/>
    <col min="239" max="239" width="16.5703125" bestFit="1" customWidth="1"/>
    <col min="240" max="240" width="16.7109375" bestFit="1" customWidth="1"/>
    <col min="241" max="241" width="16.5703125" bestFit="1" customWidth="1"/>
    <col min="242" max="242" width="14.7109375" bestFit="1" customWidth="1"/>
    <col min="243" max="243" width="16.5703125" bestFit="1" customWidth="1"/>
    <col min="244" max="244" width="14.7109375" bestFit="1" customWidth="1"/>
    <col min="245" max="245" width="16.5703125" bestFit="1" customWidth="1"/>
    <col min="246" max="246" width="14.85546875" bestFit="1" customWidth="1"/>
    <col min="247" max="247" width="16.5703125" bestFit="1" customWidth="1"/>
    <col min="248" max="248" width="14.7109375" bestFit="1" customWidth="1"/>
    <col min="249" max="249" width="16.5703125" bestFit="1" customWidth="1"/>
    <col min="250" max="250" width="14.7109375" bestFit="1" customWidth="1"/>
    <col min="251" max="251" width="16.5703125" bestFit="1" customWidth="1"/>
    <col min="252" max="252" width="18.28515625" bestFit="1" customWidth="1"/>
    <col min="253" max="253" width="16.5703125" bestFit="1" customWidth="1"/>
    <col min="254" max="254" width="14.7109375" bestFit="1" customWidth="1"/>
    <col min="255" max="255" width="19.85546875" bestFit="1" customWidth="1"/>
    <col min="256" max="256" width="18.85546875" bestFit="1" customWidth="1"/>
    <col min="257" max="257" width="17" bestFit="1" customWidth="1"/>
    <col min="258" max="258" width="18.85546875" bestFit="1" customWidth="1"/>
    <col min="259" max="259" width="17" bestFit="1" customWidth="1"/>
    <col min="260" max="260" width="21.28515625" bestFit="1" customWidth="1"/>
    <col min="261" max="261" width="24.5703125" bestFit="1" customWidth="1"/>
    <col min="262" max="262" width="18.85546875" bestFit="1" customWidth="1"/>
    <col min="263" max="263" width="17" bestFit="1" customWidth="1"/>
    <col min="264" max="264" width="18.85546875" bestFit="1" customWidth="1"/>
    <col min="265" max="265" width="17" bestFit="1" customWidth="1"/>
    <col min="266" max="266" width="18.85546875" bestFit="1" customWidth="1"/>
    <col min="267" max="267" width="17" bestFit="1" customWidth="1"/>
    <col min="268" max="268" width="18.85546875" bestFit="1" customWidth="1"/>
    <col min="269" max="269" width="17" bestFit="1" customWidth="1"/>
    <col min="270" max="270" width="18.85546875" bestFit="1" customWidth="1"/>
    <col min="271" max="271" width="17" bestFit="1" customWidth="1"/>
    <col min="272" max="272" width="18.85546875" bestFit="1" customWidth="1"/>
    <col min="273" max="273" width="17" bestFit="1" customWidth="1"/>
    <col min="274" max="274" width="18.85546875" bestFit="1" customWidth="1"/>
    <col min="275" max="275" width="18.28515625" bestFit="1" customWidth="1"/>
    <col min="276" max="276" width="18.85546875" bestFit="1" customWidth="1"/>
    <col min="277" max="277" width="17" bestFit="1" customWidth="1"/>
    <col min="278" max="278" width="22.28515625" bestFit="1" customWidth="1"/>
    <col min="279" max="279" width="17.28515625" bestFit="1" customWidth="1"/>
    <col min="280" max="280" width="15.28515625" bestFit="1" customWidth="1"/>
    <col min="281" max="281" width="17.28515625" bestFit="1" customWidth="1"/>
    <col min="282" max="282" width="15.28515625" bestFit="1" customWidth="1"/>
    <col min="283" max="283" width="21.28515625" bestFit="1" customWidth="1"/>
    <col min="284" max="284" width="24.5703125" bestFit="1" customWidth="1"/>
    <col min="285" max="285" width="17.28515625" bestFit="1" customWidth="1"/>
    <col min="286" max="286" width="16.7109375" bestFit="1" customWidth="1"/>
    <col min="287" max="287" width="17.28515625" bestFit="1" customWidth="1"/>
    <col min="288" max="288" width="15.28515625" bestFit="1" customWidth="1"/>
    <col min="289" max="289" width="17.28515625" bestFit="1" customWidth="1"/>
    <col min="290" max="290" width="15.28515625" bestFit="1" customWidth="1"/>
    <col min="291" max="291" width="17.28515625" bestFit="1" customWidth="1"/>
    <col min="292" max="292" width="15.28515625" bestFit="1" customWidth="1"/>
    <col min="293" max="293" width="17.28515625" bestFit="1" customWidth="1"/>
    <col min="294" max="294" width="15.28515625" bestFit="1" customWidth="1"/>
    <col min="295" max="295" width="17.28515625" bestFit="1" customWidth="1"/>
    <col min="296" max="296" width="15.28515625" bestFit="1" customWidth="1"/>
    <col min="297" max="297" width="17.28515625" bestFit="1" customWidth="1"/>
    <col min="298" max="298" width="18.28515625" bestFit="1" customWidth="1"/>
    <col min="299" max="299" width="17.28515625" bestFit="1" customWidth="1"/>
    <col min="300" max="300" width="15.28515625" bestFit="1" customWidth="1"/>
    <col min="301" max="301" width="20.5703125" bestFit="1" customWidth="1"/>
  </cols>
  <sheetData>
    <row r="5" spans="2:6" x14ac:dyDescent="0.25">
      <c r="B5" s="5" t="s">
        <v>233</v>
      </c>
      <c r="C5" s="2" t="s">
        <v>216</v>
      </c>
      <c r="D5" s="3"/>
      <c r="E5" s="3"/>
      <c r="F5" s="3"/>
    </row>
    <row r="6" spans="2:6" x14ac:dyDescent="0.25">
      <c r="B6" s="5" t="s">
        <v>217</v>
      </c>
      <c r="C6" s="3" t="s">
        <v>158</v>
      </c>
      <c r="D6" s="3" t="s">
        <v>150</v>
      </c>
      <c r="E6" s="3" t="s">
        <v>156</v>
      </c>
      <c r="F6" s="3" t="s">
        <v>152</v>
      </c>
    </row>
    <row r="7" spans="2:6" x14ac:dyDescent="0.25">
      <c r="B7" s="7" t="s">
        <v>101</v>
      </c>
      <c r="C7" s="4">
        <v>40000</v>
      </c>
      <c r="D7" s="4">
        <v>0</v>
      </c>
      <c r="E7" s="4">
        <v>30000</v>
      </c>
      <c r="F7" s="4">
        <v>15500</v>
      </c>
    </row>
    <row r="8" spans="2:6" x14ac:dyDescent="0.25">
      <c r="B8" s="7" t="s">
        <v>100</v>
      </c>
      <c r="C8" s="4">
        <v>40000</v>
      </c>
      <c r="D8" s="4">
        <v>0</v>
      </c>
      <c r="E8" s="4">
        <v>0</v>
      </c>
      <c r="F8" s="4">
        <v>15500</v>
      </c>
    </row>
    <row r="9" spans="2:6" x14ac:dyDescent="0.25">
      <c r="B9" s="6" t="s">
        <v>55</v>
      </c>
      <c r="C9" s="4">
        <v>20000</v>
      </c>
      <c r="D9" s="4">
        <v>0</v>
      </c>
      <c r="E9" s="4">
        <v>0</v>
      </c>
      <c r="F9" s="4">
        <v>0</v>
      </c>
    </row>
    <row r="10" spans="2:6" x14ac:dyDescent="0.25">
      <c r="B10" s="6" t="s">
        <v>45</v>
      </c>
      <c r="C10" s="4">
        <v>20000</v>
      </c>
      <c r="D10" s="4">
        <v>0</v>
      </c>
      <c r="E10" s="4">
        <v>0</v>
      </c>
      <c r="F10" s="4">
        <v>15500</v>
      </c>
    </row>
    <row r="11" spans="2:6" x14ac:dyDescent="0.25">
      <c r="B11" s="7" t="s">
        <v>104</v>
      </c>
      <c r="C11" s="4">
        <v>0</v>
      </c>
      <c r="D11" s="4">
        <v>0</v>
      </c>
      <c r="E11" s="4">
        <v>30000</v>
      </c>
      <c r="F11" s="4">
        <v>0</v>
      </c>
    </row>
    <row r="12" spans="2:6" x14ac:dyDescent="0.25">
      <c r="B12" s="6" t="s">
        <v>103</v>
      </c>
      <c r="C12" s="4">
        <v>0</v>
      </c>
      <c r="D12" s="4">
        <v>0</v>
      </c>
      <c r="E12" s="4">
        <v>30000</v>
      </c>
      <c r="F12" s="4">
        <v>0</v>
      </c>
    </row>
    <row r="13" spans="2:6" x14ac:dyDescent="0.25">
      <c r="B13" s="7" t="s">
        <v>119</v>
      </c>
      <c r="C13" s="4">
        <v>52200</v>
      </c>
      <c r="D13" s="4">
        <v>0</v>
      </c>
      <c r="E13" s="4">
        <v>0</v>
      </c>
      <c r="F13" s="4">
        <v>0</v>
      </c>
    </row>
    <row r="14" spans="2:6" x14ac:dyDescent="0.25">
      <c r="B14" s="7" t="s">
        <v>118</v>
      </c>
      <c r="C14" s="4">
        <v>52200</v>
      </c>
      <c r="D14" s="4">
        <v>0</v>
      </c>
      <c r="E14" s="4">
        <v>0</v>
      </c>
      <c r="F14" s="4">
        <v>0</v>
      </c>
    </row>
    <row r="15" spans="2:6" x14ac:dyDescent="0.25">
      <c r="B15" s="6" t="s">
        <v>61</v>
      </c>
      <c r="C15" s="4">
        <v>30000</v>
      </c>
      <c r="D15" s="4">
        <v>0</v>
      </c>
      <c r="E15" s="4">
        <v>0</v>
      </c>
      <c r="F15" s="4">
        <v>0</v>
      </c>
    </row>
    <row r="16" spans="2:6" x14ac:dyDescent="0.25">
      <c r="B16" s="6" t="s">
        <v>122</v>
      </c>
      <c r="C16" s="4">
        <v>22200</v>
      </c>
      <c r="D16" s="4">
        <v>0</v>
      </c>
      <c r="E16" s="4">
        <v>0</v>
      </c>
      <c r="F16" s="4">
        <v>0</v>
      </c>
    </row>
    <row r="17" spans="2:6" x14ac:dyDescent="0.25">
      <c r="B17" s="7" t="s">
        <v>76</v>
      </c>
      <c r="C17" s="4">
        <v>2000</v>
      </c>
      <c r="D17" s="4">
        <v>20000</v>
      </c>
      <c r="E17" s="4">
        <v>0</v>
      </c>
      <c r="F17" s="4">
        <v>10000</v>
      </c>
    </row>
    <row r="18" spans="2:6" x14ac:dyDescent="0.25">
      <c r="B18" s="7" t="s">
        <v>74</v>
      </c>
      <c r="C18" s="4">
        <v>2000</v>
      </c>
      <c r="D18" s="4">
        <v>20000</v>
      </c>
      <c r="E18" s="4">
        <v>0</v>
      </c>
      <c r="F18" s="4">
        <v>10000</v>
      </c>
    </row>
    <row r="19" spans="2:6" x14ac:dyDescent="0.25">
      <c r="B19" s="6" t="s">
        <v>62</v>
      </c>
      <c r="C19" s="4">
        <v>2000</v>
      </c>
      <c r="D19" s="4">
        <v>0</v>
      </c>
      <c r="E19" s="4">
        <v>0</v>
      </c>
      <c r="F19" s="4">
        <v>0</v>
      </c>
    </row>
    <row r="20" spans="2:6" x14ac:dyDescent="0.25">
      <c r="B20" s="3" t="s">
        <v>77</v>
      </c>
      <c r="C20" s="4">
        <v>0</v>
      </c>
      <c r="D20" s="4">
        <v>0</v>
      </c>
      <c r="E20" s="4">
        <v>0</v>
      </c>
      <c r="F20" s="4">
        <v>10000</v>
      </c>
    </row>
    <row r="21" spans="2:6" x14ac:dyDescent="0.25">
      <c r="B21" s="6" t="s">
        <v>78</v>
      </c>
      <c r="C21" s="4">
        <v>0</v>
      </c>
      <c r="D21" s="4">
        <v>20000</v>
      </c>
      <c r="E21" s="4">
        <v>0</v>
      </c>
      <c r="F21" s="4">
        <v>0</v>
      </c>
    </row>
    <row r="22" spans="2:6" x14ac:dyDescent="0.25">
      <c r="B22"/>
    </row>
    <row r="23" spans="2:6" x14ac:dyDescent="0.25">
      <c r="B23"/>
    </row>
    <row r="24" spans="2:6" x14ac:dyDescent="0.25">
      <c r="B24"/>
    </row>
    <row r="25" spans="2:6" x14ac:dyDescent="0.25">
      <c r="B25"/>
    </row>
    <row r="26" spans="2:6" x14ac:dyDescent="0.25">
      <c r="B26"/>
    </row>
    <row r="27" spans="2:6" x14ac:dyDescent="0.25">
      <c r="B27"/>
    </row>
    <row r="28" spans="2:6" x14ac:dyDescent="0.25">
      <c r="B28"/>
    </row>
    <row r="29" spans="2:6" x14ac:dyDescent="0.25">
      <c r="B29"/>
    </row>
    <row r="30" spans="2:6" x14ac:dyDescent="0.25">
      <c r="B30"/>
    </row>
    <row r="31" spans="2:6" x14ac:dyDescent="0.25">
      <c r="B31"/>
    </row>
    <row r="32" spans="2:6" x14ac:dyDescent="0.25">
      <c r="B32"/>
    </row>
    <row r="33" spans="2:2" x14ac:dyDescent="0.25">
      <c r="B33"/>
    </row>
    <row r="34" spans="2:2" x14ac:dyDescent="0.25">
      <c r="B34"/>
    </row>
    <row r="35" spans="2:2" x14ac:dyDescent="0.25">
      <c r="B35"/>
    </row>
    <row r="36" spans="2:2" x14ac:dyDescent="0.25">
      <c r="B36"/>
    </row>
    <row r="37" spans="2:2" x14ac:dyDescent="0.25">
      <c r="B37"/>
    </row>
    <row r="38" spans="2:2" x14ac:dyDescent="0.25">
      <c r="B38"/>
    </row>
    <row r="39" spans="2:2" x14ac:dyDescent="0.25">
      <c r="B39"/>
    </row>
    <row r="40" spans="2:2" x14ac:dyDescent="0.25">
      <c r="B40"/>
    </row>
    <row r="41" spans="2:2" x14ac:dyDescent="0.25">
      <c r="B41"/>
    </row>
    <row r="42" spans="2:2" x14ac:dyDescent="0.25">
      <c r="B42"/>
    </row>
    <row r="43" spans="2:2" x14ac:dyDescent="0.25">
      <c r="B43"/>
    </row>
    <row r="44" spans="2:2" x14ac:dyDescent="0.25">
      <c r="B44"/>
    </row>
    <row r="45" spans="2:2" x14ac:dyDescent="0.25">
      <c r="B45"/>
    </row>
    <row r="46" spans="2:2" x14ac:dyDescent="0.25">
      <c r="B46"/>
    </row>
    <row r="47" spans="2:2" x14ac:dyDescent="0.25">
      <c r="B47"/>
    </row>
  </sheetData>
  <dataConsolidate/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N84"/>
  <sheetViews>
    <sheetView tabSelected="1" topLeftCell="E1" zoomScaleNormal="100" workbookViewId="0">
      <pane xSplit="3" topLeftCell="H1" activePane="topRight" state="frozen"/>
      <selection activeCell="E1" sqref="E1"/>
      <selection pane="topRight" activeCell="P28" sqref="P28"/>
    </sheetView>
  </sheetViews>
  <sheetFormatPr defaultRowHeight="15" x14ac:dyDescent="0.25"/>
  <cols>
    <col min="1" max="1" width="26.42578125" style="13" hidden="1" customWidth="1"/>
    <col min="2" max="2" width="18.42578125" style="11" hidden="1" customWidth="1"/>
    <col min="3" max="3" width="10.28515625" hidden="1" customWidth="1"/>
    <col min="4" max="4" width="12.28515625" hidden="1" customWidth="1"/>
    <col min="5" max="5" width="9.140625" customWidth="1"/>
    <col min="6" max="6" width="9.140625" style="15"/>
    <col min="7" max="7" width="30.42578125" customWidth="1"/>
    <col min="8" max="8" width="23.28515625" customWidth="1"/>
    <col min="9" max="9" width="12.28515625" customWidth="1"/>
    <col min="10" max="10" width="12.85546875" customWidth="1"/>
    <col min="11" max="11" width="14.7109375" customWidth="1"/>
    <col min="12" max="12" width="10.85546875" customWidth="1"/>
    <col min="13" max="13" width="9.7109375" customWidth="1"/>
    <col min="14" max="14" width="14.140625" customWidth="1"/>
    <col min="15" max="15" width="10.7109375" customWidth="1"/>
    <col min="16" max="16" width="10.42578125" customWidth="1"/>
    <col min="17" max="17" width="13" customWidth="1"/>
    <col min="18" max="18" width="12.28515625" customWidth="1"/>
    <col min="19" max="19" width="11.28515625" customWidth="1"/>
    <col min="20" max="20" width="9.140625" customWidth="1"/>
    <col min="21" max="21" width="15.140625" customWidth="1"/>
    <col min="22" max="22" width="8.85546875" customWidth="1"/>
    <col min="23" max="23" width="11.28515625" customWidth="1"/>
    <col min="24" max="24" width="9.85546875" customWidth="1"/>
    <col min="25" max="25" width="13.140625" customWidth="1"/>
    <col min="26" max="26" width="14.28515625" customWidth="1"/>
    <col min="27" max="27" width="13.28515625" customWidth="1"/>
    <col min="28" max="28" width="13" customWidth="1"/>
    <col min="29" max="29" width="10.7109375" customWidth="1"/>
    <col min="30" max="30" width="19.85546875" customWidth="1"/>
    <col min="31" max="31" width="10" customWidth="1"/>
    <col min="32" max="32" width="8.140625" customWidth="1"/>
    <col min="33" max="33" width="17.7109375" customWidth="1"/>
    <col min="34" max="34" width="15.28515625" customWidth="1"/>
    <col min="35" max="35" width="13.85546875" customWidth="1"/>
    <col min="36" max="36" width="19.85546875" customWidth="1"/>
    <col min="37" max="37" width="13.85546875" customWidth="1"/>
    <col min="38" max="38" width="15.28515625" customWidth="1"/>
    <col min="39" max="39" width="13.85546875" customWidth="1"/>
    <col min="40" max="40" width="15.28515625" customWidth="1"/>
    <col min="41" max="41" width="13.85546875" bestFit="1" customWidth="1"/>
    <col min="42" max="42" width="15.28515625" customWidth="1"/>
    <col min="43" max="43" width="13.85546875" customWidth="1"/>
    <col min="44" max="44" width="15.28515625" customWidth="1"/>
    <col min="45" max="45" width="13.85546875" customWidth="1"/>
    <col min="46" max="46" width="15.28515625" bestFit="1" customWidth="1"/>
    <col min="47" max="47" width="13.85546875" bestFit="1" customWidth="1"/>
    <col min="48" max="48" width="17.7109375" bestFit="1" customWidth="1"/>
    <col min="49" max="49" width="16.140625" bestFit="1" customWidth="1"/>
    <col min="50" max="50" width="20.28515625" bestFit="1" customWidth="1"/>
    <col min="51" max="51" width="18.85546875" bestFit="1" customWidth="1"/>
    <col min="52" max="52" width="19.85546875" bestFit="1" customWidth="1"/>
    <col min="53" max="53" width="13.85546875" bestFit="1" customWidth="1"/>
    <col min="54" max="54" width="15.28515625" bestFit="1" customWidth="1"/>
    <col min="55" max="55" width="13.85546875" bestFit="1" customWidth="1"/>
    <col min="56" max="56" width="17.7109375" bestFit="1" customWidth="1"/>
    <col min="57" max="57" width="16.140625" bestFit="1" customWidth="1"/>
    <col min="58" max="58" width="27.28515625" bestFit="1" customWidth="1"/>
    <col min="59" max="59" width="25.85546875" bestFit="1" customWidth="1"/>
  </cols>
  <sheetData>
    <row r="1" spans="1:66" x14ac:dyDescent="0.25">
      <c r="A1" s="10"/>
      <c r="C1" s="10"/>
      <c r="D1" s="10"/>
      <c r="E1" s="10"/>
      <c r="F1" s="16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9"/>
      <c r="V1" s="9"/>
      <c r="W1" s="9"/>
      <c r="X1" s="9"/>
      <c r="Y1" s="9"/>
      <c r="Z1" s="9"/>
      <c r="AA1" s="9"/>
    </row>
    <row r="2" spans="1:66" x14ac:dyDescent="0.25">
      <c r="A2" s="10"/>
      <c r="C2" s="10"/>
      <c r="D2" s="10"/>
      <c r="E2" s="10"/>
      <c r="F2" s="16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9"/>
      <c r="V2" s="9"/>
      <c r="W2" s="9"/>
      <c r="X2" s="9"/>
      <c r="Y2" s="9"/>
      <c r="Z2" s="9"/>
      <c r="AA2" s="9"/>
    </row>
    <row r="3" spans="1:66" x14ac:dyDescent="0.25">
      <c r="A3" s="48"/>
      <c r="B3" s="49"/>
      <c r="C3" s="48"/>
      <c r="D3" s="48"/>
      <c r="E3" s="48"/>
      <c r="F3" s="49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9"/>
      <c r="V3" s="9"/>
      <c r="W3" s="9"/>
      <c r="X3" s="9"/>
      <c r="Y3" s="9"/>
      <c r="Z3" s="9"/>
      <c r="AA3" s="9"/>
    </row>
    <row r="4" spans="1:66" x14ac:dyDescent="0.25">
      <c r="A4" s="48"/>
      <c r="B4" s="49"/>
      <c r="C4" s="48"/>
      <c r="D4" s="48"/>
      <c r="E4" s="48"/>
      <c r="F4" s="49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9"/>
      <c r="V4" s="9"/>
      <c r="W4" s="9"/>
      <c r="X4" s="9"/>
      <c r="Y4" s="9"/>
      <c r="Z4" s="9"/>
      <c r="AA4" s="9"/>
    </row>
    <row r="5" spans="1:66" x14ac:dyDescent="0.25">
      <c r="A5" s="48"/>
      <c r="B5" s="49"/>
      <c r="C5" s="48"/>
      <c r="D5" s="48"/>
      <c r="E5" s="48"/>
      <c r="F5" s="49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9"/>
      <c r="V5" s="9"/>
      <c r="W5" s="9"/>
      <c r="X5" s="9"/>
      <c r="Y5" s="9"/>
      <c r="Z5" s="9"/>
      <c r="AA5" s="9"/>
    </row>
    <row r="6" spans="1:66" ht="15.75" x14ac:dyDescent="0.25">
      <c r="C6" s="9"/>
      <c r="D6" s="9"/>
      <c r="E6" s="9"/>
      <c r="F6" s="50" t="s">
        <v>274</v>
      </c>
      <c r="G6" s="50" t="s">
        <v>273</v>
      </c>
      <c r="H6" s="57" t="str">
        <f>IF(H10="",$F$6, IF(ISNUMBER(SEARCH("Sum", H10)), "Tổng", H10))</f>
        <v>Tồn đầu kỳ</v>
      </c>
      <c r="I6" s="57" t="str">
        <f t="shared" ref="I6:AB6" si="0">IF(I10="",$F$6, IF(ISNUMBER(SEARCH("Sum", I10)), "Tổng", I10))</f>
        <v>Tồn đầu kỳ</v>
      </c>
      <c r="J6" s="57" t="str">
        <f t="shared" si="0"/>
        <v>Tổng</v>
      </c>
      <c r="K6" s="57" t="str">
        <f t="shared" si="0"/>
        <v>Nhập</v>
      </c>
      <c r="L6" s="57" t="str">
        <f t="shared" si="0"/>
        <v>Nhập</v>
      </c>
      <c r="M6" s="57" t="str">
        <f t="shared" si="0"/>
        <v>Nhập</v>
      </c>
      <c r="N6" s="57" t="str">
        <f t="shared" si="0"/>
        <v>Nhập</v>
      </c>
      <c r="O6" s="57" t="str">
        <f t="shared" si="0"/>
        <v>Nhập</v>
      </c>
      <c r="P6" s="57" t="str">
        <f t="shared" si="0"/>
        <v>Nhập</v>
      </c>
      <c r="Q6" s="57" t="str">
        <f t="shared" si="0"/>
        <v>Tổng</v>
      </c>
      <c r="R6" s="57" t="str">
        <f t="shared" si="0"/>
        <v>Xuất</v>
      </c>
      <c r="S6" s="57" t="str">
        <f t="shared" si="0"/>
        <v>Xuất</v>
      </c>
      <c r="T6" s="57" t="str">
        <f t="shared" si="0"/>
        <v>Xuất</v>
      </c>
      <c r="U6" s="57" t="str">
        <f t="shared" si="0"/>
        <v>Xuất</v>
      </c>
      <c r="V6" s="57" t="str">
        <f t="shared" si="0"/>
        <v>Xuất</v>
      </c>
      <c r="W6" s="57" t="str">
        <f t="shared" si="0"/>
        <v>Xuất</v>
      </c>
      <c r="X6" s="57" t="str">
        <f t="shared" si="0"/>
        <v>Xuất</v>
      </c>
      <c r="Y6" s="57" t="str">
        <f t="shared" si="0"/>
        <v>Tổng</v>
      </c>
      <c r="Z6" s="57" t="str">
        <f t="shared" si="0"/>
        <v>Tồn cuối kỳ</v>
      </c>
      <c r="AA6" s="57" t="str">
        <f t="shared" si="0"/>
        <v>Tồn cuối kỳ</v>
      </c>
      <c r="AB6" s="57" t="str">
        <f t="shared" si="0"/>
        <v>Tổng</v>
      </c>
    </row>
    <row r="7" spans="1:66" ht="15.75" customHeight="1" x14ac:dyDescent="0.25">
      <c r="C7" s="9"/>
      <c r="D7" s="9"/>
      <c r="E7" s="9"/>
      <c r="F7" s="50"/>
      <c r="G7" s="50"/>
      <c r="H7" s="57" t="str">
        <f t="shared" ref="H7:AB7" si="1">IF(H11="",$F$6, IF(ISNUMBER(SEARCH("Sum", H11)), "Tổng", H11))</f>
        <v>DT cho NV đột xuất</v>
      </c>
      <c r="I7" s="57" t="str">
        <f t="shared" si="1"/>
        <v>DT SSCD</v>
      </c>
      <c r="J7" s="57" t="str">
        <f t="shared" si="1"/>
        <v>TT</v>
      </c>
      <c r="K7" s="57" t="str">
        <f t="shared" si="1"/>
        <v>Nhập khác</v>
      </c>
      <c r="L7" s="57" t="str">
        <f t="shared" si="1"/>
        <v>CXD</v>
      </c>
      <c r="M7" s="57" t="str">
        <f t="shared" si="1"/>
        <v>QC</v>
      </c>
      <c r="N7" s="57" t="str">
        <f t="shared" si="1"/>
        <v>Mua P/cấp</v>
      </c>
      <c r="O7" s="57" t="str">
        <f t="shared" si="1"/>
        <v>Khác</v>
      </c>
      <c r="P7" s="57" t="str">
        <f t="shared" si="1"/>
        <v>f nội bộ</v>
      </c>
      <c r="Q7" s="57" t="str">
        <f t="shared" si="1"/>
        <v>TT</v>
      </c>
      <c r="R7" s="57" t="str">
        <f t="shared" si="1"/>
        <v>Xuất khác</v>
      </c>
      <c r="S7" s="57" t="str">
        <f t="shared" si="1"/>
        <v>Nhập khác</v>
      </c>
      <c r="T7" s="57" t="str">
        <f t="shared" si="1"/>
        <v>Khác</v>
      </c>
      <c r="U7" s="57" t="str">
        <f t="shared" si="1"/>
        <v>TT Xe máy</v>
      </c>
      <c r="V7" s="57" t="str">
        <f t="shared" si="1"/>
        <v>BQ</v>
      </c>
      <c r="W7" s="57" t="str">
        <f t="shared" si="1"/>
        <v>Hao hụt</v>
      </c>
      <c r="X7" s="57" t="str">
        <f t="shared" si="1"/>
        <v>Tổn thất</v>
      </c>
      <c r="Y7" s="57" t="str">
        <f t="shared" si="1"/>
        <v>TT</v>
      </c>
      <c r="Z7" s="57" t="str">
        <f t="shared" si="1"/>
        <v>DT cho NV đột xuất</v>
      </c>
      <c r="AA7" s="57" t="str">
        <f t="shared" si="1"/>
        <v>DT SSCD</v>
      </c>
      <c r="AB7" s="57" t="str">
        <f t="shared" si="1"/>
        <v>TT</v>
      </c>
    </row>
    <row r="8" spans="1:66" ht="15.75" x14ac:dyDescent="0.25">
      <c r="C8" s="9"/>
      <c r="D8" s="9"/>
      <c r="E8" s="9"/>
      <c r="F8" s="50"/>
      <c r="G8" s="50"/>
      <c r="H8" s="57" t="str">
        <f t="shared" ref="H8:AB8" si="2">IF(H12="",$F$6, IF(ISNUMBER(SEARCH("Sum", H12)), "Tổng", H12))</f>
        <v>DT cho NV đột xuất</v>
      </c>
      <c r="I8" s="57" t="str">
        <f t="shared" si="2"/>
        <v>DT SSCD</v>
      </c>
      <c r="J8" s="57" t="str">
        <f t="shared" si="2"/>
        <v>TT</v>
      </c>
      <c r="K8" s="57" t="str">
        <f t="shared" si="2"/>
        <v>Trong QC</v>
      </c>
      <c r="L8" s="57" t="str">
        <f t="shared" si="2"/>
        <v>CXD</v>
      </c>
      <c r="M8" s="57" t="str">
        <f t="shared" si="2"/>
        <v>QC</v>
      </c>
      <c r="N8" s="57" t="str">
        <f t="shared" si="2"/>
        <v>Mua P/cấp</v>
      </c>
      <c r="O8" s="57" t="str">
        <f t="shared" si="2"/>
        <v>Khác</v>
      </c>
      <c r="P8" s="57" t="str">
        <f t="shared" si="2"/>
        <v>F nội bộ</v>
      </c>
      <c r="Q8" s="57" t="str">
        <f t="shared" si="2"/>
        <v>TT</v>
      </c>
      <c r="R8" s="57" t="str">
        <f t="shared" si="2"/>
        <v>Ngoài QC</v>
      </c>
      <c r="S8" s="57" t="str">
        <f t="shared" si="2"/>
        <v>Trong QC</v>
      </c>
      <c r="T8" s="57" t="str">
        <f t="shared" si="2"/>
        <v>Khác</v>
      </c>
      <c r="U8" s="57" t="str">
        <f t="shared" si="2"/>
        <v>TT Xe máy</v>
      </c>
      <c r="V8" s="57" t="str">
        <f t="shared" si="2"/>
        <v>BQ</v>
      </c>
      <c r="W8" s="57" t="str">
        <f t="shared" si="2"/>
        <v>Hao hụt</v>
      </c>
      <c r="X8" s="57" t="str">
        <f t="shared" si="2"/>
        <v>Tổn thất</v>
      </c>
      <c r="Y8" s="57" t="str">
        <f t="shared" si="2"/>
        <v>TT</v>
      </c>
      <c r="Z8" s="57" t="str">
        <f t="shared" si="2"/>
        <v>DT cho NV đột xuất</v>
      </c>
      <c r="AA8" s="57" t="str">
        <f t="shared" si="2"/>
        <v>DT SSCD</v>
      </c>
      <c r="AB8" s="57" t="str">
        <f t="shared" si="2"/>
        <v>TT</v>
      </c>
    </row>
    <row r="9" spans="1:66" ht="19.5" hidden="1" customHeight="1" x14ac:dyDescent="0.25">
      <c r="F9" s="20"/>
      <c r="G9" s="38" t="s">
        <v>273</v>
      </c>
      <c r="H9" s="38" t="s">
        <v>216</v>
      </c>
      <c r="I9" s="45"/>
      <c r="J9" s="45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5"/>
      <c r="AH9">
        <f>ROW()</f>
        <v>9</v>
      </c>
      <c r="AI9">
        <f>AK23</f>
        <v>0</v>
      </c>
      <c r="AJ9" t="str">
        <f t="shared" ref="AJ9:AV9" si="3">IF(I10="",$F$6, IF(ISNUMBER(SEARCH("Sum", I10)), "Tổng", I10))</f>
        <v>Tồn đầu kỳ</v>
      </c>
      <c r="AK9" t="str">
        <f t="shared" si="3"/>
        <v>Tổng</v>
      </c>
      <c r="AL9" t="str">
        <f t="shared" si="3"/>
        <v>Nhập</v>
      </c>
      <c r="AM9" t="str">
        <f t="shared" si="3"/>
        <v>Nhập</v>
      </c>
      <c r="AN9" t="str">
        <f t="shared" si="3"/>
        <v>Nhập</v>
      </c>
      <c r="AO9" t="str">
        <f t="shared" si="3"/>
        <v>Nhập</v>
      </c>
      <c r="AP9" t="str">
        <f t="shared" si="3"/>
        <v>Nhập</v>
      </c>
      <c r="AQ9" t="str">
        <f t="shared" si="3"/>
        <v>Nhập</v>
      </c>
      <c r="AR9" t="str">
        <f t="shared" si="3"/>
        <v>Tổng</v>
      </c>
      <c r="AS9" t="str">
        <f t="shared" si="3"/>
        <v>Xuất</v>
      </c>
      <c r="AT9" t="str">
        <f t="shared" si="3"/>
        <v>Xuất</v>
      </c>
      <c r="AU9" t="str">
        <f t="shared" si="3"/>
        <v>Xuất</v>
      </c>
      <c r="AV9" t="str">
        <f t="shared" si="3"/>
        <v>Xuất</v>
      </c>
      <c r="AW9" t="str">
        <f>IF(V10="",$F$6, IF(ISNUMBER(SEARCH("Sum", V10)), "Tổng", V10))</f>
        <v>Xuất</v>
      </c>
      <c r="AX9" t="str">
        <f t="shared" ref="AX9" si="4">IF(W10="",$F$6, IF(ISNUMBER(SEARCH("Sum", W10)), "Tổng", W10))</f>
        <v>Xuất</v>
      </c>
      <c r="AY9" t="str">
        <f t="shared" ref="AY9" si="5">IF(X10="",$F$6, IF(ISNUMBER(SEARCH("Sum", X10)), "Tổng", X10))</f>
        <v>Xuất</v>
      </c>
      <c r="AZ9" t="str">
        <f t="shared" ref="AZ9" si="6">IF(Y10="",$F$6, IF(ISNUMBER(SEARCH("Sum", Y10)), "Tổng", Y10))</f>
        <v>Tổng</v>
      </c>
      <c r="BA9" t="str">
        <f t="shared" ref="BA9" si="7">IF(Z10="",$F$6, IF(ISNUMBER(SEARCH("Sum", Z10)), "Tổng", Z10))</f>
        <v>Tồn cuối kỳ</v>
      </c>
      <c r="BB9" t="str">
        <f t="shared" ref="BB9" si="8">IF(AA10="",$F$6, IF(ISNUMBER(SEARCH("Sum", AA10)), "Tổng", AA10))</f>
        <v>Tồn cuối kỳ</v>
      </c>
      <c r="BC9" t="str">
        <f t="shared" ref="BC9" si="9">IF(AB10="",$F$6,SUBSTITUTE(AB10,"Sum",""))</f>
        <v xml:space="preserve">Tồn cuối kỳ </v>
      </c>
      <c r="BD9" t="str">
        <f t="shared" ref="BD9" si="10">IF(AC10="",$F$6,SUBSTITUTE(AC10,"Sum",""))</f>
        <v>TT</v>
      </c>
    </row>
    <row r="10" spans="1:66" s="8" customFormat="1" hidden="1" x14ac:dyDescent="0.25">
      <c r="A10" s="13"/>
      <c r="B10" s="12"/>
      <c r="F10" s="21"/>
      <c r="G10" s="45"/>
      <c r="H10" s="53" t="s">
        <v>267</v>
      </c>
      <c r="I10" s="52" t="s">
        <v>267</v>
      </c>
      <c r="J10" s="51" t="s">
        <v>269</v>
      </c>
      <c r="K10" s="53" t="s">
        <v>265</v>
      </c>
      <c r="L10" s="54" t="s">
        <v>265</v>
      </c>
      <c r="M10" s="54" t="s">
        <v>265</v>
      </c>
      <c r="N10" s="54" t="s">
        <v>265</v>
      </c>
      <c r="O10" s="54" t="s">
        <v>265</v>
      </c>
      <c r="P10" s="52" t="s">
        <v>265</v>
      </c>
      <c r="Q10" s="51" t="s">
        <v>270</v>
      </c>
      <c r="R10" s="53" t="s">
        <v>268</v>
      </c>
      <c r="S10" s="54" t="s">
        <v>268</v>
      </c>
      <c r="T10" s="54" t="s">
        <v>268</v>
      </c>
      <c r="U10" s="54" t="s">
        <v>268</v>
      </c>
      <c r="V10" s="54" t="s">
        <v>268</v>
      </c>
      <c r="W10" s="54" t="s">
        <v>268</v>
      </c>
      <c r="X10" s="52" t="s">
        <v>268</v>
      </c>
      <c r="Y10" s="51" t="s">
        <v>271</v>
      </c>
      <c r="Z10" s="53" t="s">
        <v>266</v>
      </c>
      <c r="AA10" s="52" t="s">
        <v>266</v>
      </c>
      <c r="AB10" s="51" t="s">
        <v>272</v>
      </c>
      <c r="AC10"/>
      <c r="AI10" t="str">
        <f t="shared" ref="AI10:AI11" si="11">IF(H11="",$F$6, IF(ISNUMBER(SEARCH("Sum", H11)), "Tổng", H11))</f>
        <v>DT cho NV đột xuất</v>
      </c>
      <c r="AJ10" t="str">
        <f t="shared" ref="AJ10:AJ11" si="12">IF(I11="",$F$6, IF(ISNUMBER(SEARCH("Sum", I11)), "Tổng", I11))</f>
        <v>DT SSCD</v>
      </c>
      <c r="AK10" t="str">
        <f t="shared" ref="AK10:AK11" si="13">IF(J11="",$F$6, IF(ISNUMBER(SEARCH("Sum", J11)), "Tổng", J11))</f>
        <v>TT</v>
      </c>
      <c r="AL10" t="str">
        <f t="shared" ref="AL10:AL11" si="14">IF(K11="",$F$6, IF(ISNUMBER(SEARCH("Sum", K11)), "Tổng", K11))</f>
        <v>Nhập khác</v>
      </c>
      <c r="AM10" t="str">
        <f t="shared" ref="AM10:AM11" si="15">IF(L11="",$F$6, IF(ISNUMBER(SEARCH("Sum", L11)), "Tổng", L11))</f>
        <v>CXD</v>
      </c>
      <c r="AN10" t="str">
        <f t="shared" ref="AN10:AN11" si="16">IF(M11="",$F$6, IF(ISNUMBER(SEARCH("Sum", M11)), "Tổng", M11))</f>
        <v>QC</v>
      </c>
      <c r="AO10" t="str">
        <f t="shared" ref="AO10:AO11" si="17">IF(N11="",$F$6, IF(ISNUMBER(SEARCH("Sum", N11)), "Tổng", N11))</f>
        <v>Mua P/cấp</v>
      </c>
      <c r="AP10" t="str">
        <f t="shared" ref="AP10:AP11" si="18">IF(O11="",$F$6, IF(ISNUMBER(SEARCH("Sum", O11)), "Tổng", O11))</f>
        <v>Khác</v>
      </c>
      <c r="AQ10" t="str">
        <f t="shared" ref="AQ10:AQ11" si="19">IF(P11="",$F$6, IF(ISNUMBER(SEARCH("Sum", P11)), "Tổng", P11))</f>
        <v>f nội bộ</v>
      </c>
      <c r="AR10" t="str">
        <f t="shared" ref="AR10:AR11" si="20">IF(Q11="",$F$6, IF(ISNUMBER(SEARCH("Sum", Q11)), "Tổng", Q11))</f>
        <v>TT</v>
      </c>
      <c r="AS10" t="str">
        <f t="shared" ref="AS10:AS11" si="21">IF(R11="",$F$6, IF(ISNUMBER(SEARCH("Sum", R11)), "Tổng", R11))</f>
        <v>Xuất khác</v>
      </c>
      <c r="AT10" t="str">
        <f t="shared" ref="AT10:AT11" si="22">IF(S11="",$F$6, IF(ISNUMBER(SEARCH("Sum", S11)), "Tổng", S11))</f>
        <v>Nhập khác</v>
      </c>
      <c r="AU10" t="str">
        <f t="shared" ref="AU10:AU11" si="23">IF(T11="",$F$6, IF(ISNUMBER(SEARCH("Sum", T11)), "Tổng", T11))</f>
        <v>Khác</v>
      </c>
      <c r="AV10" t="str">
        <f t="shared" ref="AV10:AV11" si="24">IF(U11="",$F$6, IF(ISNUMBER(SEARCH("Sum", U11)), "Tổng", U11))</f>
        <v>TT Xe máy</v>
      </c>
      <c r="AW10" t="str">
        <f t="shared" ref="AW10:AW11" si="25">IF(V11="",$F$6, IF(ISNUMBER(SEARCH("Sum", V11)), "Tổng", V11))</f>
        <v>BQ</v>
      </c>
      <c r="AX10" t="str">
        <f t="shared" ref="AX10:AX11" si="26">IF(W11="",$F$6, IF(ISNUMBER(SEARCH("Sum", W11)), "Tổng", W11))</f>
        <v>Hao hụt</v>
      </c>
      <c r="AY10" t="str">
        <f t="shared" ref="AY10:AY11" si="27">IF(X11="",$F$6, IF(ISNUMBER(SEARCH("Sum", X11)), "Tổng", X11))</f>
        <v>Tổn thất</v>
      </c>
      <c r="AZ10" t="str">
        <f t="shared" ref="AZ10:AZ11" si="28">IF(Y11="",$F$6, IF(ISNUMBER(SEARCH("Sum", Y11)), "Tổng", Y11))</f>
        <v>TT</v>
      </c>
      <c r="BA10" t="str">
        <f t="shared" ref="BA10:BA11" si="29">IF(Z11="",$F$6, IF(ISNUMBER(SEARCH("Sum", Z11)), "Tổng", Z11))</f>
        <v>DT cho NV đột xuất</v>
      </c>
      <c r="BB10" t="str">
        <f t="shared" ref="BB10:BB11" si="30">IF(AA11="",$F$6, IF(ISNUMBER(SEARCH("Sum", AA11)), "Tổng", AA11))</f>
        <v>DT SSCD</v>
      </c>
      <c r="BC10" t="str">
        <f t="shared" ref="BC10:BC11" si="31">IF(AB11="",$F$6,SUBSTITUTE(AB11,"Sum",""))</f>
        <v>TT</v>
      </c>
      <c r="BD10" t="str">
        <f t="shared" ref="BD10:BD11" si="32">IF(AC11="",$F$6,SUBSTITUTE(AC11,"Sum",""))</f>
        <v>TT</v>
      </c>
      <c r="BE10"/>
      <c r="BF10"/>
      <c r="BG10"/>
      <c r="BH10"/>
      <c r="BI10"/>
      <c r="BJ10"/>
      <c r="BK10"/>
      <c r="BL10"/>
      <c r="BM10"/>
      <c r="BN10"/>
    </row>
    <row r="11" spans="1:66" s="8" customFormat="1" hidden="1" x14ac:dyDescent="0.25">
      <c r="A11" s="14"/>
      <c r="B11" s="12"/>
      <c r="F11" s="21"/>
      <c r="G11" s="45"/>
      <c r="H11" s="44" t="s">
        <v>247</v>
      </c>
      <c r="I11" s="46" t="s">
        <v>248</v>
      </c>
      <c r="J11" s="52"/>
      <c r="K11" s="44" t="s">
        <v>263</v>
      </c>
      <c r="L11" s="44" t="s">
        <v>246</v>
      </c>
      <c r="M11" s="44" t="s">
        <v>250</v>
      </c>
      <c r="N11" s="44" t="s">
        <v>249</v>
      </c>
      <c r="O11" s="46" t="s">
        <v>150</v>
      </c>
      <c r="P11" s="44" t="s">
        <v>291</v>
      </c>
      <c r="Q11" s="52"/>
      <c r="R11" s="46" t="s">
        <v>264</v>
      </c>
      <c r="S11" s="44" t="s">
        <v>263</v>
      </c>
      <c r="T11" s="44" t="s">
        <v>150</v>
      </c>
      <c r="U11" s="44" t="s">
        <v>251</v>
      </c>
      <c r="V11" s="44" t="s">
        <v>245</v>
      </c>
      <c r="W11" s="44" t="s">
        <v>160</v>
      </c>
      <c r="X11" s="46" t="s">
        <v>155</v>
      </c>
      <c r="Y11" s="52"/>
      <c r="Z11" s="44" t="s">
        <v>247</v>
      </c>
      <c r="AA11" s="46" t="s">
        <v>248</v>
      </c>
      <c r="AB11" s="52"/>
      <c r="AC11"/>
      <c r="AI11" t="str">
        <f t="shared" si="11"/>
        <v>DT cho NV đột xuất</v>
      </c>
      <c r="AJ11" t="str">
        <f t="shared" si="12"/>
        <v>DT SSCD</v>
      </c>
      <c r="AK11" t="str">
        <f t="shared" si="13"/>
        <v>TT</v>
      </c>
      <c r="AL11" t="str">
        <f t="shared" si="14"/>
        <v>Trong QC</v>
      </c>
      <c r="AM11" t="str">
        <f t="shared" si="15"/>
        <v>CXD</v>
      </c>
      <c r="AN11" t="str">
        <f t="shared" si="16"/>
        <v>QC</v>
      </c>
      <c r="AO11" t="str">
        <f t="shared" si="17"/>
        <v>Mua P/cấp</v>
      </c>
      <c r="AP11" t="str">
        <f t="shared" si="18"/>
        <v>Khác</v>
      </c>
      <c r="AQ11" t="str">
        <f t="shared" si="19"/>
        <v>F nội bộ</v>
      </c>
      <c r="AR11" t="str">
        <f t="shared" si="20"/>
        <v>TT</v>
      </c>
      <c r="AS11" t="str">
        <f t="shared" si="21"/>
        <v>Ngoài QC</v>
      </c>
      <c r="AT11" t="str">
        <f t="shared" si="22"/>
        <v>Trong QC</v>
      </c>
      <c r="AU11" t="str">
        <f t="shared" si="23"/>
        <v>Khác</v>
      </c>
      <c r="AV11" t="str">
        <f t="shared" si="24"/>
        <v>TT Xe máy</v>
      </c>
      <c r="AW11" t="str">
        <f t="shared" si="25"/>
        <v>BQ</v>
      </c>
      <c r="AX11" t="str">
        <f t="shared" si="26"/>
        <v>Hao hụt</v>
      </c>
      <c r="AY11" t="str">
        <f t="shared" si="27"/>
        <v>Tổn thất</v>
      </c>
      <c r="AZ11" t="str">
        <f t="shared" si="28"/>
        <v>TT</v>
      </c>
      <c r="BA11" t="str">
        <f t="shared" si="29"/>
        <v>DT cho NV đột xuất</v>
      </c>
      <c r="BB11" t="str">
        <f t="shared" si="30"/>
        <v>DT SSCD</v>
      </c>
      <c r="BC11" t="str">
        <f t="shared" si="31"/>
        <v>TT</v>
      </c>
      <c r="BD11" t="str">
        <f t="shared" si="32"/>
        <v>TT</v>
      </c>
      <c r="BE11"/>
      <c r="BF11"/>
      <c r="BG11"/>
      <c r="BH11"/>
      <c r="BI11"/>
      <c r="BJ11"/>
      <c r="BK11"/>
      <c r="BL11"/>
      <c r="BM11"/>
      <c r="BN11"/>
    </row>
    <row r="12" spans="1:66" s="8" customFormat="1" hidden="1" x14ac:dyDescent="0.25">
      <c r="A12" s="14"/>
      <c r="B12" s="12"/>
      <c r="F12" s="23"/>
      <c r="G12" s="38" t="s">
        <v>273</v>
      </c>
      <c r="H12" s="46" t="s">
        <v>247</v>
      </c>
      <c r="I12" s="46" t="s">
        <v>248</v>
      </c>
      <c r="J12" s="52"/>
      <c r="K12" s="46" t="s">
        <v>152</v>
      </c>
      <c r="L12" s="46" t="s">
        <v>246</v>
      </c>
      <c r="M12" s="46" t="s">
        <v>250</v>
      </c>
      <c r="N12" s="46" t="s">
        <v>249</v>
      </c>
      <c r="O12" s="46" t="s">
        <v>150</v>
      </c>
      <c r="P12" s="44" t="s">
        <v>292</v>
      </c>
      <c r="Q12" s="52"/>
      <c r="R12" s="46" t="s">
        <v>154</v>
      </c>
      <c r="S12" s="44" t="s">
        <v>152</v>
      </c>
      <c r="T12" s="46" t="s">
        <v>150</v>
      </c>
      <c r="U12" s="46" t="s">
        <v>251</v>
      </c>
      <c r="V12" s="46" t="s">
        <v>245</v>
      </c>
      <c r="W12" s="46" t="s">
        <v>160</v>
      </c>
      <c r="X12" s="46" t="s">
        <v>155</v>
      </c>
      <c r="Y12" s="52"/>
      <c r="Z12" s="46" t="s">
        <v>247</v>
      </c>
      <c r="AA12" s="46" t="s">
        <v>248</v>
      </c>
      <c r="AB12" s="52"/>
      <c r="AC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</row>
    <row r="13" spans="1:66" s="19" customFormat="1" x14ac:dyDescent="0.25">
      <c r="A13" s="39"/>
      <c r="B13" s="18"/>
      <c r="F13" s="22" t="s">
        <v>275</v>
      </c>
      <c r="G13" s="30" t="s">
        <v>262</v>
      </c>
      <c r="H13" s="40">
        <v>160000</v>
      </c>
      <c r="I13" s="40">
        <v>160000</v>
      </c>
      <c r="J13" s="40">
        <v>320000</v>
      </c>
      <c r="K13" s="40">
        <v>11468</v>
      </c>
      <c r="L13" s="40">
        <v>22399</v>
      </c>
      <c r="M13" s="40">
        <v>40200</v>
      </c>
      <c r="N13" s="40">
        <v>14111</v>
      </c>
      <c r="O13" s="40">
        <v>16400</v>
      </c>
      <c r="P13" s="40">
        <v>1394</v>
      </c>
      <c r="Q13" s="40">
        <v>105972</v>
      </c>
      <c r="R13" s="40">
        <v>0</v>
      </c>
      <c r="S13" s="40">
        <v>0</v>
      </c>
      <c r="T13" s="40">
        <v>0</v>
      </c>
      <c r="U13" s="40">
        <v>0</v>
      </c>
      <c r="V13" s="40">
        <v>0</v>
      </c>
      <c r="W13" s="40">
        <v>0</v>
      </c>
      <c r="X13" s="40">
        <v>0</v>
      </c>
      <c r="Y13" s="40">
        <v>0</v>
      </c>
      <c r="Z13" s="40">
        <v>265972</v>
      </c>
      <c r="AA13" s="40">
        <v>160000</v>
      </c>
      <c r="AB13" s="41">
        <v>425972</v>
      </c>
      <c r="AC13"/>
    </row>
    <row r="14" spans="1:66" hidden="1" x14ac:dyDescent="0.25">
      <c r="F14" s="20"/>
      <c r="G14" s="31" t="s">
        <v>276</v>
      </c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5"/>
    </row>
    <row r="15" spans="1:66" s="19" customFormat="1" x14ac:dyDescent="0.25">
      <c r="A15" s="17"/>
      <c r="B15" s="18"/>
      <c r="F15" s="22">
        <v>1</v>
      </c>
      <c r="G15" s="33" t="s">
        <v>276</v>
      </c>
      <c r="H15" s="26">
        <v>40000</v>
      </c>
      <c r="I15" s="26">
        <v>40000</v>
      </c>
      <c r="J15" s="26">
        <v>80000</v>
      </c>
      <c r="K15" s="26">
        <v>6800</v>
      </c>
      <c r="L15" s="26">
        <v>5000</v>
      </c>
      <c r="M15" s="26">
        <v>4700</v>
      </c>
      <c r="N15" s="26">
        <v>5300</v>
      </c>
      <c r="O15" s="26">
        <v>13400</v>
      </c>
      <c r="P15" s="26">
        <v>894</v>
      </c>
      <c r="Q15" s="26">
        <v>36094</v>
      </c>
      <c r="R15" s="26">
        <v>0</v>
      </c>
      <c r="S15" s="26">
        <v>0</v>
      </c>
      <c r="T15" s="26">
        <v>0</v>
      </c>
      <c r="U15" s="26">
        <v>0</v>
      </c>
      <c r="V15" s="26">
        <v>0</v>
      </c>
      <c r="W15" s="26">
        <v>0</v>
      </c>
      <c r="X15" s="26">
        <v>0</v>
      </c>
      <c r="Y15" s="26">
        <v>0</v>
      </c>
      <c r="Z15" s="26">
        <v>76094</v>
      </c>
      <c r="AA15" s="26">
        <v>40000</v>
      </c>
      <c r="AB15" s="27">
        <v>116094</v>
      </c>
      <c r="AC15"/>
    </row>
    <row r="16" spans="1:66" x14ac:dyDescent="0.25">
      <c r="F16" s="20"/>
      <c r="G16" s="34" t="s">
        <v>45</v>
      </c>
      <c r="H16" s="24">
        <v>20000</v>
      </c>
      <c r="I16" s="24">
        <v>20000</v>
      </c>
      <c r="J16" s="24">
        <v>40000</v>
      </c>
      <c r="K16" s="24">
        <v>6800</v>
      </c>
      <c r="L16" s="24">
        <v>2000</v>
      </c>
      <c r="M16" s="24">
        <v>4400</v>
      </c>
      <c r="N16" s="24">
        <v>300</v>
      </c>
      <c r="O16" s="24">
        <v>9400</v>
      </c>
      <c r="P16" s="24">
        <v>500</v>
      </c>
      <c r="Q16" s="24">
        <v>23400</v>
      </c>
      <c r="R16" s="24">
        <v>0</v>
      </c>
      <c r="S16" s="24">
        <v>0</v>
      </c>
      <c r="T16" s="24">
        <v>0</v>
      </c>
      <c r="U16" s="24">
        <v>0</v>
      </c>
      <c r="V16" s="24">
        <v>0</v>
      </c>
      <c r="W16" s="24">
        <v>0</v>
      </c>
      <c r="X16" s="24">
        <v>0</v>
      </c>
      <c r="Y16" s="24">
        <v>0</v>
      </c>
      <c r="Z16" s="24">
        <v>43400</v>
      </c>
      <c r="AA16" s="24">
        <v>20000</v>
      </c>
      <c r="AB16" s="25">
        <v>63400</v>
      </c>
    </row>
    <row r="17" spans="1:29" x14ac:dyDescent="0.25">
      <c r="F17" s="20"/>
      <c r="G17" s="35" t="s">
        <v>55</v>
      </c>
      <c r="H17" s="24">
        <v>20000</v>
      </c>
      <c r="I17" s="24">
        <v>20000</v>
      </c>
      <c r="J17" s="24">
        <v>40000</v>
      </c>
      <c r="K17" s="24">
        <v>0</v>
      </c>
      <c r="L17" s="24">
        <v>3000</v>
      </c>
      <c r="M17" s="24">
        <v>300</v>
      </c>
      <c r="N17" s="24">
        <v>5000</v>
      </c>
      <c r="O17" s="24">
        <v>4000</v>
      </c>
      <c r="P17" s="24">
        <v>394</v>
      </c>
      <c r="Q17" s="24">
        <v>12694</v>
      </c>
      <c r="R17" s="24">
        <v>0</v>
      </c>
      <c r="S17" s="24">
        <v>0</v>
      </c>
      <c r="T17" s="24">
        <v>0</v>
      </c>
      <c r="U17" s="24">
        <v>0</v>
      </c>
      <c r="V17" s="24">
        <v>0</v>
      </c>
      <c r="W17" s="24">
        <v>0</v>
      </c>
      <c r="X17" s="24">
        <v>0</v>
      </c>
      <c r="Y17" s="24">
        <v>0</v>
      </c>
      <c r="Z17" s="24">
        <v>32694</v>
      </c>
      <c r="AA17" s="24">
        <v>20000</v>
      </c>
      <c r="AB17" s="25">
        <v>52694</v>
      </c>
    </row>
    <row r="18" spans="1:29" hidden="1" x14ac:dyDescent="0.25">
      <c r="F18" s="20"/>
      <c r="G18" s="31" t="s">
        <v>277</v>
      </c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5"/>
    </row>
    <row r="19" spans="1:29" s="19" customFormat="1" x14ac:dyDescent="0.25">
      <c r="A19" s="17"/>
      <c r="B19" s="18"/>
      <c r="F19" s="22">
        <v>2</v>
      </c>
      <c r="G19" s="33" t="s">
        <v>277</v>
      </c>
      <c r="H19" s="26">
        <v>20000</v>
      </c>
      <c r="I19" s="26">
        <v>20000</v>
      </c>
      <c r="J19" s="26">
        <v>40000</v>
      </c>
      <c r="K19" s="26">
        <v>0</v>
      </c>
      <c r="L19" s="26">
        <v>3000</v>
      </c>
      <c r="M19" s="26">
        <v>3000</v>
      </c>
      <c r="N19" s="26">
        <v>1211</v>
      </c>
      <c r="O19" s="26">
        <v>0</v>
      </c>
      <c r="P19" s="26">
        <v>500</v>
      </c>
      <c r="Q19" s="26">
        <v>7711</v>
      </c>
      <c r="R19" s="26">
        <v>0</v>
      </c>
      <c r="S19" s="26">
        <v>0</v>
      </c>
      <c r="T19" s="26">
        <v>0</v>
      </c>
      <c r="U19" s="26">
        <v>0</v>
      </c>
      <c r="V19" s="26">
        <v>0</v>
      </c>
      <c r="W19" s="26">
        <v>0</v>
      </c>
      <c r="X19" s="26">
        <v>0</v>
      </c>
      <c r="Y19" s="26">
        <v>0</v>
      </c>
      <c r="Z19" s="26">
        <v>27711</v>
      </c>
      <c r="AA19" s="26">
        <v>20000</v>
      </c>
      <c r="AB19" s="27">
        <v>47711</v>
      </c>
      <c r="AC19"/>
    </row>
    <row r="20" spans="1:29" x14ac:dyDescent="0.25">
      <c r="F20" s="20"/>
      <c r="G20" s="36" t="s">
        <v>103</v>
      </c>
      <c r="H20" s="24">
        <v>20000</v>
      </c>
      <c r="I20" s="24">
        <v>20000</v>
      </c>
      <c r="J20" s="24">
        <v>40000</v>
      </c>
      <c r="K20" s="24">
        <v>0</v>
      </c>
      <c r="L20" s="24">
        <v>3000</v>
      </c>
      <c r="M20" s="24">
        <v>3000</v>
      </c>
      <c r="N20" s="24">
        <v>1211</v>
      </c>
      <c r="O20" s="24">
        <v>0</v>
      </c>
      <c r="P20" s="24">
        <v>500</v>
      </c>
      <c r="Q20" s="24">
        <v>7711</v>
      </c>
      <c r="R20" s="24">
        <v>0</v>
      </c>
      <c r="S20" s="24">
        <v>0</v>
      </c>
      <c r="T20" s="24">
        <v>0</v>
      </c>
      <c r="U20" s="24">
        <v>0</v>
      </c>
      <c r="V20" s="24">
        <v>0</v>
      </c>
      <c r="W20" s="24">
        <v>0</v>
      </c>
      <c r="X20" s="24">
        <v>0</v>
      </c>
      <c r="Y20" s="24">
        <v>0</v>
      </c>
      <c r="Z20" s="24">
        <v>27711</v>
      </c>
      <c r="AA20" s="24">
        <v>20000</v>
      </c>
      <c r="AB20" s="25">
        <v>47711</v>
      </c>
    </row>
    <row r="21" spans="1:29" hidden="1" x14ac:dyDescent="0.25">
      <c r="F21" s="20"/>
      <c r="G21" s="31" t="s">
        <v>278</v>
      </c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5"/>
    </row>
    <row r="22" spans="1:29" s="19" customFormat="1" x14ac:dyDescent="0.25">
      <c r="A22" s="17"/>
      <c r="B22" s="18"/>
      <c r="F22" s="22"/>
      <c r="G22" s="33" t="s">
        <v>278</v>
      </c>
      <c r="H22" s="26">
        <v>40000</v>
      </c>
      <c r="I22" s="26">
        <v>40000</v>
      </c>
      <c r="J22" s="26">
        <v>80000</v>
      </c>
      <c r="K22" s="26">
        <v>0</v>
      </c>
      <c r="L22" s="26">
        <v>5999</v>
      </c>
      <c r="M22" s="26">
        <v>9000</v>
      </c>
      <c r="N22" s="26">
        <v>7600</v>
      </c>
      <c r="O22" s="26">
        <v>3000</v>
      </c>
      <c r="P22" s="26">
        <v>0</v>
      </c>
      <c r="Q22" s="26">
        <v>25599</v>
      </c>
      <c r="R22" s="26">
        <v>0</v>
      </c>
      <c r="S22" s="26">
        <v>0</v>
      </c>
      <c r="T22" s="26">
        <v>0</v>
      </c>
      <c r="U22" s="26">
        <v>0</v>
      </c>
      <c r="V22" s="26">
        <v>0</v>
      </c>
      <c r="W22" s="26">
        <v>0</v>
      </c>
      <c r="X22" s="26">
        <v>0</v>
      </c>
      <c r="Y22" s="26">
        <v>0</v>
      </c>
      <c r="Z22" s="26">
        <v>65599</v>
      </c>
      <c r="AA22" s="26">
        <v>40000</v>
      </c>
      <c r="AB22" s="27">
        <v>105599</v>
      </c>
      <c r="AC22"/>
    </row>
    <row r="23" spans="1:29" x14ac:dyDescent="0.25">
      <c r="F23" s="20"/>
      <c r="G23" s="34" t="s">
        <v>116</v>
      </c>
      <c r="H23" s="24">
        <v>20000</v>
      </c>
      <c r="I23" s="24">
        <v>20000</v>
      </c>
      <c r="J23" s="24">
        <v>40000</v>
      </c>
      <c r="K23" s="24">
        <v>0</v>
      </c>
      <c r="L23" s="24">
        <v>3999</v>
      </c>
      <c r="M23" s="24">
        <v>5000</v>
      </c>
      <c r="N23" s="24">
        <v>0</v>
      </c>
      <c r="O23" s="24">
        <v>0</v>
      </c>
      <c r="P23" s="24">
        <v>0</v>
      </c>
      <c r="Q23" s="24">
        <v>8999</v>
      </c>
      <c r="R23" s="24">
        <v>0</v>
      </c>
      <c r="S23" s="24">
        <v>0</v>
      </c>
      <c r="T23" s="24">
        <v>0</v>
      </c>
      <c r="U23" s="24">
        <v>0</v>
      </c>
      <c r="V23" s="24">
        <v>0</v>
      </c>
      <c r="W23" s="24">
        <v>0</v>
      </c>
      <c r="X23" s="24">
        <v>0</v>
      </c>
      <c r="Y23" s="24">
        <v>0</v>
      </c>
      <c r="Z23" s="24">
        <v>28999</v>
      </c>
      <c r="AA23" s="24">
        <v>20000</v>
      </c>
      <c r="AB23" s="25">
        <v>48999</v>
      </c>
    </row>
    <row r="24" spans="1:29" x14ac:dyDescent="0.25">
      <c r="F24" s="20"/>
      <c r="G24" s="35" t="s">
        <v>113</v>
      </c>
      <c r="H24" s="24">
        <v>20000</v>
      </c>
      <c r="I24" s="24">
        <v>20000</v>
      </c>
      <c r="J24" s="24">
        <v>40000</v>
      </c>
      <c r="K24" s="24">
        <v>0</v>
      </c>
      <c r="L24" s="24">
        <v>2000</v>
      </c>
      <c r="M24" s="24">
        <v>4000</v>
      </c>
      <c r="N24" s="24">
        <v>7600</v>
      </c>
      <c r="O24" s="24">
        <v>3000</v>
      </c>
      <c r="P24" s="24">
        <v>0</v>
      </c>
      <c r="Q24" s="24">
        <v>16600</v>
      </c>
      <c r="R24" s="24">
        <v>0</v>
      </c>
      <c r="S24" s="24">
        <v>0</v>
      </c>
      <c r="T24" s="24">
        <v>0</v>
      </c>
      <c r="U24" s="24">
        <v>0</v>
      </c>
      <c r="V24" s="24">
        <v>0</v>
      </c>
      <c r="W24" s="24">
        <v>0</v>
      </c>
      <c r="X24" s="24">
        <v>0</v>
      </c>
      <c r="Y24" s="24">
        <v>0</v>
      </c>
      <c r="Z24" s="24">
        <v>36600</v>
      </c>
      <c r="AA24" s="24">
        <v>20000</v>
      </c>
      <c r="AB24" s="25">
        <v>56600</v>
      </c>
    </row>
    <row r="25" spans="1:29" hidden="1" x14ac:dyDescent="0.25">
      <c r="F25" s="20"/>
      <c r="G25" s="31" t="s">
        <v>279</v>
      </c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5"/>
    </row>
    <row r="26" spans="1:29" s="19" customFormat="1" x14ac:dyDescent="0.25">
      <c r="A26" s="17"/>
      <c r="B26" s="18"/>
      <c r="F26" s="22">
        <v>3</v>
      </c>
      <c r="G26" s="33" t="s">
        <v>279</v>
      </c>
      <c r="H26" s="26">
        <v>60000</v>
      </c>
      <c r="I26" s="26">
        <v>60000</v>
      </c>
      <c r="J26" s="26">
        <v>120000</v>
      </c>
      <c r="K26" s="26">
        <v>4668</v>
      </c>
      <c r="L26" s="26">
        <v>8400</v>
      </c>
      <c r="M26" s="26">
        <v>23500</v>
      </c>
      <c r="N26" s="26">
        <v>0</v>
      </c>
      <c r="O26" s="26">
        <v>0</v>
      </c>
      <c r="P26" s="26">
        <v>0</v>
      </c>
      <c r="Q26" s="26">
        <v>36568</v>
      </c>
      <c r="R26" s="26">
        <v>0</v>
      </c>
      <c r="S26" s="26">
        <v>0</v>
      </c>
      <c r="T26" s="26">
        <v>0</v>
      </c>
      <c r="U26" s="26">
        <v>0</v>
      </c>
      <c r="V26" s="26">
        <v>0</v>
      </c>
      <c r="W26" s="26">
        <v>0</v>
      </c>
      <c r="X26" s="26">
        <v>0</v>
      </c>
      <c r="Y26" s="26">
        <v>0</v>
      </c>
      <c r="Z26" s="26">
        <v>96568</v>
      </c>
      <c r="AA26" s="26">
        <v>60000</v>
      </c>
      <c r="AB26" s="27">
        <v>156568</v>
      </c>
      <c r="AC26"/>
    </row>
    <row r="27" spans="1:29" ht="15.75" x14ac:dyDescent="0.25">
      <c r="F27" s="20"/>
      <c r="G27" s="34" t="s">
        <v>106</v>
      </c>
      <c r="H27" s="24">
        <v>20000</v>
      </c>
      <c r="I27" s="24">
        <v>20000</v>
      </c>
      <c r="J27" s="24">
        <v>40000</v>
      </c>
      <c r="K27" s="24">
        <v>2222</v>
      </c>
      <c r="L27" s="24">
        <v>8400</v>
      </c>
      <c r="M27" s="42">
        <v>9000</v>
      </c>
      <c r="N27" s="24">
        <v>0</v>
      </c>
      <c r="O27" s="24">
        <v>0</v>
      </c>
      <c r="P27" s="24">
        <v>0</v>
      </c>
      <c r="Q27" s="24">
        <v>19622</v>
      </c>
      <c r="R27" s="24">
        <v>0</v>
      </c>
      <c r="S27" s="24">
        <v>0</v>
      </c>
      <c r="T27" s="24">
        <v>0</v>
      </c>
      <c r="U27" s="24">
        <v>0</v>
      </c>
      <c r="V27" s="24">
        <v>0</v>
      </c>
      <c r="W27" s="24">
        <v>0</v>
      </c>
      <c r="X27" s="24">
        <v>0</v>
      </c>
      <c r="Y27" s="24">
        <v>0</v>
      </c>
      <c r="Z27" s="24">
        <v>39622</v>
      </c>
      <c r="AA27" s="24">
        <v>20000</v>
      </c>
      <c r="AB27" s="25">
        <v>59622</v>
      </c>
    </row>
    <row r="28" spans="1:29" x14ac:dyDescent="0.25">
      <c r="F28" s="20"/>
      <c r="G28" s="37" t="s">
        <v>116</v>
      </c>
      <c r="H28" s="24">
        <v>20000</v>
      </c>
      <c r="I28" s="24">
        <v>20000</v>
      </c>
      <c r="J28" s="24">
        <v>40000</v>
      </c>
      <c r="K28" s="24">
        <v>2323</v>
      </c>
      <c r="L28" s="24">
        <v>0</v>
      </c>
      <c r="M28" s="24">
        <v>4500</v>
      </c>
      <c r="N28" s="24">
        <v>0</v>
      </c>
      <c r="O28" s="24">
        <v>0</v>
      </c>
      <c r="P28" s="24">
        <v>0</v>
      </c>
      <c r="Q28" s="24">
        <v>6823</v>
      </c>
      <c r="R28" s="24">
        <v>0</v>
      </c>
      <c r="S28" s="24">
        <v>0</v>
      </c>
      <c r="T28" s="24">
        <v>0</v>
      </c>
      <c r="U28" s="24">
        <v>0</v>
      </c>
      <c r="V28" s="24">
        <v>0</v>
      </c>
      <c r="W28" s="24">
        <v>0</v>
      </c>
      <c r="X28" s="24">
        <v>0</v>
      </c>
      <c r="Y28" s="24">
        <v>0</v>
      </c>
      <c r="Z28" s="24">
        <v>26823</v>
      </c>
      <c r="AA28" s="24">
        <v>20000</v>
      </c>
      <c r="AB28" s="25">
        <v>46823</v>
      </c>
    </row>
    <row r="29" spans="1:29" x14ac:dyDescent="0.25">
      <c r="F29" s="20"/>
      <c r="G29" s="35" t="s">
        <v>113</v>
      </c>
      <c r="H29" s="24">
        <v>20000</v>
      </c>
      <c r="I29" s="24">
        <v>20000</v>
      </c>
      <c r="J29" s="24">
        <v>40000</v>
      </c>
      <c r="K29" s="24">
        <v>123</v>
      </c>
      <c r="L29" s="24">
        <v>0</v>
      </c>
      <c r="M29" s="24">
        <v>10000</v>
      </c>
      <c r="N29" s="24">
        <v>0</v>
      </c>
      <c r="O29" s="24">
        <v>0</v>
      </c>
      <c r="P29" s="24">
        <v>0</v>
      </c>
      <c r="Q29" s="24">
        <v>10123</v>
      </c>
      <c r="R29" s="24">
        <v>0</v>
      </c>
      <c r="S29" s="24">
        <v>0</v>
      </c>
      <c r="T29" s="24">
        <v>0</v>
      </c>
      <c r="U29" s="24">
        <v>0</v>
      </c>
      <c r="V29" s="24">
        <v>0</v>
      </c>
      <c r="W29" s="24">
        <v>0</v>
      </c>
      <c r="X29" s="24">
        <v>0</v>
      </c>
      <c r="Y29" s="24">
        <v>0</v>
      </c>
      <c r="Z29" s="24">
        <v>30123</v>
      </c>
      <c r="AA29" s="24">
        <v>20000</v>
      </c>
      <c r="AB29" s="25">
        <v>50123</v>
      </c>
    </row>
    <row r="30" spans="1:29" s="19" customFormat="1" x14ac:dyDescent="0.25">
      <c r="A30" s="17"/>
      <c r="B30" s="18"/>
      <c r="F30" s="22" t="s">
        <v>281</v>
      </c>
      <c r="G30" s="30" t="s">
        <v>280</v>
      </c>
      <c r="H30" s="26">
        <v>860000</v>
      </c>
      <c r="I30" s="26">
        <v>860000</v>
      </c>
      <c r="J30" s="26">
        <v>1720000</v>
      </c>
      <c r="K30" s="26">
        <v>4200</v>
      </c>
      <c r="L30" s="26">
        <v>0</v>
      </c>
      <c r="M30" s="26">
        <v>7000</v>
      </c>
      <c r="N30" s="26">
        <v>0</v>
      </c>
      <c r="O30" s="26">
        <v>0</v>
      </c>
      <c r="P30" s="26">
        <v>0</v>
      </c>
      <c r="Q30" s="26">
        <v>11200</v>
      </c>
      <c r="R30" s="26">
        <v>0</v>
      </c>
      <c r="S30" s="26">
        <v>0</v>
      </c>
      <c r="T30" s="26">
        <v>0</v>
      </c>
      <c r="U30" s="26">
        <v>0</v>
      </c>
      <c r="V30" s="26">
        <v>0</v>
      </c>
      <c r="W30" s="26">
        <v>0</v>
      </c>
      <c r="X30" s="26">
        <v>0</v>
      </c>
      <c r="Y30" s="26">
        <v>0</v>
      </c>
      <c r="Z30" s="26">
        <v>860000</v>
      </c>
      <c r="AA30" s="26">
        <v>860000</v>
      </c>
      <c r="AB30" s="27">
        <v>1720000</v>
      </c>
      <c r="AC30"/>
    </row>
    <row r="31" spans="1:29" s="19" customFormat="1" x14ac:dyDescent="0.25">
      <c r="A31" s="17"/>
      <c r="B31" s="18"/>
      <c r="F31" s="22" t="s">
        <v>282</v>
      </c>
      <c r="G31" s="32" t="s">
        <v>261</v>
      </c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7"/>
      <c r="AC31"/>
    </row>
    <row r="32" spans="1:29" s="19" customFormat="1" x14ac:dyDescent="0.25">
      <c r="A32" s="17"/>
      <c r="B32" s="18"/>
      <c r="F32" s="22">
        <v>1</v>
      </c>
      <c r="G32" s="33" t="s">
        <v>253</v>
      </c>
      <c r="H32" s="26">
        <v>200000</v>
      </c>
      <c r="I32" s="26">
        <v>200000</v>
      </c>
      <c r="J32" s="26">
        <v>400000</v>
      </c>
      <c r="K32" s="26">
        <v>0</v>
      </c>
      <c r="L32" s="26">
        <v>0</v>
      </c>
      <c r="M32" s="26">
        <v>7000</v>
      </c>
      <c r="N32" s="26">
        <v>0</v>
      </c>
      <c r="O32" s="26">
        <v>0</v>
      </c>
      <c r="P32" s="26">
        <v>0</v>
      </c>
      <c r="Q32" s="26">
        <v>7000</v>
      </c>
      <c r="R32" s="26">
        <v>0</v>
      </c>
      <c r="S32" s="26">
        <v>0</v>
      </c>
      <c r="T32" s="26">
        <v>0</v>
      </c>
      <c r="U32" s="26">
        <v>0</v>
      </c>
      <c r="V32" s="26">
        <v>0</v>
      </c>
      <c r="W32" s="26">
        <v>0</v>
      </c>
      <c r="X32" s="26">
        <v>0</v>
      </c>
      <c r="Y32" s="26">
        <v>0</v>
      </c>
      <c r="Z32" s="26">
        <v>200000</v>
      </c>
      <c r="AA32" s="26">
        <v>200000</v>
      </c>
      <c r="AB32" s="27">
        <v>400000</v>
      </c>
      <c r="AC32"/>
    </row>
    <row r="33" spans="1:29" x14ac:dyDescent="0.25">
      <c r="F33" s="20"/>
      <c r="G33" s="34" t="s">
        <v>122</v>
      </c>
      <c r="H33" s="24">
        <v>20000</v>
      </c>
      <c r="I33" s="24">
        <v>20000</v>
      </c>
      <c r="J33" s="24">
        <v>40000</v>
      </c>
      <c r="K33" s="24">
        <v>0</v>
      </c>
      <c r="L33" s="24">
        <v>0</v>
      </c>
      <c r="M33" s="24">
        <v>0</v>
      </c>
      <c r="N33" s="24">
        <v>0</v>
      </c>
      <c r="O33" s="24">
        <v>0</v>
      </c>
      <c r="P33" s="24">
        <v>0</v>
      </c>
      <c r="Q33" s="24">
        <v>0</v>
      </c>
      <c r="R33" s="24">
        <v>0</v>
      </c>
      <c r="S33" s="24">
        <v>0</v>
      </c>
      <c r="T33" s="24">
        <v>0</v>
      </c>
      <c r="U33" s="24">
        <v>0</v>
      </c>
      <c r="V33" s="24">
        <v>0</v>
      </c>
      <c r="W33" s="24">
        <v>0</v>
      </c>
      <c r="X33" s="24">
        <v>0</v>
      </c>
      <c r="Y33" s="24">
        <v>0</v>
      </c>
      <c r="Z33" s="24">
        <v>20000</v>
      </c>
      <c r="AA33" s="24">
        <v>20000</v>
      </c>
      <c r="AB33" s="25">
        <v>40000</v>
      </c>
    </row>
    <row r="34" spans="1:29" x14ac:dyDescent="0.25">
      <c r="F34" s="20"/>
      <c r="G34" s="37" t="s">
        <v>123</v>
      </c>
      <c r="H34" s="24">
        <v>20000</v>
      </c>
      <c r="I34" s="24">
        <v>20000</v>
      </c>
      <c r="J34" s="24">
        <v>40000</v>
      </c>
      <c r="K34" s="24">
        <v>0</v>
      </c>
      <c r="L34" s="24">
        <v>0</v>
      </c>
      <c r="M34" s="24">
        <v>0</v>
      </c>
      <c r="N34" s="24">
        <v>0</v>
      </c>
      <c r="O34" s="24">
        <v>0</v>
      </c>
      <c r="P34" s="24">
        <v>0</v>
      </c>
      <c r="Q34" s="24">
        <v>0</v>
      </c>
      <c r="R34" s="24">
        <v>0</v>
      </c>
      <c r="S34" s="24">
        <v>0</v>
      </c>
      <c r="T34" s="24">
        <v>0</v>
      </c>
      <c r="U34" s="24">
        <v>0</v>
      </c>
      <c r="V34" s="24">
        <v>0</v>
      </c>
      <c r="W34" s="24">
        <v>0</v>
      </c>
      <c r="X34" s="24">
        <v>0</v>
      </c>
      <c r="Y34" s="24">
        <v>0</v>
      </c>
      <c r="Z34" s="24">
        <v>20000</v>
      </c>
      <c r="AA34" s="24">
        <v>20000</v>
      </c>
      <c r="AB34" s="25">
        <v>40000</v>
      </c>
    </row>
    <row r="35" spans="1:29" x14ac:dyDescent="0.25">
      <c r="F35" s="20"/>
      <c r="G35" s="37" t="s">
        <v>61</v>
      </c>
      <c r="H35" s="24">
        <v>20000</v>
      </c>
      <c r="I35" s="24">
        <v>20000</v>
      </c>
      <c r="J35" s="24">
        <v>40000</v>
      </c>
      <c r="K35" s="24">
        <v>0</v>
      </c>
      <c r="L35" s="24">
        <v>0</v>
      </c>
      <c r="M35" s="24">
        <v>0</v>
      </c>
      <c r="N35" s="24">
        <v>0</v>
      </c>
      <c r="O35" s="24">
        <v>0</v>
      </c>
      <c r="P35" s="24">
        <v>0</v>
      </c>
      <c r="Q35" s="24">
        <v>0</v>
      </c>
      <c r="R35" s="24">
        <v>0</v>
      </c>
      <c r="S35" s="24">
        <v>0</v>
      </c>
      <c r="T35" s="24">
        <v>0</v>
      </c>
      <c r="U35" s="24">
        <v>0</v>
      </c>
      <c r="V35" s="24">
        <v>0</v>
      </c>
      <c r="W35" s="24">
        <v>0</v>
      </c>
      <c r="X35" s="24">
        <v>0</v>
      </c>
      <c r="Y35" s="24">
        <v>0</v>
      </c>
      <c r="Z35" s="24">
        <v>20000</v>
      </c>
      <c r="AA35" s="24">
        <v>20000</v>
      </c>
      <c r="AB35" s="25">
        <v>40000</v>
      </c>
    </row>
    <row r="36" spans="1:29" x14ac:dyDescent="0.25">
      <c r="F36" s="20"/>
      <c r="G36" s="37" t="s">
        <v>117</v>
      </c>
      <c r="H36" s="24">
        <v>20000</v>
      </c>
      <c r="I36" s="24">
        <v>20000</v>
      </c>
      <c r="J36" s="24">
        <v>40000</v>
      </c>
      <c r="K36" s="24">
        <v>0</v>
      </c>
      <c r="L36" s="24">
        <v>0</v>
      </c>
      <c r="M36" s="24">
        <v>7000</v>
      </c>
      <c r="N36" s="24">
        <v>0</v>
      </c>
      <c r="O36" s="24">
        <v>0</v>
      </c>
      <c r="P36" s="24">
        <v>0</v>
      </c>
      <c r="Q36" s="24">
        <v>7000</v>
      </c>
      <c r="R36" s="24">
        <v>0</v>
      </c>
      <c r="S36" s="24">
        <v>0</v>
      </c>
      <c r="T36" s="24">
        <v>0</v>
      </c>
      <c r="U36" s="24">
        <v>0</v>
      </c>
      <c r="V36" s="24">
        <v>0</v>
      </c>
      <c r="W36" s="24">
        <v>0</v>
      </c>
      <c r="X36" s="24">
        <v>0</v>
      </c>
      <c r="Y36" s="24">
        <v>0</v>
      </c>
      <c r="Z36" s="24">
        <v>20000</v>
      </c>
      <c r="AA36" s="24">
        <v>20000</v>
      </c>
      <c r="AB36" s="25">
        <v>40000</v>
      </c>
    </row>
    <row r="37" spans="1:29" x14ac:dyDescent="0.25">
      <c r="F37" s="20"/>
      <c r="G37" s="37" t="s">
        <v>120</v>
      </c>
      <c r="H37" s="24">
        <v>20000</v>
      </c>
      <c r="I37" s="24">
        <v>20000</v>
      </c>
      <c r="J37" s="24">
        <v>40000</v>
      </c>
      <c r="K37" s="24">
        <v>0</v>
      </c>
      <c r="L37" s="24">
        <v>0</v>
      </c>
      <c r="M37" s="24">
        <v>0</v>
      </c>
      <c r="N37" s="24">
        <v>0</v>
      </c>
      <c r="O37" s="24">
        <v>0</v>
      </c>
      <c r="P37" s="24">
        <v>0</v>
      </c>
      <c r="Q37" s="24">
        <v>0</v>
      </c>
      <c r="R37" s="24">
        <v>0</v>
      </c>
      <c r="S37" s="24">
        <v>0</v>
      </c>
      <c r="T37" s="24">
        <v>0</v>
      </c>
      <c r="U37" s="24">
        <v>0</v>
      </c>
      <c r="V37" s="24">
        <v>0</v>
      </c>
      <c r="W37" s="24">
        <v>0</v>
      </c>
      <c r="X37" s="24">
        <v>0</v>
      </c>
      <c r="Y37" s="24">
        <v>0</v>
      </c>
      <c r="Z37" s="24">
        <v>20000</v>
      </c>
      <c r="AA37" s="24">
        <v>20000</v>
      </c>
      <c r="AB37" s="25">
        <v>40000</v>
      </c>
    </row>
    <row r="38" spans="1:29" x14ac:dyDescent="0.25">
      <c r="F38" s="20"/>
      <c r="G38" s="37" t="s">
        <v>121</v>
      </c>
      <c r="H38" s="24">
        <v>20000</v>
      </c>
      <c r="I38" s="24">
        <v>20000</v>
      </c>
      <c r="J38" s="24">
        <v>40000</v>
      </c>
      <c r="K38" s="24">
        <v>0</v>
      </c>
      <c r="L38" s="24">
        <v>0</v>
      </c>
      <c r="M38" s="24">
        <v>0</v>
      </c>
      <c r="N38" s="24">
        <v>0</v>
      </c>
      <c r="O38" s="24">
        <v>0</v>
      </c>
      <c r="P38" s="24">
        <v>0</v>
      </c>
      <c r="Q38" s="24">
        <v>0</v>
      </c>
      <c r="R38" s="24">
        <v>0</v>
      </c>
      <c r="S38" s="24">
        <v>0</v>
      </c>
      <c r="T38" s="24">
        <v>0</v>
      </c>
      <c r="U38" s="24">
        <v>0</v>
      </c>
      <c r="V38" s="24">
        <v>0</v>
      </c>
      <c r="W38" s="24">
        <v>0</v>
      </c>
      <c r="X38" s="24">
        <v>0</v>
      </c>
      <c r="Y38" s="24">
        <v>0</v>
      </c>
      <c r="Z38" s="24">
        <v>20000</v>
      </c>
      <c r="AA38" s="24">
        <v>20000</v>
      </c>
      <c r="AB38" s="25">
        <v>40000</v>
      </c>
    </row>
    <row r="39" spans="1:29" x14ac:dyDescent="0.25">
      <c r="F39" s="20"/>
      <c r="G39" s="37" t="s">
        <v>125</v>
      </c>
      <c r="H39" s="24">
        <v>20000</v>
      </c>
      <c r="I39" s="24">
        <v>20000</v>
      </c>
      <c r="J39" s="24">
        <v>40000</v>
      </c>
      <c r="K39" s="24">
        <v>0</v>
      </c>
      <c r="L39" s="24">
        <v>0</v>
      </c>
      <c r="M39" s="24">
        <v>0</v>
      </c>
      <c r="N39" s="24">
        <v>0</v>
      </c>
      <c r="O39" s="24">
        <v>0</v>
      </c>
      <c r="P39" s="24">
        <v>0</v>
      </c>
      <c r="Q39" s="24">
        <v>0</v>
      </c>
      <c r="R39" s="24">
        <v>0</v>
      </c>
      <c r="S39" s="24">
        <v>0</v>
      </c>
      <c r="T39" s="24">
        <v>0</v>
      </c>
      <c r="U39" s="24">
        <v>0</v>
      </c>
      <c r="V39" s="24">
        <v>0</v>
      </c>
      <c r="W39" s="24">
        <v>0</v>
      </c>
      <c r="X39" s="24">
        <v>0</v>
      </c>
      <c r="Y39" s="24">
        <v>0</v>
      </c>
      <c r="Z39" s="24">
        <v>20000</v>
      </c>
      <c r="AA39" s="24">
        <v>20000</v>
      </c>
      <c r="AB39" s="25">
        <v>40000</v>
      </c>
    </row>
    <row r="40" spans="1:29" x14ac:dyDescent="0.25">
      <c r="F40" s="20"/>
      <c r="G40" s="37" t="s">
        <v>127</v>
      </c>
      <c r="H40" s="24">
        <v>20000</v>
      </c>
      <c r="I40" s="24">
        <v>20000</v>
      </c>
      <c r="J40" s="24">
        <v>40000</v>
      </c>
      <c r="K40" s="24">
        <v>0</v>
      </c>
      <c r="L40" s="24">
        <v>0</v>
      </c>
      <c r="M40" s="24">
        <v>0</v>
      </c>
      <c r="N40" s="24">
        <v>0</v>
      </c>
      <c r="O40" s="24">
        <v>0</v>
      </c>
      <c r="P40" s="24">
        <v>0</v>
      </c>
      <c r="Q40" s="24">
        <v>0</v>
      </c>
      <c r="R40" s="24">
        <v>0</v>
      </c>
      <c r="S40" s="24">
        <v>0</v>
      </c>
      <c r="T40" s="24">
        <v>0</v>
      </c>
      <c r="U40" s="24">
        <v>0</v>
      </c>
      <c r="V40" s="24">
        <v>0</v>
      </c>
      <c r="W40" s="24">
        <v>0</v>
      </c>
      <c r="X40" s="24">
        <v>0</v>
      </c>
      <c r="Y40" s="24">
        <v>0</v>
      </c>
      <c r="Z40" s="24">
        <v>20000</v>
      </c>
      <c r="AA40" s="24">
        <v>20000</v>
      </c>
      <c r="AB40" s="25">
        <v>40000</v>
      </c>
    </row>
    <row r="41" spans="1:29" x14ac:dyDescent="0.25">
      <c r="F41" s="20"/>
      <c r="G41" s="37" t="s">
        <v>126</v>
      </c>
      <c r="H41" s="24">
        <v>20000</v>
      </c>
      <c r="I41" s="24">
        <v>20000</v>
      </c>
      <c r="J41" s="24">
        <v>40000</v>
      </c>
      <c r="K41" s="24">
        <v>0</v>
      </c>
      <c r="L41" s="24">
        <v>0</v>
      </c>
      <c r="M41" s="24">
        <v>0</v>
      </c>
      <c r="N41" s="24">
        <v>0</v>
      </c>
      <c r="O41" s="24">
        <v>0</v>
      </c>
      <c r="P41" s="24">
        <v>0</v>
      </c>
      <c r="Q41" s="24">
        <v>0</v>
      </c>
      <c r="R41" s="24">
        <v>0</v>
      </c>
      <c r="S41" s="24">
        <v>0</v>
      </c>
      <c r="T41" s="24">
        <v>0</v>
      </c>
      <c r="U41" s="24">
        <v>0</v>
      </c>
      <c r="V41" s="24">
        <v>0</v>
      </c>
      <c r="W41" s="24">
        <v>0</v>
      </c>
      <c r="X41" s="24">
        <v>0</v>
      </c>
      <c r="Y41" s="24">
        <v>0</v>
      </c>
      <c r="Z41" s="24">
        <v>20000</v>
      </c>
      <c r="AA41" s="24">
        <v>20000</v>
      </c>
      <c r="AB41" s="25">
        <v>40000</v>
      </c>
    </row>
    <row r="42" spans="1:29" x14ac:dyDescent="0.25">
      <c r="F42" s="20"/>
      <c r="G42" s="35" t="s">
        <v>124</v>
      </c>
      <c r="H42" s="24">
        <v>20000</v>
      </c>
      <c r="I42" s="24">
        <v>20000</v>
      </c>
      <c r="J42" s="24">
        <v>40000</v>
      </c>
      <c r="K42" s="24">
        <v>0</v>
      </c>
      <c r="L42" s="24">
        <v>0</v>
      </c>
      <c r="M42" s="24">
        <v>0</v>
      </c>
      <c r="N42" s="24">
        <v>0</v>
      </c>
      <c r="O42" s="24">
        <v>0</v>
      </c>
      <c r="P42" s="24">
        <v>0</v>
      </c>
      <c r="Q42" s="24">
        <v>0</v>
      </c>
      <c r="R42" s="24">
        <v>0</v>
      </c>
      <c r="S42" s="24">
        <v>0</v>
      </c>
      <c r="T42" s="24">
        <v>0</v>
      </c>
      <c r="U42" s="24">
        <v>0</v>
      </c>
      <c r="V42" s="24">
        <v>0</v>
      </c>
      <c r="W42" s="24">
        <v>0</v>
      </c>
      <c r="X42" s="24">
        <v>0</v>
      </c>
      <c r="Y42" s="24">
        <v>0</v>
      </c>
      <c r="Z42" s="24">
        <v>20000</v>
      </c>
      <c r="AA42" s="24">
        <v>20000</v>
      </c>
      <c r="AB42" s="25">
        <v>40000</v>
      </c>
    </row>
    <row r="43" spans="1:29" s="19" customFormat="1" x14ac:dyDescent="0.25">
      <c r="A43" s="17"/>
      <c r="B43" s="18"/>
      <c r="F43" s="22">
        <v>2</v>
      </c>
      <c r="G43" s="33" t="s">
        <v>252</v>
      </c>
      <c r="H43" s="26">
        <v>40000</v>
      </c>
      <c r="I43" s="26">
        <v>40000</v>
      </c>
      <c r="J43" s="26">
        <v>80000</v>
      </c>
      <c r="K43" s="26">
        <v>0</v>
      </c>
      <c r="L43" s="26">
        <v>0</v>
      </c>
      <c r="M43" s="26">
        <v>0</v>
      </c>
      <c r="N43" s="26">
        <v>0</v>
      </c>
      <c r="O43" s="26">
        <v>0</v>
      </c>
      <c r="P43" s="26">
        <v>0</v>
      </c>
      <c r="Q43" s="26">
        <v>0</v>
      </c>
      <c r="R43" s="26">
        <v>0</v>
      </c>
      <c r="S43" s="26">
        <v>0</v>
      </c>
      <c r="T43" s="26">
        <v>0</v>
      </c>
      <c r="U43" s="26">
        <v>0</v>
      </c>
      <c r="V43" s="26">
        <v>0</v>
      </c>
      <c r="W43" s="26">
        <v>0</v>
      </c>
      <c r="X43" s="26">
        <v>0</v>
      </c>
      <c r="Y43" s="26">
        <v>0</v>
      </c>
      <c r="Z43" s="26">
        <v>40000</v>
      </c>
      <c r="AA43" s="26">
        <v>40000</v>
      </c>
      <c r="AB43" s="27">
        <v>80000</v>
      </c>
      <c r="AC43"/>
    </row>
    <row r="44" spans="1:29" x14ac:dyDescent="0.25">
      <c r="F44" s="20"/>
      <c r="G44" s="34" t="s">
        <v>136</v>
      </c>
      <c r="H44" s="24">
        <v>20000</v>
      </c>
      <c r="I44" s="24">
        <v>20000</v>
      </c>
      <c r="J44" s="24">
        <v>40000</v>
      </c>
      <c r="K44" s="24">
        <v>0</v>
      </c>
      <c r="L44" s="24">
        <v>0</v>
      </c>
      <c r="M44" s="24">
        <v>0</v>
      </c>
      <c r="N44" s="24">
        <v>0</v>
      </c>
      <c r="O44" s="24">
        <v>0</v>
      </c>
      <c r="P44" s="24">
        <v>0</v>
      </c>
      <c r="Q44" s="24">
        <v>0</v>
      </c>
      <c r="R44" s="24">
        <v>0</v>
      </c>
      <c r="S44" s="24">
        <v>0</v>
      </c>
      <c r="T44" s="24">
        <v>0</v>
      </c>
      <c r="U44" s="24">
        <v>0</v>
      </c>
      <c r="V44" s="24">
        <v>0</v>
      </c>
      <c r="W44" s="24">
        <v>0</v>
      </c>
      <c r="X44" s="24">
        <v>0</v>
      </c>
      <c r="Y44" s="24">
        <v>0</v>
      </c>
      <c r="Z44" s="24">
        <v>20000</v>
      </c>
      <c r="AA44" s="24">
        <v>20000</v>
      </c>
      <c r="AB44" s="25">
        <v>40000</v>
      </c>
    </row>
    <row r="45" spans="1:29" x14ac:dyDescent="0.25">
      <c r="F45" s="20"/>
      <c r="G45" s="35" t="s">
        <v>134</v>
      </c>
      <c r="H45" s="24">
        <v>20000</v>
      </c>
      <c r="I45" s="24">
        <v>20000</v>
      </c>
      <c r="J45" s="24">
        <v>40000</v>
      </c>
      <c r="K45" s="24">
        <v>0</v>
      </c>
      <c r="L45" s="24">
        <v>0</v>
      </c>
      <c r="M45" s="24">
        <v>0</v>
      </c>
      <c r="N45" s="24">
        <v>0</v>
      </c>
      <c r="O45" s="24">
        <v>0</v>
      </c>
      <c r="P45" s="24">
        <v>0</v>
      </c>
      <c r="Q45" s="24">
        <v>0</v>
      </c>
      <c r="R45" s="24">
        <v>0</v>
      </c>
      <c r="S45" s="24">
        <v>0</v>
      </c>
      <c r="T45" s="24">
        <v>0</v>
      </c>
      <c r="U45" s="24">
        <v>0</v>
      </c>
      <c r="V45" s="24">
        <v>0</v>
      </c>
      <c r="W45" s="24">
        <v>0</v>
      </c>
      <c r="X45" s="24">
        <v>0</v>
      </c>
      <c r="Y45" s="24">
        <v>0</v>
      </c>
      <c r="Z45" s="24">
        <v>20000</v>
      </c>
      <c r="AA45" s="24">
        <v>20000</v>
      </c>
      <c r="AB45" s="25">
        <v>40000</v>
      </c>
    </row>
    <row r="46" spans="1:29" s="19" customFormat="1" x14ac:dyDescent="0.25">
      <c r="A46" s="17"/>
      <c r="B46" s="18"/>
      <c r="F46" s="22">
        <v>3</v>
      </c>
      <c r="G46" s="33" t="s">
        <v>257</v>
      </c>
      <c r="H46" s="26">
        <v>100000</v>
      </c>
      <c r="I46" s="26">
        <v>100000</v>
      </c>
      <c r="J46" s="26">
        <v>200000</v>
      </c>
      <c r="K46" s="26">
        <v>0</v>
      </c>
      <c r="L46" s="26">
        <v>0</v>
      </c>
      <c r="M46" s="26">
        <v>0</v>
      </c>
      <c r="N46" s="26">
        <v>0</v>
      </c>
      <c r="O46" s="26">
        <v>0</v>
      </c>
      <c r="P46" s="26">
        <v>0</v>
      </c>
      <c r="Q46" s="26">
        <v>0</v>
      </c>
      <c r="R46" s="26">
        <v>0</v>
      </c>
      <c r="S46" s="26">
        <v>0</v>
      </c>
      <c r="T46" s="26">
        <v>0</v>
      </c>
      <c r="U46" s="26">
        <v>0</v>
      </c>
      <c r="V46" s="26">
        <v>0</v>
      </c>
      <c r="W46" s="26">
        <v>0</v>
      </c>
      <c r="X46" s="26">
        <v>0</v>
      </c>
      <c r="Y46" s="26">
        <v>0</v>
      </c>
      <c r="Z46" s="26">
        <v>100000</v>
      </c>
      <c r="AA46" s="26">
        <v>100000</v>
      </c>
      <c r="AB46" s="27">
        <v>200000</v>
      </c>
      <c r="AC46"/>
    </row>
    <row r="47" spans="1:29" x14ac:dyDescent="0.25">
      <c r="F47" s="20"/>
      <c r="G47" s="34" t="s">
        <v>128</v>
      </c>
      <c r="H47" s="24">
        <v>20000</v>
      </c>
      <c r="I47" s="24">
        <v>20000</v>
      </c>
      <c r="J47" s="24">
        <v>40000</v>
      </c>
      <c r="K47" s="24">
        <v>0</v>
      </c>
      <c r="L47" s="24">
        <v>0</v>
      </c>
      <c r="M47" s="24">
        <v>0</v>
      </c>
      <c r="N47" s="24">
        <v>0</v>
      </c>
      <c r="O47" s="24">
        <v>0</v>
      </c>
      <c r="P47" s="24">
        <v>0</v>
      </c>
      <c r="Q47" s="24">
        <v>0</v>
      </c>
      <c r="R47" s="24">
        <v>0</v>
      </c>
      <c r="S47" s="24">
        <v>0</v>
      </c>
      <c r="T47" s="24">
        <v>0</v>
      </c>
      <c r="U47" s="24">
        <v>0</v>
      </c>
      <c r="V47" s="24">
        <v>0</v>
      </c>
      <c r="W47" s="24">
        <v>0</v>
      </c>
      <c r="X47" s="24">
        <v>0</v>
      </c>
      <c r="Y47" s="24">
        <v>0</v>
      </c>
      <c r="Z47" s="24">
        <v>20000</v>
      </c>
      <c r="AA47" s="24">
        <v>20000</v>
      </c>
      <c r="AB47" s="25">
        <v>40000</v>
      </c>
    </row>
    <row r="48" spans="1:29" x14ac:dyDescent="0.25">
      <c r="F48" s="20"/>
      <c r="G48" s="37" t="s">
        <v>132</v>
      </c>
      <c r="H48" s="24">
        <v>20000</v>
      </c>
      <c r="I48" s="24">
        <v>20000</v>
      </c>
      <c r="J48" s="24">
        <v>40000</v>
      </c>
      <c r="K48" s="24">
        <v>0</v>
      </c>
      <c r="L48" s="24">
        <v>0</v>
      </c>
      <c r="M48" s="24">
        <v>0</v>
      </c>
      <c r="N48" s="24">
        <v>0</v>
      </c>
      <c r="O48" s="24">
        <v>0</v>
      </c>
      <c r="P48" s="24">
        <v>0</v>
      </c>
      <c r="Q48" s="24">
        <v>0</v>
      </c>
      <c r="R48" s="24">
        <v>0</v>
      </c>
      <c r="S48" s="24">
        <v>0</v>
      </c>
      <c r="T48" s="24">
        <v>0</v>
      </c>
      <c r="U48" s="24">
        <v>0</v>
      </c>
      <c r="V48" s="24">
        <v>0</v>
      </c>
      <c r="W48" s="24">
        <v>0</v>
      </c>
      <c r="X48" s="24">
        <v>0</v>
      </c>
      <c r="Y48" s="24">
        <v>0</v>
      </c>
      <c r="Z48" s="24">
        <v>20000</v>
      </c>
      <c r="AA48" s="24">
        <v>20000</v>
      </c>
      <c r="AB48" s="25">
        <v>40000</v>
      </c>
    </row>
    <row r="49" spans="1:29" x14ac:dyDescent="0.25">
      <c r="F49" s="20"/>
      <c r="G49" s="37" t="s">
        <v>130</v>
      </c>
      <c r="H49" s="24">
        <v>20000</v>
      </c>
      <c r="I49" s="24">
        <v>20000</v>
      </c>
      <c r="J49" s="24">
        <v>40000</v>
      </c>
      <c r="K49" s="24">
        <v>0</v>
      </c>
      <c r="L49" s="24">
        <v>0</v>
      </c>
      <c r="M49" s="24">
        <v>0</v>
      </c>
      <c r="N49" s="24">
        <v>0</v>
      </c>
      <c r="O49" s="24">
        <v>0</v>
      </c>
      <c r="P49" s="24">
        <v>0</v>
      </c>
      <c r="Q49" s="24">
        <v>0</v>
      </c>
      <c r="R49" s="24">
        <v>0</v>
      </c>
      <c r="S49" s="24">
        <v>0</v>
      </c>
      <c r="T49" s="24">
        <v>0</v>
      </c>
      <c r="U49" s="24">
        <v>0</v>
      </c>
      <c r="V49" s="24">
        <v>0</v>
      </c>
      <c r="W49" s="24">
        <v>0</v>
      </c>
      <c r="X49" s="24">
        <v>0</v>
      </c>
      <c r="Y49" s="24">
        <v>0</v>
      </c>
      <c r="Z49" s="24">
        <v>20000</v>
      </c>
      <c r="AA49" s="24">
        <v>20000</v>
      </c>
      <c r="AB49" s="25">
        <v>40000</v>
      </c>
    </row>
    <row r="50" spans="1:29" x14ac:dyDescent="0.25">
      <c r="F50" s="20"/>
      <c r="G50" s="37" t="s">
        <v>131</v>
      </c>
      <c r="H50" s="24">
        <v>20000</v>
      </c>
      <c r="I50" s="24">
        <v>20000</v>
      </c>
      <c r="J50" s="24">
        <v>40000</v>
      </c>
      <c r="K50" s="24">
        <v>0</v>
      </c>
      <c r="L50" s="24">
        <v>0</v>
      </c>
      <c r="M50" s="24">
        <v>0</v>
      </c>
      <c r="N50" s="24">
        <v>0</v>
      </c>
      <c r="O50" s="24">
        <v>0</v>
      </c>
      <c r="P50" s="24">
        <v>0</v>
      </c>
      <c r="Q50" s="24">
        <v>0</v>
      </c>
      <c r="R50" s="24">
        <v>0</v>
      </c>
      <c r="S50" s="24">
        <v>0</v>
      </c>
      <c r="T50" s="24">
        <v>0</v>
      </c>
      <c r="U50" s="24">
        <v>0</v>
      </c>
      <c r="V50" s="24">
        <v>0</v>
      </c>
      <c r="W50" s="24">
        <v>0</v>
      </c>
      <c r="X50" s="24">
        <v>0</v>
      </c>
      <c r="Y50" s="24">
        <v>0</v>
      </c>
      <c r="Z50" s="24">
        <v>20000</v>
      </c>
      <c r="AA50" s="24">
        <v>20000</v>
      </c>
      <c r="AB50" s="25">
        <v>40000</v>
      </c>
    </row>
    <row r="51" spans="1:29" x14ac:dyDescent="0.25">
      <c r="F51" s="20"/>
      <c r="G51" s="35" t="s">
        <v>133</v>
      </c>
      <c r="H51" s="24">
        <v>20000</v>
      </c>
      <c r="I51" s="24">
        <v>20000</v>
      </c>
      <c r="J51" s="24">
        <v>40000</v>
      </c>
      <c r="K51" s="24">
        <v>0</v>
      </c>
      <c r="L51" s="24">
        <v>0</v>
      </c>
      <c r="M51" s="24">
        <v>0</v>
      </c>
      <c r="N51" s="24">
        <v>0</v>
      </c>
      <c r="O51" s="24">
        <v>0</v>
      </c>
      <c r="P51" s="24">
        <v>0</v>
      </c>
      <c r="Q51" s="24">
        <v>0</v>
      </c>
      <c r="R51" s="24">
        <v>0</v>
      </c>
      <c r="S51" s="24">
        <v>0</v>
      </c>
      <c r="T51" s="24">
        <v>0</v>
      </c>
      <c r="U51" s="24">
        <v>0</v>
      </c>
      <c r="V51" s="24">
        <v>0</v>
      </c>
      <c r="W51" s="24">
        <v>0</v>
      </c>
      <c r="X51" s="24">
        <v>0</v>
      </c>
      <c r="Y51" s="24">
        <v>0</v>
      </c>
      <c r="Z51" s="24">
        <v>20000</v>
      </c>
      <c r="AA51" s="24">
        <v>20000</v>
      </c>
      <c r="AB51" s="25">
        <v>40000</v>
      </c>
    </row>
    <row r="52" spans="1:29" s="19" customFormat="1" x14ac:dyDescent="0.25">
      <c r="A52" s="17"/>
      <c r="B52" s="18"/>
      <c r="F52" s="22">
        <v>4</v>
      </c>
      <c r="G52" s="33" t="s">
        <v>254</v>
      </c>
      <c r="H52" s="26">
        <v>120000</v>
      </c>
      <c r="I52" s="26">
        <v>120000</v>
      </c>
      <c r="J52" s="26">
        <v>240000</v>
      </c>
      <c r="K52" s="26">
        <v>0</v>
      </c>
      <c r="L52" s="26">
        <v>0</v>
      </c>
      <c r="M52" s="26">
        <v>0</v>
      </c>
      <c r="N52" s="26">
        <v>0</v>
      </c>
      <c r="O52" s="26">
        <v>0</v>
      </c>
      <c r="P52" s="26">
        <v>0</v>
      </c>
      <c r="Q52" s="26">
        <v>0</v>
      </c>
      <c r="R52" s="26">
        <v>0</v>
      </c>
      <c r="S52" s="26">
        <v>0</v>
      </c>
      <c r="T52" s="26">
        <v>0</v>
      </c>
      <c r="U52" s="26">
        <v>0</v>
      </c>
      <c r="V52" s="26">
        <v>0</v>
      </c>
      <c r="W52" s="26">
        <v>0</v>
      </c>
      <c r="X52" s="26">
        <v>0</v>
      </c>
      <c r="Y52" s="26">
        <v>0</v>
      </c>
      <c r="Z52" s="26">
        <v>120000</v>
      </c>
      <c r="AA52" s="26">
        <v>120000</v>
      </c>
      <c r="AB52" s="27">
        <v>240000</v>
      </c>
      <c r="AC52"/>
    </row>
    <row r="53" spans="1:29" x14ac:dyDescent="0.25">
      <c r="F53" s="20"/>
      <c r="G53" s="34" t="s">
        <v>140</v>
      </c>
      <c r="H53" s="24">
        <v>20000</v>
      </c>
      <c r="I53" s="24">
        <v>20000</v>
      </c>
      <c r="J53" s="24">
        <v>40000</v>
      </c>
      <c r="K53" s="24">
        <v>0</v>
      </c>
      <c r="L53" s="24">
        <v>0</v>
      </c>
      <c r="M53" s="24">
        <v>0</v>
      </c>
      <c r="N53" s="24">
        <v>0</v>
      </c>
      <c r="O53" s="24">
        <v>0</v>
      </c>
      <c r="P53" s="24">
        <v>0</v>
      </c>
      <c r="Q53" s="24">
        <v>0</v>
      </c>
      <c r="R53" s="24">
        <v>0</v>
      </c>
      <c r="S53" s="24">
        <v>0</v>
      </c>
      <c r="T53" s="24">
        <v>0</v>
      </c>
      <c r="U53" s="24">
        <v>0</v>
      </c>
      <c r="V53" s="24">
        <v>0</v>
      </c>
      <c r="W53" s="24">
        <v>0</v>
      </c>
      <c r="X53" s="24">
        <v>0</v>
      </c>
      <c r="Y53" s="24">
        <v>0</v>
      </c>
      <c r="Z53" s="24">
        <v>20000</v>
      </c>
      <c r="AA53" s="24">
        <v>20000</v>
      </c>
      <c r="AB53" s="25">
        <v>40000</v>
      </c>
    </row>
    <row r="54" spans="1:29" x14ac:dyDescent="0.25">
      <c r="F54" s="20"/>
      <c r="G54" s="37" t="s">
        <v>137</v>
      </c>
      <c r="H54" s="24">
        <v>20000</v>
      </c>
      <c r="I54" s="24">
        <v>20000</v>
      </c>
      <c r="J54" s="24">
        <v>40000</v>
      </c>
      <c r="K54" s="24">
        <v>0</v>
      </c>
      <c r="L54" s="24">
        <v>0</v>
      </c>
      <c r="M54" s="24">
        <v>0</v>
      </c>
      <c r="N54" s="24">
        <v>0</v>
      </c>
      <c r="O54" s="24">
        <v>0</v>
      </c>
      <c r="P54" s="24">
        <v>0</v>
      </c>
      <c r="Q54" s="24">
        <v>0</v>
      </c>
      <c r="R54" s="24">
        <v>0</v>
      </c>
      <c r="S54" s="24">
        <v>0</v>
      </c>
      <c r="T54" s="24">
        <v>0</v>
      </c>
      <c r="U54" s="24">
        <v>0</v>
      </c>
      <c r="V54" s="24">
        <v>0</v>
      </c>
      <c r="W54" s="24">
        <v>0</v>
      </c>
      <c r="X54" s="24">
        <v>0</v>
      </c>
      <c r="Y54" s="24">
        <v>0</v>
      </c>
      <c r="Z54" s="24">
        <v>20000</v>
      </c>
      <c r="AA54" s="24">
        <v>20000</v>
      </c>
      <c r="AB54" s="25">
        <v>40000</v>
      </c>
    </row>
    <row r="55" spans="1:29" x14ac:dyDescent="0.25">
      <c r="F55" s="20"/>
      <c r="G55" s="37" t="s">
        <v>141</v>
      </c>
      <c r="H55" s="24">
        <v>20000</v>
      </c>
      <c r="I55" s="24">
        <v>20000</v>
      </c>
      <c r="J55" s="24">
        <v>40000</v>
      </c>
      <c r="K55" s="24">
        <v>0</v>
      </c>
      <c r="L55" s="24">
        <v>0</v>
      </c>
      <c r="M55" s="24">
        <v>0</v>
      </c>
      <c r="N55" s="24">
        <v>0</v>
      </c>
      <c r="O55" s="24">
        <v>0</v>
      </c>
      <c r="P55" s="24">
        <v>0</v>
      </c>
      <c r="Q55" s="24">
        <v>0</v>
      </c>
      <c r="R55" s="24">
        <v>0</v>
      </c>
      <c r="S55" s="24">
        <v>0</v>
      </c>
      <c r="T55" s="24">
        <v>0</v>
      </c>
      <c r="U55" s="24">
        <v>0</v>
      </c>
      <c r="V55" s="24">
        <v>0</v>
      </c>
      <c r="W55" s="24">
        <v>0</v>
      </c>
      <c r="X55" s="24">
        <v>0</v>
      </c>
      <c r="Y55" s="24">
        <v>0</v>
      </c>
      <c r="Z55" s="24">
        <v>20000</v>
      </c>
      <c r="AA55" s="24">
        <v>20000</v>
      </c>
      <c r="AB55" s="25">
        <v>40000</v>
      </c>
    </row>
    <row r="56" spans="1:29" x14ac:dyDescent="0.25">
      <c r="F56" s="20"/>
      <c r="G56" s="37" t="s">
        <v>142</v>
      </c>
      <c r="H56" s="24">
        <v>20000</v>
      </c>
      <c r="I56" s="24">
        <v>20000</v>
      </c>
      <c r="J56" s="24">
        <v>40000</v>
      </c>
      <c r="K56" s="24">
        <v>0</v>
      </c>
      <c r="L56" s="24">
        <v>0</v>
      </c>
      <c r="M56" s="24">
        <v>0</v>
      </c>
      <c r="N56" s="24">
        <v>0</v>
      </c>
      <c r="O56" s="24">
        <v>0</v>
      </c>
      <c r="P56" s="24">
        <v>0</v>
      </c>
      <c r="Q56" s="24">
        <v>0</v>
      </c>
      <c r="R56" s="24">
        <v>0</v>
      </c>
      <c r="S56" s="24">
        <v>0</v>
      </c>
      <c r="T56" s="24">
        <v>0</v>
      </c>
      <c r="U56" s="24">
        <v>0</v>
      </c>
      <c r="V56" s="24">
        <v>0</v>
      </c>
      <c r="W56" s="24">
        <v>0</v>
      </c>
      <c r="X56" s="24">
        <v>0</v>
      </c>
      <c r="Y56" s="24">
        <v>0</v>
      </c>
      <c r="Z56" s="24">
        <v>20000</v>
      </c>
      <c r="AA56" s="24">
        <v>20000</v>
      </c>
      <c r="AB56" s="25">
        <v>40000</v>
      </c>
    </row>
    <row r="57" spans="1:29" x14ac:dyDescent="0.25">
      <c r="F57" s="20"/>
      <c r="G57" s="37" t="s">
        <v>139</v>
      </c>
      <c r="H57" s="24">
        <v>20000</v>
      </c>
      <c r="I57" s="24">
        <v>20000</v>
      </c>
      <c r="J57" s="24">
        <v>40000</v>
      </c>
      <c r="K57" s="24">
        <v>0</v>
      </c>
      <c r="L57" s="24">
        <v>0</v>
      </c>
      <c r="M57" s="24">
        <v>0</v>
      </c>
      <c r="N57" s="24">
        <v>0</v>
      </c>
      <c r="O57" s="24">
        <v>0</v>
      </c>
      <c r="P57" s="24">
        <v>0</v>
      </c>
      <c r="Q57" s="24">
        <v>0</v>
      </c>
      <c r="R57" s="24">
        <v>0</v>
      </c>
      <c r="S57" s="24">
        <v>0</v>
      </c>
      <c r="T57" s="24">
        <v>0</v>
      </c>
      <c r="U57" s="24">
        <v>0</v>
      </c>
      <c r="V57" s="24">
        <v>0</v>
      </c>
      <c r="W57" s="24">
        <v>0</v>
      </c>
      <c r="X57" s="24">
        <v>0</v>
      </c>
      <c r="Y57" s="24">
        <v>0</v>
      </c>
      <c r="Z57" s="24">
        <v>20000</v>
      </c>
      <c r="AA57" s="24">
        <v>20000</v>
      </c>
      <c r="AB57" s="25">
        <v>40000</v>
      </c>
    </row>
    <row r="58" spans="1:29" x14ac:dyDescent="0.25">
      <c r="F58" s="20"/>
      <c r="G58" s="35" t="s">
        <v>143</v>
      </c>
      <c r="H58" s="24">
        <v>20000</v>
      </c>
      <c r="I58" s="24">
        <v>20000</v>
      </c>
      <c r="J58" s="24">
        <v>40000</v>
      </c>
      <c r="K58" s="24">
        <v>0</v>
      </c>
      <c r="L58" s="24">
        <v>0</v>
      </c>
      <c r="M58" s="24">
        <v>0</v>
      </c>
      <c r="N58" s="24">
        <v>0</v>
      </c>
      <c r="O58" s="24">
        <v>0</v>
      </c>
      <c r="P58" s="24">
        <v>0</v>
      </c>
      <c r="Q58" s="24">
        <v>0</v>
      </c>
      <c r="R58" s="24">
        <v>0</v>
      </c>
      <c r="S58" s="24">
        <v>0</v>
      </c>
      <c r="T58" s="24">
        <v>0</v>
      </c>
      <c r="U58" s="24">
        <v>0</v>
      </c>
      <c r="V58" s="24">
        <v>0</v>
      </c>
      <c r="W58" s="24">
        <v>0</v>
      </c>
      <c r="X58" s="24">
        <v>0</v>
      </c>
      <c r="Y58" s="24">
        <v>0</v>
      </c>
      <c r="Z58" s="24">
        <v>20000</v>
      </c>
      <c r="AA58" s="24">
        <v>20000</v>
      </c>
      <c r="AB58" s="25">
        <v>40000</v>
      </c>
    </row>
    <row r="59" spans="1:29" s="19" customFormat="1" x14ac:dyDescent="0.25">
      <c r="A59" s="17"/>
      <c r="B59" s="18"/>
      <c r="F59" s="22" t="s">
        <v>283</v>
      </c>
      <c r="G59" s="32" t="s">
        <v>260</v>
      </c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7"/>
      <c r="AC59"/>
    </row>
    <row r="60" spans="1:29" s="19" customFormat="1" x14ac:dyDescent="0.25">
      <c r="A60" s="17"/>
      <c r="B60" s="18"/>
      <c r="F60" s="22">
        <v>1</v>
      </c>
      <c r="G60" s="33" t="s">
        <v>256</v>
      </c>
      <c r="H60" s="26">
        <v>100000</v>
      </c>
      <c r="I60" s="26">
        <v>100000</v>
      </c>
      <c r="J60" s="26">
        <v>200000</v>
      </c>
      <c r="K60" s="26">
        <v>4200</v>
      </c>
      <c r="L60" s="26">
        <v>0</v>
      </c>
      <c r="M60" s="26">
        <v>0</v>
      </c>
      <c r="N60" s="26">
        <v>0</v>
      </c>
      <c r="O60" s="26">
        <v>0</v>
      </c>
      <c r="P60" s="26">
        <v>0</v>
      </c>
      <c r="Q60" s="26">
        <v>4200</v>
      </c>
      <c r="R60" s="26">
        <v>0</v>
      </c>
      <c r="S60" s="26">
        <v>0</v>
      </c>
      <c r="T60" s="26">
        <v>0</v>
      </c>
      <c r="U60" s="26">
        <v>0</v>
      </c>
      <c r="V60" s="26">
        <v>0</v>
      </c>
      <c r="W60" s="26">
        <v>0</v>
      </c>
      <c r="X60" s="26">
        <v>0</v>
      </c>
      <c r="Y60" s="26">
        <v>0</v>
      </c>
      <c r="Z60" s="26">
        <v>100000</v>
      </c>
      <c r="AA60" s="26">
        <v>100000</v>
      </c>
      <c r="AB60" s="27">
        <v>200000</v>
      </c>
      <c r="AC60"/>
    </row>
    <row r="61" spans="1:29" x14ac:dyDescent="0.25">
      <c r="F61" s="20"/>
      <c r="G61" s="34" t="s">
        <v>77</v>
      </c>
      <c r="H61" s="24">
        <v>20000</v>
      </c>
      <c r="I61" s="24">
        <v>20000</v>
      </c>
      <c r="J61" s="24">
        <v>40000</v>
      </c>
      <c r="K61" s="24">
        <v>0</v>
      </c>
      <c r="L61" s="24">
        <v>0</v>
      </c>
      <c r="M61" s="24">
        <v>0</v>
      </c>
      <c r="N61" s="24">
        <v>0</v>
      </c>
      <c r="O61" s="24">
        <v>0</v>
      </c>
      <c r="P61" s="24">
        <v>0</v>
      </c>
      <c r="Q61" s="24">
        <v>0</v>
      </c>
      <c r="R61" s="24">
        <v>0</v>
      </c>
      <c r="S61" s="24">
        <v>0</v>
      </c>
      <c r="T61" s="24">
        <v>0</v>
      </c>
      <c r="U61" s="24">
        <v>0</v>
      </c>
      <c r="V61" s="24">
        <v>0</v>
      </c>
      <c r="W61" s="24">
        <v>0</v>
      </c>
      <c r="X61" s="24">
        <v>0</v>
      </c>
      <c r="Y61" s="24">
        <v>0</v>
      </c>
      <c r="Z61" s="24">
        <v>20000</v>
      </c>
      <c r="AA61" s="24">
        <v>20000</v>
      </c>
      <c r="AB61" s="25">
        <v>40000</v>
      </c>
    </row>
    <row r="62" spans="1:29" x14ac:dyDescent="0.25">
      <c r="F62" s="20"/>
      <c r="G62" s="37" t="s">
        <v>78</v>
      </c>
      <c r="H62" s="24">
        <v>20000</v>
      </c>
      <c r="I62" s="24">
        <v>20000</v>
      </c>
      <c r="J62" s="24">
        <v>40000</v>
      </c>
      <c r="K62" s="24">
        <v>0</v>
      </c>
      <c r="L62" s="24">
        <v>0</v>
      </c>
      <c r="M62" s="24">
        <v>0</v>
      </c>
      <c r="N62" s="24">
        <v>0</v>
      </c>
      <c r="O62" s="24">
        <v>0</v>
      </c>
      <c r="P62" s="24">
        <v>0</v>
      </c>
      <c r="Q62" s="24">
        <v>0</v>
      </c>
      <c r="R62" s="24">
        <v>0</v>
      </c>
      <c r="S62" s="24">
        <v>0</v>
      </c>
      <c r="T62" s="24">
        <v>0</v>
      </c>
      <c r="U62" s="24">
        <v>0</v>
      </c>
      <c r="V62" s="24">
        <v>0</v>
      </c>
      <c r="W62" s="24">
        <v>0</v>
      </c>
      <c r="X62" s="24">
        <v>0</v>
      </c>
      <c r="Y62" s="24">
        <v>0</v>
      </c>
      <c r="Z62" s="24">
        <v>20000</v>
      </c>
      <c r="AA62" s="24">
        <v>20000</v>
      </c>
      <c r="AB62" s="25">
        <v>40000</v>
      </c>
    </row>
    <row r="63" spans="1:29" x14ac:dyDescent="0.25">
      <c r="F63" s="20"/>
      <c r="G63" s="37" t="s">
        <v>62</v>
      </c>
      <c r="H63" s="24">
        <v>20000</v>
      </c>
      <c r="I63" s="24">
        <v>20000</v>
      </c>
      <c r="J63" s="24">
        <v>40000</v>
      </c>
      <c r="K63" s="24">
        <v>4000</v>
      </c>
      <c r="L63" s="24">
        <v>0</v>
      </c>
      <c r="M63" s="24">
        <v>0</v>
      </c>
      <c r="N63" s="24">
        <v>0</v>
      </c>
      <c r="O63" s="24">
        <v>0</v>
      </c>
      <c r="P63" s="24">
        <v>0</v>
      </c>
      <c r="Q63" s="24">
        <v>4000</v>
      </c>
      <c r="R63" s="24">
        <v>0</v>
      </c>
      <c r="S63" s="24">
        <v>0</v>
      </c>
      <c r="T63" s="24">
        <v>0</v>
      </c>
      <c r="U63" s="24">
        <v>0</v>
      </c>
      <c r="V63" s="24">
        <v>0</v>
      </c>
      <c r="W63" s="24">
        <v>0</v>
      </c>
      <c r="X63" s="24">
        <v>0</v>
      </c>
      <c r="Y63" s="24">
        <v>0</v>
      </c>
      <c r="Z63" s="24">
        <v>20000</v>
      </c>
      <c r="AA63" s="24">
        <v>20000</v>
      </c>
      <c r="AB63" s="25">
        <v>40000</v>
      </c>
    </row>
    <row r="64" spans="1:29" x14ac:dyDescent="0.25">
      <c r="F64" s="20"/>
      <c r="G64" s="37" t="s">
        <v>73</v>
      </c>
      <c r="H64" s="24">
        <v>20000</v>
      </c>
      <c r="I64" s="24">
        <v>20000</v>
      </c>
      <c r="J64" s="24">
        <v>40000</v>
      </c>
      <c r="K64" s="24">
        <v>0</v>
      </c>
      <c r="L64" s="24">
        <v>0</v>
      </c>
      <c r="M64" s="24">
        <v>0</v>
      </c>
      <c r="N64" s="24">
        <v>0</v>
      </c>
      <c r="O64" s="24">
        <v>0</v>
      </c>
      <c r="P64" s="24">
        <v>0</v>
      </c>
      <c r="Q64" s="24">
        <v>0</v>
      </c>
      <c r="R64" s="24">
        <v>0</v>
      </c>
      <c r="S64" s="24">
        <v>0</v>
      </c>
      <c r="T64" s="24">
        <v>0</v>
      </c>
      <c r="U64" s="24">
        <v>0</v>
      </c>
      <c r="V64" s="24">
        <v>0</v>
      </c>
      <c r="W64" s="24">
        <v>0</v>
      </c>
      <c r="X64" s="24">
        <v>0</v>
      </c>
      <c r="Y64" s="24">
        <v>0</v>
      </c>
      <c r="Z64" s="24">
        <v>20000</v>
      </c>
      <c r="AA64" s="24">
        <v>20000</v>
      </c>
      <c r="AB64" s="25">
        <v>40000</v>
      </c>
    </row>
    <row r="65" spans="1:29" x14ac:dyDescent="0.25">
      <c r="F65" s="20"/>
      <c r="G65" s="35" t="s">
        <v>79</v>
      </c>
      <c r="H65" s="24">
        <v>20000</v>
      </c>
      <c r="I65" s="24">
        <v>20000</v>
      </c>
      <c r="J65" s="24">
        <v>40000</v>
      </c>
      <c r="K65" s="24">
        <v>200</v>
      </c>
      <c r="L65" s="24">
        <v>0</v>
      </c>
      <c r="M65" s="24">
        <v>0</v>
      </c>
      <c r="N65" s="24">
        <v>0</v>
      </c>
      <c r="O65" s="24">
        <v>0</v>
      </c>
      <c r="P65" s="24">
        <v>0</v>
      </c>
      <c r="Q65" s="24">
        <v>200</v>
      </c>
      <c r="R65" s="24">
        <v>0</v>
      </c>
      <c r="S65" s="24">
        <v>0</v>
      </c>
      <c r="T65" s="24">
        <v>0</v>
      </c>
      <c r="U65" s="24">
        <v>0</v>
      </c>
      <c r="V65" s="24">
        <v>0</v>
      </c>
      <c r="W65" s="24">
        <v>0</v>
      </c>
      <c r="X65" s="24">
        <v>0</v>
      </c>
      <c r="Y65" s="24">
        <v>0</v>
      </c>
      <c r="Z65" s="24">
        <v>20000</v>
      </c>
      <c r="AA65" s="24">
        <v>20000</v>
      </c>
      <c r="AB65" s="25">
        <v>40000</v>
      </c>
    </row>
    <row r="66" spans="1:29" s="19" customFormat="1" x14ac:dyDescent="0.25">
      <c r="A66" s="17"/>
      <c r="B66" s="18"/>
      <c r="F66" s="22">
        <v>2</v>
      </c>
      <c r="G66" s="33" t="s">
        <v>252</v>
      </c>
      <c r="H66" s="26">
        <v>180000</v>
      </c>
      <c r="I66" s="26">
        <v>180000</v>
      </c>
      <c r="J66" s="26">
        <v>360000</v>
      </c>
      <c r="K66" s="26">
        <v>0</v>
      </c>
      <c r="L66" s="26">
        <v>0</v>
      </c>
      <c r="M66" s="26">
        <v>0</v>
      </c>
      <c r="N66" s="26">
        <v>0</v>
      </c>
      <c r="O66" s="26">
        <v>0</v>
      </c>
      <c r="P66" s="26">
        <v>0</v>
      </c>
      <c r="Q66" s="26">
        <v>0</v>
      </c>
      <c r="R66" s="26">
        <v>0</v>
      </c>
      <c r="S66" s="26">
        <v>0</v>
      </c>
      <c r="T66" s="26">
        <v>0</v>
      </c>
      <c r="U66" s="26">
        <v>0</v>
      </c>
      <c r="V66" s="26">
        <v>0</v>
      </c>
      <c r="W66" s="26">
        <v>0</v>
      </c>
      <c r="X66" s="26">
        <v>0</v>
      </c>
      <c r="Y66" s="26">
        <v>0</v>
      </c>
      <c r="Z66" s="26">
        <v>180000</v>
      </c>
      <c r="AA66" s="26">
        <v>180000</v>
      </c>
      <c r="AB66" s="27">
        <v>360000</v>
      </c>
      <c r="AC66"/>
    </row>
    <row r="67" spans="1:29" x14ac:dyDescent="0.25">
      <c r="F67" s="20"/>
      <c r="G67" s="34" t="s">
        <v>84</v>
      </c>
      <c r="H67" s="24">
        <v>20000</v>
      </c>
      <c r="I67" s="24">
        <v>20000</v>
      </c>
      <c r="J67" s="24">
        <v>40000</v>
      </c>
      <c r="K67" s="24">
        <v>0</v>
      </c>
      <c r="L67" s="24">
        <v>0</v>
      </c>
      <c r="M67" s="24">
        <v>0</v>
      </c>
      <c r="N67" s="24">
        <v>0</v>
      </c>
      <c r="O67" s="24">
        <v>0</v>
      </c>
      <c r="P67" s="24">
        <v>0</v>
      </c>
      <c r="Q67" s="24">
        <v>0</v>
      </c>
      <c r="R67" s="24">
        <v>0</v>
      </c>
      <c r="S67" s="24">
        <v>0</v>
      </c>
      <c r="T67" s="24">
        <v>0</v>
      </c>
      <c r="U67" s="24">
        <v>0</v>
      </c>
      <c r="V67" s="24">
        <v>0</v>
      </c>
      <c r="W67" s="24">
        <v>0</v>
      </c>
      <c r="X67" s="24">
        <v>0</v>
      </c>
      <c r="Y67" s="24">
        <v>0</v>
      </c>
      <c r="Z67" s="24">
        <v>20000</v>
      </c>
      <c r="AA67" s="24">
        <v>20000</v>
      </c>
      <c r="AB67" s="25">
        <v>40000</v>
      </c>
    </row>
    <row r="68" spans="1:29" x14ac:dyDescent="0.25">
      <c r="F68" s="20"/>
      <c r="G68" s="37" t="s">
        <v>87</v>
      </c>
      <c r="H68" s="24">
        <v>20000</v>
      </c>
      <c r="I68" s="24">
        <v>20000</v>
      </c>
      <c r="J68" s="24">
        <v>40000</v>
      </c>
      <c r="K68" s="24">
        <v>0</v>
      </c>
      <c r="L68" s="24">
        <v>0</v>
      </c>
      <c r="M68" s="24">
        <v>0</v>
      </c>
      <c r="N68" s="24">
        <v>0</v>
      </c>
      <c r="O68" s="24">
        <v>0</v>
      </c>
      <c r="P68" s="24">
        <v>0</v>
      </c>
      <c r="Q68" s="24">
        <v>0</v>
      </c>
      <c r="R68" s="24">
        <v>0</v>
      </c>
      <c r="S68" s="24">
        <v>0</v>
      </c>
      <c r="T68" s="24">
        <v>0</v>
      </c>
      <c r="U68" s="24">
        <v>0</v>
      </c>
      <c r="V68" s="24">
        <v>0</v>
      </c>
      <c r="W68" s="24">
        <v>0</v>
      </c>
      <c r="X68" s="24">
        <v>0</v>
      </c>
      <c r="Y68" s="24">
        <v>0</v>
      </c>
      <c r="Z68" s="24">
        <v>20000</v>
      </c>
      <c r="AA68" s="24">
        <v>20000</v>
      </c>
      <c r="AB68" s="25">
        <v>40000</v>
      </c>
    </row>
    <row r="69" spans="1:29" x14ac:dyDescent="0.25">
      <c r="F69" s="20"/>
      <c r="G69" s="37" t="s">
        <v>90</v>
      </c>
      <c r="H69" s="24">
        <v>20000</v>
      </c>
      <c r="I69" s="24">
        <v>20000</v>
      </c>
      <c r="J69" s="24">
        <v>40000</v>
      </c>
      <c r="K69" s="24">
        <v>0</v>
      </c>
      <c r="L69" s="24">
        <v>0</v>
      </c>
      <c r="M69" s="24">
        <v>0</v>
      </c>
      <c r="N69" s="24">
        <v>0</v>
      </c>
      <c r="O69" s="24">
        <v>0</v>
      </c>
      <c r="P69" s="24">
        <v>0</v>
      </c>
      <c r="Q69" s="24">
        <v>0</v>
      </c>
      <c r="R69" s="24">
        <v>0</v>
      </c>
      <c r="S69" s="24">
        <v>0</v>
      </c>
      <c r="T69" s="24">
        <v>0</v>
      </c>
      <c r="U69" s="24">
        <v>0</v>
      </c>
      <c r="V69" s="24">
        <v>0</v>
      </c>
      <c r="W69" s="24">
        <v>0</v>
      </c>
      <c r="X69" s="24">
        <v>0</v>
      </c>
      <c r="Y69" s="24">
        <v>0</v>
      </c>
      <c r="Z69" s="24">
        <v>20000</v>
      </c>
      <c r="AA69" s="24">
        <v>20000</v>
      </c>
      <c r="AB69" s="25">
        <v>40000</v>
      </c>
    </row>
    <row r="70" spans="1:29" x14ac:dyDescent="0.25">
      <c r="F70" s="20"/>
      <c r="G70" s="37" t="s">
        <v>88</v>
      </c>
      <c r="H70" s="24">
        <v>20000</v>
      </c>
      <c r="I70" s="24">
        <v>20000</v>
      </c>
      <c r="J70" s="24">
        <v>40000</v>
      </c>
      <c r="K70" s="24">
        <v>0</v>
      </c>
      <c r="L70" s="24">
        <v>0</v>
      </c>
      <c r="M70" s="24">
        <v>0</v>
      </c>
      <c r="N70" s="24">
        <v>0</v>
      </c>
      <c r="O70" s="24">
        <v>0</v>
      </c>
      <c r="P70" s="24">
        <v>0</v>
      </c>
      <c r="Q70" s="24">
        <v>0</v>
      </c>
      <c r="R70" s="24">
        <v>0</v>
      </c>
      <c r="S70" s="24">
        <v>0</v>
      </c>
      <c r="T70" s="24">
        <v>0</v>
      </c>
      <c r="U70" s="24">
        <v>0</v>
      </c>
      <c r="V70" s="24">
        <v>0</v>
      </c>
      <c r="W70" s="24">
        <v>0</v>
      </c>
      <c r="X70" s="24">
        <v>0</v>
      </c>
      <c r="Y70" s="24">
        <v>0</v>
      </c>
      <c r="Z70" s="24">
        <v>20000</v>
      </c>
      <c r="AA70" s="24">
        <v>20000</v>
      </c>
      <c r="AB70" s="25">
        <v>40000</v>
      </c>
    </row>
    <row r="71" spans="1:29" x14ac:dyDescent="0.25">
      <c r="F71" s="20"/>
      <c r="G71" s="37" t="s">
        <v>89</v>
      </c>
      <c r="H71" s="24">
        <v>20000</v>
      </c>
      <c r="I71" s="24">
        <v>20000</v>
      </c>
      <c r="J71" s="24">
        <v>40000</v>
      </c>
      <c r="K71" s="24">
        <v>0</v>
      </c>
      <c r="L71" s="24">
        <v>0</v>
      </c>
      <c r="M71" s="24">
        <v>0</v>
      </c>
      <c r="N71" s="24">
        <v>0</v>
      </c>
      <c r="O71" s="24">
        <v>0</v>
      </c>
      <c r="P71" s="24">
        <v>0</v>
      </c>
      <c r="Q71" s="24">
        <v>0</v>
      </c>
      <c r="R71" s="24">
        <v>0</v>
      </c>
      <c r="S71" s="24">
        <v>0</v>
      </c>
      <c r="T71" s="24">
        <v>0</v>
      </c>
      <c r="U71" s="24">
        <v>0</v>
      </c>
      <c r="V71" s="24">
        <v>0</v>
      </c>
      <c r="W71" s="24">
        <v>0</v>
      </c>
      <c r="X71" s="24">
        <v>0</v>
      </c>
      <c r="Y71" s="24">
        <v>0</v>
      </c>
      <c r="Z71" s="24">
        <v>20000</v>
      </c>
      <c r="AA71" s="24">
        <v>20000</v>
      </c>
      <c r="AB71" s="25">
        <v>40000</v>
      </c>
    </row>
    <row r="72" spans="1:29" x14ac:dyDescent="0.25">
      <c r="F72" s="20"/>
      <c r="G72" s="37" t="s">
        <v>91</v>
      </c>
      <c r="H72" s="24">
        <v>20000</v>
      </c>
      <c r="I72" s="24">
        <v>20000</v>
      </c>
      <c r="J72" s="24">
        <v>40000</v>
      </c>
      <c r="K72" s="24">
        <v>0</v>
      </c>
      <c r="L72" s="24">
        <v>0</v>
      </c>
      <c r="M72" s="24">
        <v>0</v>
      </c>
      <c r="N72" s="24">
        <v>0</v>
      </c>
      <c r="O72" s="24">
        <v>0</v>
      </c>
      <c r="P72" s="24">
        <v>0</v>
      </c>
      <c r="Q72" s="24">
        <v>0</v>
      </c>
      <c r="R72" s="24">
        <v>0</v>
      </c>
      <c r="S72" s="24">
        <v>0</v>
      </c>
      <c r="T72" s="24">
        <v>0</v>
      </c>
      <c r="U72" s="24">
        <v>0</v>
      </c>
      <c r="V72" s="24">
        <v>0</v>
      </c>
      <c r="W72" s="24">
        <v>0</v>
      </c>
      <c r="X72" s="24">
        <v>0</v>
      </c>
      <c r="Y72" s="24">
        <v>0</v>
      </c>
      <c r="Z72" s="24">
        <v>20000</v>
      </c>
      <c r="AA72" s="24">
        <v>20000</v>
      </c>
      <c r="AB72" s="25">
        <v>40000</v>
      </c>
    </row>
    <row r="73" spans="1:29" x14ac:dyDescent="0.25">
      <c r="F73" s="20"/>
      <c r="G73" s="37" t="s">
        <v>85</v>
      </c>
      <c r="H73" s="24">
        <v>20000</v>
      </c>
      <c r="I73" s="24">
        <v>20000</v>
      </c>
      <c r="J73" s="24">
        <v>40000</v>
      </c>
      <c r="K73" s="24">
        <v>0</v>
      </c>
      <c r="L73" s="24">
        <v>0</v>
      </c>
      <c r="M73" s="24">
        <v>0</v>
      </c>
      <c r="N73" s="24">
        <v>0</v>
      </c>
      <c r="O73" s="24">
        <v>0</v>
      </c>
      <c r="P73" s="24">
        <v>0</v>
      </c>
      <c r="Q73" s="24">
        <v>0</v>
      </c>
      <c r="R73" s="24">
        <v>0</v>
      </c>
      <c r="S73" s="24">
        <v>0</v>
      </c>
      <c r="T73" s="24">
        <v>0</v>
      </c>
      <c r="U73" s="24">
        <v>0</v>
      </c>
      <c r="V73" s="24">
        <v>0</v>
      </c>
      <c r="W73" s="24">
        <v>0</v>
      </c>
      <c r="X73" s="24">
        <v>0</v>
      </c>
      <c r="Y73" s="24">
        <v>0</v>
      </c>
      <c r="Z73" s="24">
        <v>20000</v>
      </c>
      <c r="AA73" s="24">
        <v>20000</v>
      </c>
      <c r="AB73" s="25">
        <v>40000</v>
      </c>
    </row>
    <row r="74" spans="1:29" x14ac:dyDescent="0.25">
      <c r="F74" s="20"/>
      <c r="G74" s="37" t="s">
        <v>86</v>
      </c>
      <c r="H74" s="24">
        <v>20000</v>
      </c>
      <c r="I74" s="24">
        <v>20000</v>
      </c>
      <c r="J74" s="24">
        <v>40000</v>
      </c>
      <c r="K74" s="24">
        <v>0</v>
      </c>
      <c r="L74" s="24">
        <v>0</v>
      </c>
      <c r="M74" s="24">
        <v>0</v>
      </c>
      <c r="N74" s="24">
        <v>0</v>
      </c>
      <c r="O74" s="24">
        <v>0</v>
      </c>
      <c r="P74" s="24">
        <v>0</v>
      </c>
      <c r="Q74" s="24">
        <v>0</v>
      </c>
      <c r="R74" s="24">
        <v>0</v>
      </c>
      <c r="S74" s="24">
        <v>0</v>
      </c>
      <c r="T74" s="24">
        <v>0</v>
      </c>
      <c r="U74" s="24">
        <v>0</v>
      </c>
      <c r="V74" s="24">
        <v>0</v>
      </c>
      <c r="W74" s="24">
        <v>0</v>
      </c>
      <c r="X74" s="24">
        <v>0</v>
      </c>
      <c r="Y74" s="24">
        <v>0</v>
      </c>
      <c r="Z74" s="24">
        <v>20000</v>
      </c>
      <c r="AA74" s="24">
        <v>20000</v>
      </c>
      <c r="AB74" s="25">
        <v>40000</v>
      </c>
    </row>
    <row r="75" spans="1:29" x14ac:dyDescent="0.25">
      <c r="F75" s="20"/>
      <c r="G75" s="35" t="s">
        <v>82</v>
      </c>
      <c r="H75" s="24">
        <v>20000</v>
      </c>
      <c r="I75" s="24">
        <v>20000</v>
      </c>
      <c r="J75" s="24">
        <v>40000</v>
      </c>
      <c r="K75" s="24">
        <v>0</v>
      </c>
      <c r="L75" s="24">
        <v>0</v>
      </c>
      <c r="M75" s="24">
        <v>0</v>
      </c>
      <c r="N75" s="24">
        <v>0</v>
      </c>
      <c r="O75" s="24">
        <v>0</v>
      </c>
      <c r="P75" s="24">
        <v>0</v>
      </c>
      <c r="Q75" s="24">
        <v>0</v>
      </c>
      <c r="R75" s="24">
        <v>0</v>
      </c>
      <c r="S75" s="24">
        <v>0</v>
      </c>
      <c r="T75" s="24">
        <v>0</v>
      </c>
      <c r="U75" s="24">
        <v>0</v>
      </c>
      <c r="V75" s="24">
        <v>0</v>
      </c>
      <c r="W75" s="24">
        <v>0</v>
      </c>
      <c r="X75" s="24">
        <v>0</v>
      </c>
      <c r="Y75" s="24">
        <v>0</v>
      </c>
      <c r="Z75" s="24">
        <v>20000</v>
      </c>
      <c r="AA75" s="24">
        <v>20000</v>
      </c>
      <c r="AB75" s="25">
        <v>40000</v>
      </c>
    </row>
    <row r="76" spans="1:29" s="19" customFormat="1" x14ac:dyDescent="0.25">
      <c r="A76" s="17"/>
      <c r="B76" s="18"/>
      <c r="F76" s="22">
        <v>3</v>
      </c>
      <c r="G76" s="33" t="s">
        <v>255</v>
      </c>
      <c r="H76" s="26">
        <v>20000</v>
      </c>
      <c r="I76" s="26">
        <v>20000</v>
      </c>
      <c r="J76" s="26">
        <v>40000</v>
      </c>
      <c r="K76" s="26">
        <v>0</v>
      </c>
      <c r="L76" s="26">
        <v>0</v>
      </c>
      <c r="M76" s="26">
        <v>0</v>
      </c>
      <c r="N76" s="26">
        <v>0</v>
      </c>
      <c r="O76" s="26">
        <v>0</v>
      </c>
      <c r="P76" s="26">
        <v>0</v>
      </c>
      <c r="Q76" s="26">
        <v>0</v>
      </c>
      <c r="R76" s="26">
        <v>0</v>
      </c>
      <c r="S76" s="26">
        <v>0</v>
      </c>
      <c r="T76" s="26">
        <v>0</v>
      </c>
      <c r="U76" s="26">
        <v>0</v>
      </c>
      <c r="V76" s="26">
        <v>0</v>
      </c>
      <c r="W76" s="26">
        <v>0</v>
      </c>
      <c r="X76" s="26">
        <v>0</v>
      </c>
      <c r="Y76" s="26">
        <v>0</v>
      </c>
      <c r="Z76" s="26">
        <v>20000</v>
      </c>
      <c r="AA76" s="26">
        <v>20000</v>
      </c>
      <c r="AB76" s="27">
        <v>40000</v>
      </c>
      <c r="AC76"/>
    </row>
    <row r="77" spans="1:29" x14ac:dyDescent="0.25">
      <c r="F77" s="20"/>
      <c r="G77" s="36" t="s">
        <v>80</v>
      </c>
      <c r="H77" s="24">
        <v>20000</v>
      </c>
      <c r="I77" s="24">
        <v>20000</v>
      </c>
      <c r="J77" s="24">
        <v>40000</v>
      </c>
      <c r="K77" s="24">
        <v>0</v>
      </c>
      <c r="L77" s="24">
        <v>0</v>
      </c>
      <c r="M77" s="24">
        <v>0</v>
      </c>
      <c r="N77" s="24">
        <v>0</v>
      </c>
      <c r="O77" s="24">
        <v>0</v>
      </c>
      <c r="P77" s="24">
        <v>0</v>
      </c>
      <c r="Q77" s="24">
        <v>0</v>
      </c>
      <c r="R77" s="24">
        <v>0</v>
      </c>
      <c r="S77" s="24">
        <v>0</v>
      </c>
      <c r="T77" s="24">
        <v>0</v>
      </c>
      <c r="U77" s="24">
        <v>0</v>
      </c>
      <c r="V77" s="24">
        <v>0</v>
      </c>
      <c r="W77" s="24">
        <v>0</v>
      </c>
      <c r="X77" s="24">
        <v>0</v>
      </c>
      <c r="Y77" s="24">
        <v>0</v>
      </c>
      <c r="Z77" s="24">
        <v>20000</v>
      </c>
      <c r="AA77" s="24">
        <v>20000</v>
      </c>
      <c r="AB77" s="25">
        <v>40000</v>
      </c>
    </row>
    <row r="78" spans="1:29" s="19" customFormat="1" x14ac:dyDescent="0.25">
      <c r="A78" s="17"/>
      <c r="B78" s="18"/>
      <c r="F78" s="22">
        <v>4</v>
      </c>
      <c r="G78" s="33" t="s">
        <v>259</v>
      </c>
      <c r="H78" s="26">
        <v>20000</v>
      </c>
      <c r="I78" s="26">
        <v>20000</v>
      </c>
      <c r="J78" s="26">
        <v>40000</v>
      </c>
      <c r="K78" s="26">
        <v>0</v>
      </c>
      <c r="L78" s="26">
        <v>0</v>
      </c>
      <c r="M78" s="26">
        <v>0</v>
      </c>
      <c r="N78" s="26">
        <v>0</v>
      </c>
      <c r="O78" s="26">
        <v>0</v>
      </c>
      <c r="P78" s="26">
        <v>0</v>
      </c>
      <c r="Q78" s="26">
        <v>0</v>
      </c>
      <c r="R78" s="26">
        <v>0</v>
      </c>
      <c r="S78" s="26">
        <v>0</v>
      </c>
      <c r="T78" s="26">
        <v>0</v>
      </c>
      <c r="U78" s="26">
        <v>0</v>
      </c>
      <c r="V78" s="26">
        <v>0</v>
      </c>
      <c r="W78" s="26">
        <v>0</v>
      </c>
      <c r="X78" s="26">
        <v>0</v>
      </c>
      <c r="Y78" s="26">
        <v>0</v>
      </c>
      <c r="Z78" s="26">
        <v>20000</v>
      </c>
      <c r="AA78" s="26">
        <v>20000</v>
      </c>
      <c r="AB78" s="27">
        <v>40000</v>
      </c>
      <c r="AC78"/>
    </row>
    <row r="79" spans="1:29" x14ac:dyDescent="0.25">
      <c r="F79" s="20"/>
      <c r="G79" s="36" t="s">
        <v>97</v>
      </c>
      <c r="H79" s="24">
        <v>20000</v>
      </c>
      <c r="I79" s="24">
        <v>20000</v>
      </c>
      <c r="J79" s="24">
        <v>40000</v>
      </c>
      <c r="K79" s="24">
        <v>0</v>
      </c>
      <c r="L79" s="24">
        <v>0</v>
      </c>
      <c r="M79" s="24">
        <v>0</v>
      </c>
      <c r="N79" s="24">
        <v>0</v>
      </c>
      <c r="O79" s="24">
        <v>0</v>
      </c>
      <c r="P79" s="24">
        <v>0</v>
      </c>
      <c r="Q79" s="24">
        <v>0</v>
      </c>
      <c r="R79" s="24">
        <v>0</v>
      </c>
      <c r="S79" s="24">
        <v>0</v>
      </c>
      <c r="T79" s="24">
        <v>0</v>
      </c>
      <c r="U79" s="24">
        <v>0</v>
      </c>
      <c r="V79" s="24">
        <v>0</v>
      </c>
      <c r="W79" s="24">
        <v>0</v>
      </c>
      <c r="X79" s="24">
        <v>0</v>
      </c>
      <c r="Y79" s="24">
        <v>0</v>
      </c>
      <c r="Z79" s="24">
        <v>20000</v>
      </c>
      <c r="AA79" s="24">
        <v>20000</v>
      </c>
      <c r="AB79" s="25">
        <v>40000</v>
      </c>
    </row>
    <row r="80" spans="1:29" s="19" customFormat="1" x14ac:dyDescent="0.25">
      <c r="A80" s="17"/>
      <c r="B80" s="18"/>
      <c r="F80" s="22">
        <v>5</v>
      </c>
      <c r="G80" s="33" t="s">
        <v>258</v>
      </c>
      <c r="H80" s="26">
        <v>80000</v>
      </c>
      <c r="I80" s="26">
        <v>80000</v>
      </c>
      <c r="J80" s="26">
        <v>160000</v>
      </c>
      <c r="K80" s="26">
        <v>0</v>
      </c>
      <c r="L80" s="26">
        <v>0</v>
      </c>
      <c r="M80" s="26">
        <v>0</v>
      </c>
      <c r="N80" s="26">
        <v>0</v>
      </c>
      <c r="O80" s="26">
        <v>0</v>
      </c>
      <c r="P80" s="26">
        <v>0</v>
      </c>
      <c r="Q80" s="26">
        <v>0</v>
      </c>
      <c r="R80" s="26">
        <v>0</v>
      </c>
      <c r="S80" s="26">
        <v>0</v>
      </c>
      <c r="T80" s="26">
        <v>0</v>
      </c>
      <c r="U80" s="26">
        <v>0</v>
      </c>
      <c r="V80" s="26">
        <v>0</v>
      </c>
      <c r="W80" s="26">
        <v>0</v>
      </c>
      <c r="X80" s="26">
        <v>0</v>
      </c>
      <c r="Y80" s="26">
        <v>0</v>
      </c>
      <c r="Z80" s="26">
        <v>80000</v>
      </c>
      <c r="AA80" s="26">
        <v>80000</v>
      </c>
      <c r="AB80" s="27">
        <v>160000</v>
      </c>
      <c r="AC80"/>
    </row>
    <row r="81" spans="6:28" x14ac:dyDescent="0.25">
      <c r="F81" s="20"/>
      <c r="G81" s="34" t="s">
        <v>92</v>
      </c>
      <c r="H81" s="24">
        <v>20000</v>
      </c>
      <c r="I81" s="24">
        <v>20000</v>
      </c>
      <c r="J81" s="24">
        <v>40000</v>
      </c>
      <c r="K81" s="24">
        <v>0</v>
      </c>
      <c r="L81" s="24">
        <v>0</v>
      </c>
      <c r="M81" s="24">
        <v>0</v>
      </c>
      <c r="N81" s="24">
        <v>0</v>
      </c>
      <c r="O81" s="24">
        <v>0</v>
      </c>
      <c r="P81" s="24">
        <v>0</v>
      </c>
      <c r="Q81" s="24">
        <v>0</v>
      </c>
      <c r="R81" s="24">
        <v>0</v>
      </c>
      <c r="S81" s="24">
        <v>0</v>
      </c>
      <c r="T81" s="24">
        <v>0</v>
      </c>
      <c r="U81" s="24">
        <v>0</v>
      </c>
      <c r="V81" s="24">
        <v>0</v>
      </c>
      <c r="W81" s="24">
        <v>0</v>
      </c>
      <c r="X81" s="24">
        <v>0</v>
      </c>
      <c r="Y81" s="24">
        <v>0</v>
      </c>
      <c r="Z81" s="24">
        <v>20000</v>
      </c>
      <c r="AA81" s="24">
        <v>20000</v>
      </c>
      <c r="AB81" s="25">
        <v>40000</v>
      </c>
    </row>
    <row r="82" spans="6:28" x14ac:dyDescent="0.25">
      <c r="F82" s="20"/>
      <c r="G82" s="37" t="s">
        <v>94</v>
      </c>
      <c r="H82" s="24">
        <v>20000</v>
      </c>
      <c r="I82" s="24">
        <v>20000</v>
      </c>
      <c r="J82" s="24">
        <v>40000</v>
      </c>
      <c r="K82" s="24">
        <v>0</v>
      </c>
      <c r="L82" s="24">
        <v>0</v>
      </c>
      <c r="M82" s="24">
        <v>0</v>
      </c>
      <c r="N82" s="24">
        <v>0</v>
      </c>
      <c r="O82" s="24">
        <v>0</v>
      </c>
      <c r="P82" s="24">
        <v>0</v>
      </c>
      <c r="Q82" s="24">
        <v>0</v>
      </c>
      <c r="R82" s="24">
        <v>0</v>
      </c>
      <c r="S82" s="24">
        <v>0</v>
      </c>
      <c r="T82" s="24">
        <v>0</v>
      </c>
      <c r="U82" s="24">
        <v>0</v>
      </c>
      <c r="V82" s="24">
        <v>0</v>
      </c>
      <c r="W82" s="24">
        <v>0</v>
      </c>
      <c r="X82" s="24">
        <v>0</v>
      </c>
      <c r="Y82" s="24">
        <v>0</v>
      </c>
      <c r="Z82" s="24">
        <v>20000</v>
      </c>
      <c r="AA82" s="24">
        <v>20000</v>
      </c>
      <c r="AB82" s="25">
        <v>40000</v>
      </c>
    </row>
    <row r="83" spans="6:28" x14ac:dyDescent="0.25">
      <c r="F83" s="20"/>
      <c r="G83" s="37" t="s">
        <v>95</v>
      </c>
      <c r="H83" s="24">
        <v>20000</v>
      </c>
      <c r="I83" s="24">
        <v>20000</v>
      </c>
      <c r="J83" s="24">
        <v>40000</v>
      </c>
      <c r="K83" s="24">
        <v>0</v>
      </c>
      <c r="L83" s="24">
        <v>0</v>
      </c>
      <c r="M83" s="24">
        <v>0</v>
      </c>
      <c r="N83" s="24">
        <v>0</v>
      </c>
      <c r="O83" s="24">
        <v>0</v>
      </c>
      <c r="P83" s="24">
        <v>0</v>
      </c>
      <c r="Q83" s="24">
        <v>0</v>
      </c>
      <c r="R83" s="24">
        <v>0</v>
      </c>
      <c r="S83" s="24">
        <v>0</v>
      </c>
      <c r="T83" s="24">
        <v>0</v>
      </c>
      <c r="U83" s="24">
        <v>0</v>
      </c>
      <c r="V83" s="24">
        <v>0</v>
      </c>
      <c r="W83" s="24">
        <v>0</v>
      </c>
      <c r="X83" s="24">
        <v>0</v>
      </c>
      <c r="Y83" s="24">
        <v>0</v>
      </c>
      <c r="Z83" s="24">
        <v>20000</v>
      </c>
      <c r="AA83" s="24">
        <v>20000</v>
      </c>
      <c r="AB83" s="25">
        <v>40000</v>
      </c>
    </row>
    <row r="84" spans="6:28" x14ac:dyDescent="0.25">
      <c r="F84" s="20"/>
      <c r="G84" s="35" t="s">
        <v>96</v>
      </c>
      <c r="H84" s="28">
        <v>20000</v>
      </c>
      <c r="I84" s="28">
        <v>20000</v>
      </c>
      <c r="J84" s="28">
        <v>40000</v>
      </c>
      <c r="K84" s="28">
        <v>0</v>
      </c>
      <c r="L84" s="28">
        <v>0</v>
      </c>
      <c r="M84" s="28">
        <v>0</v>
      </c>
      <c r="N84" s="28">
        <v>0</v>
      </c>
      <c r="O84" s="28">
        <v>0</v>
      </c>
      <c r="P84" s="28">
        <v>0</v>
      </c>
      <c r="Q84" s="28">
        <v>0</v>
      </c>
      <c r="R84" s="28">
        <v>0</v>
      </c>
      <c r="S84" s="28">
        <v>0</v>
      </c>
      <c r="T84" s="28">
        <v>0</v>
      </c>
      <c r="U84" s="28">
        <v>0</v>
      </c>
      <c r="V84" s="28">
        <v>0</v>
      </c>
      <c r="W84" s="28">
        <v>0</v>
      </c>
      <c r="X84" s="28">
        <v>0</v>
      </c>
      <c r="Y84" s="28">
        <v>0</v>
      </c>
      <c r="Z84" s="28">
        <v>20000</v>
      </c>
      <c r="AA84" s="28">
        <v>20000</v>
      </c>
      <c r="AB84" s="29">
        <v>40000</v>
      </c>
    </row>
  </sheetData>
  <mergeCells count="10">
    <mergeCell ref="H10:I10"/>
    <mergeCell ref="J10:J12"/>
    <mergeCell ref="K10:P10"/>
    <mergeCell ref="Q10:Q12"/>
    <mergeCell ref="R10:X10"/>
    <mergeCell ref="Y10:Y12"/>
    <mergeCell ref="Z10:AA10"/>
    <mergeCell ref="AB10:AB12"/>
    <mergeCell ref="F6:F8"/>
    <mergeCell ref="G6:G8"/>
  </mergeCells>
  <pageMargins left="0.25" right="0.25" top="0.75" bottom="0.75" header="0.3" footer="0.3"/>
  <pageSetup paperSize="9" scale="45" orientation="landscape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21"/>
  <sheetViews>
    <sheetView workbookViewId="0">
      <selection activeCell="N18" sqref="N18"/>
    </sheetView>
  </sheetViews>
  <sheetFormatPr defaultRowHeight="15" x14ac:dyDescent="0.25"/>
  <cols>
    <col min="1" max="1" width="20.42578125" style="10" customWidth="1"/>
    <col min="2" max="2" width="12.5703125" style="11" customWidth="1"/>
    <col min="4" max="4" width="14.42578125" customWidth="1"/>
    <col min="5" max="6" width="17.28515625" customWidth="1"/>
    <col min="7" max="10" width="11" customWidth="1"/>
    <col min="11" max="11" width="14.7109375" customWidth="1"/>
    <col min="12" max="12" width="12.5703125" customWidth="1"/>
    <col min="14" max="14" width="13.5703125" customWidth="1"/>
    <col min="19" max="19" width="22.42578125" customWidth="1"/>
    <col min="20" max="20" width="14.42578125" customWidth="1"/>
  </cols>
  <sheetData>
    <row r="1" spans="1:23" x14ac:dyDescent="0.25">
      <c r="C1" s="10" t="str">
        <f>IF(bc_nxt!J10="",$F$7, IF(ISNUMBER(SEARCH("Sum", bc_nxt!J10)), "Tổng", bc_nxt!J10))</f>
        <v>Tổng</v>
      </c>
      <c r="D1" s="10" t="str">
        <f>IF(bc_nxt!K10="",$F$7, IF(ISNUMBER(SEARCH("Sum", bc_nxt!K10)), "Tổng", bc_nxt!K10))</f>
        <v>Nhập</v>
      </c>
      <c r="E1" s="10" t="str">
        <f>IF(bc_nxt!L10="",$F$7, IF(ISNUMBER(SEARCH("Sum", bc_nxt!L10)), "Tổng", bc_nxt!L10))</f>
        <v>Nhập</v>
      </c>
      <c r="F1" s="10" t="str">
        <f>IF(bc_nxt!M10="",$F$7, IF(ISNUMBER(SEARCH("Sum", bc_nxt!M10)), "Tổng", bc_nxt!M10))</f>
        <v>Nhập</v>
      </c>
      <c r="G1" s="10" t="str">
        <f>IF(bc_nxt!N10="",$F$7, IF(ISNUMBER(SEARCH("Sum", bc_nxt!N10)), "Tổng", bc_nxt!N10))</f>
        <v>Nhập</v>
      </c>
      <c r="H1" s="10" t="str">
        <f>IF(bc_nxt!O10="",$F$7, IF(ISNUMBER(SEARCH("Sum", bc_nxt!O10)), "Tổng", bc_nxt!O10))</f>
        <v>Nhập</v>
      </c>
      <c r="I1" s="10" t="str">
        <f>IF(bc_nxt!P10="",$F$7, IF(ISNUMBER(SEARCH("Sum", bc_nxt!P10)), "Tổng", bc_nxt!P10))</f>
        <v>Nhập</v>
      </c>
      <c r="J1" s="43"/>
      <c r="K1" s="10" t="str">
        <f>IF(bc_nxt!Q10="",$F$7, IF(ISNUMBER(SEARCH("Sum", bc_nxt!Q10)), "Tổng", bc_nxt!Q10))</f>
        <v>Tổng</v>
      </c>
      <c r="L1" s="10" t="str">
        <f>IF(bc_nxt!R10="",$F$7, IF(ISNUMBER(SEARCH("Sum", bc_nxt!R10)), "Tổng", bc_nxt!R10))</f>
        <v>Xuất</v>
      </c>
      <c r="M1" s="10" t="str">
        <f>IF(bc_nxt!S10="",$F$7, IF(ISNUMBER(SEARCH("Sum", bc_nxt!S10)), "Tổng", bc_nxt!S10))</f>
        <v>Xuất</v>
      </c>
      <c r="N1" s="10" t="str">
        <f>IF(bc_nxt!T10="",$F$7, IF(ISNUMBER(SEARCH("Sum", bc_nxt!T10)), "Tổng", bc_nxt!T10))</f>
        <v>Xuất</v>
      </c>
      <c r="O1" s="10" t="str">
        <f>IF(bc_nxt!U10="",$F$7, IF(ISNUMBER(SEARCH("Sum", bc_nxt!U10)), "Tổng", bc_nxt!U10))</f>
        <v>Xuất</v>
      </c>
      <c r="P1" s="10" t="str">
        <f>IF(bc_nxt!V10="",$F$7, IF(ISNUMBER(SEARCH("Sum", bc_nxt!V10)), "Tổng", bc_nxt!V10))</f>
        <v>Xuất</v>
      </c>
      <c r="Q1" s="10" t="str">
        <f>IF(bc_nxt!W10="",$F$7, IF(ISNUMBER(SEARCH("Sum", bc_nxt!W10)), "Tổng", bc_nxt!W10))</f>
        <v>Xuất</v>
      </c>
      <c r="R1" s="10" t="str">
        <f>IF(bc_nxt!X10="",$F$7, IF(ISNUMBER(SEARCH("Sum", bc_nxt!X10)), "Tổng", bc_nxt!X10))</f>
        <v>Xuất</v>
      </c>
      <c r="S1" s="10" t="str">
        <f>IF(bc_nxt!Y10="",$F$7, IF(ISNUMBER(SEARCH("Sum", bc_nxt!Y10)), "Tổng", bc_nxt!Y10))</f>
        <v>Tổng</v>
      </c>
      <c r="T1" s="10" t="str">
        <f>IF(bc_nxt!Z10="",$F$7, IF(ISNUMBER(SEARCH("Sum", bc_nxt!Z10)), "Tổng", bc_nxt!Z10))</f>
        <v>Tồn cuối kỳ</v>
      </c>
      <c r="U1" s="10" t="str">
        <f>IF(bc_nxt!AA10="",$F$7, IF(ISNUMBER(SEARCH("Sum", bc_nxt!AA10)), "Tổng", bc_nxt!AA10))</f>
        <v>Tồn cuối kỳ</v>
      </c>
      <c r="V1" s="10"/>
      <c r="W1" s="10"/>
    </row>
    <row r="2" spans="1:23" x14ac:dyDescent="0.25">
      <c r="A2" s="10" t="str">
        <f>IF(bc_nxt!H11="",$F$7, IF(ISNUMBER(SEARCH("Sum", bc_nxt!H11)), "Tổng", bc_nxt!H11))</f>
        <v>DT cho NV đột xuất</v>
      </c>
      <c r="B2" s="11" t="str">
        <f>IF(bc_nxt!I11="",$F$7, IF(ISNUMBER(SEARCH("Sum", bc_nxt!I11)), "Tổng", bc_nxt!I11))</f>
        <v>DT SSCD</v>
      </c>
      <c r="C2" s="55">
        <f>IF(bc_nxt!J11="",$F$7, IF(ISNUMBER(SEARCH("Sum", bc_nxt!J11)), "Tổng", bc_nxt!J11))</f>
        <v>0</v>
      </c>
      <c r="D2" s="10" t="str">
        <f>IF(bc_nxt!K11="",$F$7, IF(ISNUMBER(SEARCH("Sum", bc_nxt!K11)), "Tổng", bc_nxt!K11))</f>
        <v>Nhập khác</v>
      </c>
      <c r="E2" s="10" t="str">
        <f>IF(bc_nxt!L11="",$F$7, IF(ISNUMBER(SEARCH("Sum", bc_nxt!L11)), "Tổng", bc_nxt!L11))</f>
        <v>CXD</v>
      </c>
      <c r="F2" s="10" t="str">
        <f>IF(bc_nxt!M11="",$F$7, IF(ISNUMBER(SEARCH("Sum", bc_nxt!M11)), "Tổng", bc_nxt!M11))</f>
        <v>QC</v>
      </c>
      <c r="G2" s="10" t="str">
        <f>IF(bc_nxt!N11="",$F$7, IF(ISNUMBER(SEARCH("Sum", bc_nxt!N11)), "Tổng", bc_nxt!N11))</f>
        <v>Mua P/cấp</v>
      </c>
      <c r="H2" s="10" t="str">
        <f>IF(bc_nxt!O11="",$F$7, IF(ISNUMBER(SEARCH("Sum", bc_nxt!O11)), "Tổng", bc_nxt!O11))</f>
        <v>Khác</v>
      </c>
      <c r="I2" s="55" t="str">
        <f>IF(bc_nxt!P11="",$F$7, IF(ISNUMBER(SEARCH("Sum", bc_nxt!P11)), "Tổng", bc_nxt!P11))</f>
        <v>f nội bộ</v>
      </c>
      <c r="J2" s="43"/>
      <c r="K2" s="10">
        <f>IF(bc_nxt!Q11="",$F$7, IF(ISNUMBER(SEARCH("Sum", bc_nxt!Q11)), "Tổng", bc_nxt!Q11))</f>
        <v>0</v>
      </c>
      <c r="L2" s="10"/>
      <c r="M2" s="10" t="str">
        <f>IF(bc_nxt!S11="",$F$7, IF(ISNUMBER(SEARCH("Sum", bc_nxt!S11)), "Tổng", bc_nxt!S11))</f>
        <v>Nhập khác</v>
      </c>
      <c r="N2" s="10" t="str">
        <f>IF(bc_nxt!T11="",$F$7, IF(ISNUMBER(SEARCH("Sum", bc_nxt!T11)), "Tổng", bc_nxt!T11))</f>
        <v>Khác</v>
      </c>
      <c r="O2" s="10" t="str">
        <f>IF(bc_nxt!U11="",$F$7, IF(ISNUMBER(SEARCH("Sum", bc_nxt!U11)), "Tổng", bc_nxt!U11))</f>
        <v>TT Xe máy</v>
      </c>
      <c r="P2" s="10" t="str">
        <f>IF(bc_nxt!V11="",$F$7, IF(ISNUMBER(SEARCH("Sum", bc_nxt!V11)), "Tổng", bc_nxt!V11))</f>
        <v>BQ</v>
      </c>
      <c r="Q2" s="10" t="str">
        <f>IF(bc_nxt!W11="",$F$7, IF(ISNUMBER(SEARCH("Sum", bc_nxt!W11)), "Tổng", bc_nxt!W11))</f>
        <v>Hao hụt</v>
      </c>
      <c r="R2" s="55" t="str">
        <f>IF(bc_nxt!X11="",$F$7, IF(ISNUMBER(SEARCH("Sum", bc_nxt!X11)), "Tổng", bc_nxt!X11))</f>
        <v>Tổn thất</v>
      </c>
      <c r="S2" s="10">
        <f>IF(bc_nxt!Y11="",$F$7, IF(ISNUMBER(SEARCH("Sum", bc_nxt!Y11)), "Tổng", bc_nxt!Y11))</f>
        <v>0</v>
      </c>
      <c r="T2" s="10" t="str">
        <f>IF(bc_nxt!Z11="",$F$7, IF(ISNUMBER(SEARCH("Sum", bc_nxt!Z11)), "Tổng", bc_nxt!Z11))</f>
        <v>DT cho NV đột xuất</v>
      </c>
      <c r="U2" s="55" t="str">
        <f>IF(bc_nxt!AA11="",$F$7, IF(ISNUMBER(SEARCH("Sum", bc_nxt!AA11)), "Tổng", bc_nxt!AA11))</f>
        <v>DT SSCD</v>
      </c>
      <c r="V2" s="9"/>
    </row>
    <row r="3" spans="1:23" x14ac:dyDescent="0.25">
      <c r="A3" s="55"/>
      <c r="B3" s="56"/>
      <c r="C3" s="55"/>
      <c r="D3" s="10" t="str">
        <f>IF(bc_nxt!K12="",$F$7, IF(ISNUMBER(SEARCH("Sum", bc_nxt!K12)), "Tổng", bc_nxt!K12))</f>
        <v>Trong QC</v>
      </c>
      <c r="E3" s="55"/>
      <c r="F3" s="55"/>
      <c r="G3" s="55"/>
      <c r="H3" s="55"/>
      <c r="I3" s="55"/>
      <c r="J3" s="43"/>
      <c r="K3" s="10">
        <f>IF(bc_nxt!Q12="",$F$7, IF(ISNUMBER(SEARCH("Sum", bc_nxt!Q12)), "Tổng", bc_nxt!Q12))</f>
        <v>0</v>
      </c>
      <c r="L3" s="10" t="str">
        <f>IF(bc_nxt!R12="",$F$7, IF(ISNUMBER(SEARCH("Sum", bc_nxt!R12)), "Tổng", bc_nxt!R12))</f>
        <v>Ngoài QC</v>
      </c>
      <c r="M3" s="55"/>
      <c r="N3" s="55"/>
      <c r="O3" s="55"/>
      <c r="P3" s="55"/>
      <c r="Q3" s="55"/>
      <c r="R3" s="55"/>
      <c r="S3" s="55"/>
      <c r="T3" s="55"/>
      <c r="U3" s="55"/>
      <c r="V3" s="9"/>
    </row>
    <row r="4" spans="1:23" x14ac:dyDescent="0.25">
      <c r="A4" s="55"/>
      <c r="B4" s="56"/>
      <c r="C4" s="55"/>
      <c r="D4" s="55"/>
      <c r="E4" s="55"/>
      <c r="F4" s="55"/>
      <c r="G4" s="55"/>
      <c r="H4" s="55"/>
      <c r="I4" s="55"/>
      <c r="J4" s="43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</row>
    <row r="5" spans="1:23" x14ac:dyDescent="0.25">
      <c r="A5" s="55"/>
      <c r="B5" s="56"/>
      <c r="C5" s="55"/>
      <c r="D5" s="55"/>
      <c r="E5" s="55"/>
      <c r="F5" s="55"/>
      <c r="G5" s="55"/>
      <c r="H5" s="55"/>
      <c r="I5" s="55"/>
      <c r="J5" s="43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</row>
    <row r="6" spans="1:23" x14ac:dyDescent="0.25">
      <c r="A6" s="55"/>
      <c r="B6" s="56"/>
      <c r="C6" s="55"/>
      <c r="D6" s="55"/>
      <c r="E6" s="55"/>
      <c r="F6" s="55"/>
      <c r="G6" s="55"/>
      <c r="H6" s="55"/>
      <c r="I6" s="55"/>
      <c r="J6" s="43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</row>
    <row r="7" spans="1:23" x14ac:dyDescent="0.25">
      <c r="A7" s="55"/>
      <c r="B7" s="56"/>
      <c r="C7" s="9">
        <f>ROW()</f>
        <v>7</v>
      </c>
      <c r="D7" s="55"/>
      <c r="E7" s="55"/>
      <c r="F7" s="55"/>
      <c r="G7" s="55"/>
      <c r="H7" s="55"/>
      <c r="I7" s="55"/>
      <c r="J7" s="43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</row>
    <row r="8" spans="1:23" x14ac:dyDescent="0.25">
      <c r="A8" s="55"/>
      <c r="B8" s="11">
        <f>COLUMN()</f>
        <v>2</v>
      </c>
      <c r="C8" s="9" t="str">
        <f>IF(bc_nxt!H10="",$F$7, IF(ISNUMBER(SEARCH("Sum", bc_nxt!H10)), "Tổng", bc_nxt!H10))</f>
        <v>Tồn đầu kỳ</v>
      </c>
      <c r="D8" s="9" t="str">
        <f>IF(bc_nxt!I10="",$F$7, IF(ISNUMBER(SEARCH("Sum", bc_nxt!I10)), "Tổng", bc_nxt!I10))</f>
        <v>Tồn đầu kỳ</v>
      </c>
      <c r="E8" s="9" t="str">
        <f>IF(bc_nxt!J10="",$F$7, IF(ISNUMBER(SEARCH("Sum", bc_nxt!J10)), "Tổng", bc_nxt!J10))</f>
        <v>Tổng</v>
      </c>
      <c r="F8" s="9" t="str">
        <f>IF(bc_nxt!K10="",$F$7, IF(ISNUMBER(SEARCH("Sum", bc_nxt!K10)), "Tổng", bc_nxt!K10))</f>
        <v>Nhập</v>
      </c>
      <c r="G8" s="9" t="str">
        <f>IF(bc_nxt!L10="",$F$7, IF(ISNUMBER(SEARCH("Sum", bc_nxt!L10)), "Tổng", bc_nxt!L10))</f>
        <v>Nhập</v>
      </c>
      <c r="H8" s="9" t="str">
        <f>IF(bc_nxt!M10="",$F$7, IF(ISNUMBER(SEARCH("Sum", bc_nxt!M10)), "Tổng", bc_nxt!M10))</f>
        <v>Nhập</v>
      </c>
      <c r="I8" s="9" t="str">
        <f>IF(bc_nxt!N10="",$F$7, IF(ISNUMBER(SEARCH("Sum", bc_nxt!N10)), "Tổng", bc_nxt!N10))</f>
        <v>Nhập</v>
      </c>
      <c r="J8" s="9"/>
      <c r="K8" s="9" t="str">
        <f>IF(bc_nxt!O10="",$F$7, IF(ISNUMBER(SEARCH("Sum", bc_nxt!O10)), "Tổng", bc_nxt!O10))</f>
        <v>Nhập</v>
      </c>
      <c r="L8" s="9" t="str">
        <f>IF(bc_nxt!P10="",$F$7, IF(ISNUMBER(SEARCH("Sum", bc_nxt!P10)), "Tổng", bc_nxt!P10))</f>
        <v>Nhập</v>
      </c>
      <c r="M8" s="9" t="str">
        <f>IF(bc_nxt!Q10="",$F$7, IF(ISNUMBER(SEARCH("Sum", bc_nxt!Q10)), "Tổng", bc_nxt!Q10))</f>
        <v>Tổng</v>
      </c>
      <c r="N8" s="9" t="str">
        <f>IF(bc_nxt!R10="",$F$7, IF(ISNUMBER(SEARCH("Sum", bc_nxt!R10)), "Tổng", bc_nxt!R10))</f>
        <v>Xuất</v>
      </c>
      <c r="O8" s="9" t="str">
        <f>IF(bc_nxt!S10="",$F$7, IF(ISNUMBER(SEARCH("Sum", bc_nxt!S10)), "Tổng", bc_nxt!S10))</f>
        <v>Xuất</v>
      </c>
      <c r="P8" s="9" t="str">
        <f>IF(bc_nxt!T10="",$F$7, IF(ISNUMBER(SEARCH("Sum", bc_nxt!T10)), "Tổng", bc_nxt!T10))</f>
        <v>Xuất</v>
      </c>
      <c r="Q8" s="9" t="str">
        <f>IF(bc_nxt!U10="",$F$7, IF(ISNUMBER(SEARCH("Sum", bc_nxt!U10)), "Tổng", bc_nxt!U10))</f>
        <v>Xuất</v>
      </c>
      <c r="R8" s="9" t="str">
        <f>IF(bc_nxt!V10="",$F$7, IF(ISNUMBER(SEARCH("Sum", bc_nxt!V10)), "Tổng", bc_nxt!V10))</f>
        <v>Xuất</v>
      </c>
      <c r="S8" s="9" t="str">
        <f>IF(bc_nxt!W10="",$F$7, IF(ISNUMBER(SEARCH("Sum", bc_nxt!W10)), "Tổng", bc_nxt!W10))</f>
        <v>Xuất</v>
      </c>
      <c r="T8" s="9" t="str">
        <f>IF(bc_nxt!X10="",$F$7, IF(ISNUMBER(SEARCH("Sum", bc_nxt!X10)), "Tổng", bc_nxt!X10))</f>
        <v>Xuất</v>
      </c>
      <c r="U8" s="9" t="str">
        <f>IF(bc_nxt!Y10="",$F$7, IF(ISNUMBER(SEARCH("Sum", bc_nxt!Y10)), "Tổng", bc_nxt!Y10))</f>
        <v>Tổng</v>
      </c>
      <c r="V8" s="9" t="str">
        <f>IF(bc_nxt!Z10="",$F$7, IF(ISNUMBER(SEARCH("Sum", bc_nxt!Z10)), "Tổng", bc_nxt!Z10))</f>
        <v>Tồn cuối kỳ</v>
      </c>
      <c r="W8" s="9" t="str">
        <f>IF(bc_nxt!AA10="",$F$7, IF(ISNUMBER(SEARCH("Sum", bc_nxt!AA10)), "Tổng", bc_nxt!AA10))</f>
        <v>Tồn cuối kỳ</v>
      </c>
    </row>
    <row r="9" spans="1:23" x14ac:dyDescent="0.25">
      <c r="A9" s="55"/>
      <c r="B9" s="56"/>
      <c r="C9" s="9" t="str">
        <f>IF(bc_nxt!H11="",$F$7, IF(ISNUMBER(SEARCH("Sum", bc_nxt!H11)), "Tổng", bc_nxt!H11))</f>
        <v>DT cho NV đột xuất</v>
      </c>
      <c r="D9" s="9" t="str">
        <f>IF(bc_nxt!I11="",$F$7, IF(ISNUMBER(SEARCH("Sum", bc_nxt!I11)), "Tổng", bc_nxt!I11))</f>
        <v>DT SSCD</v>
      </c>
      <c r="E9" s="9">
        <f>IF(bc_nxt!J11="",$F$7, IF(ISNUMBER(SEARCH("Sum", bc_nxt!J11)), "Tổng", bc_nxt!J11))</f>
        <v>0</v>
      </c>
      <c r="F9" s="9" t="str">
        <f>IF(bc_nxt!K11="",$F$7, IF(ISNUMBER(SEARCH("Sum", bc_nxt!K11)), "Tổng", bc_nxt!K11))</f>
        <v>Nhập khác</v>
      </c>
      <c r="G9" s="9" t="str">
        <f>IF(bc_nxt!L11="",$F$7, IF(ISNUMBER(SEARCH("Sum", bc_nxt!L11)), "Tổng", bc_nxt!L11))</f>
        <v>CXD</v>
      </c>
      <c r="H9" s="9" t="str">
        <f>IF(bc_nxt!M11="",$F$7, IF(ISNUMBER(SEARCH("Sum", bc_nxt!M11)), "Tổng", bc_nxt!M11))</f>
        <v>QC</v>
      </c>
      <c r="I9" s="9" t="str">
        <f>IF(bc_nxt!N11="",$F$7, IF(ISNUMBER(SEARCH("Sum", bc_nxt!N11)), "Tổng", bc_nxt!N11))</f>
        <v>Mua P/cấp</v>
      </c>
      <c r="J9" s="9"/>
      <c r="K9" s="9" t="str">
        <f>IF(bc_nxt!O11="",$F$7, IF(ISNUMBER(SEARCH("Sum", bc_nxt!O11)), "Tổng", bc_nxt!O11))</f>
        <v>Khác</v>
      </c>
      <c r="L9" s="9" t="str">
        <f>IF(bc_nxt!P11="",$F$7, IF(ISNUMBER(SEARCH("Sum", bc_nxt!P11)), "Tổng", bc_nxt!P11))</f>
        <v>f nội bộ</v>
      </c>
      <c r="M9" s="9">
        <f>IF(bc_nxt!Q11="",$F$7, IF(ISNUMBER(SEARCH("Sum", bc_nxt!Q11)), "Tổng", bc_nxt!Q11))</f>
        <v>0</v>
      </c>
      <c r="N9" s="9" t="str">
        <f>IF(bc_nxt!R11="",$F$7, IF(ISNUMBER(SEARCH("Sum", bc_nxt!R11)), "Tổng", bc_nxt!R11))</f>
        <v>Xuất khác</v>
      </c>
      <c r="O9" s="9" t="str">
        <f>IF(bc_nxt!S11="",$F$7, IF(ISNUMBER(SEARCH("Sum", bc_nxt!S11)), "Tổng", bc_nxt!S11))</f>
        <v>Nhập khác</v>
      </c>
      <c r="P9" s="9" t="str">
        <f>IF(bc_nxt!T11="",$F$7, IF(ISNUMBER(SEARCH("Sum", bc_nxt!T11)), "Tổng", bc_nxt!T11))</f>
        <v>Khác</v>
      </c>
      <c r="Q9" s="9" t="str">
        <f>IF(bc_nxt!U11="",$F$7, IF(ISNUMBER(SEARCH("Sum", bc_nxt!U11)), "Tổng", bc_nxt!U11))</f>
        <v>TT Xe máy</v>
      </c>
      <c r="R9" s="9" t="str">
        <f>IF(bc_nxt!V11="",$F$7, IF(ISNUMBER(SEARCH("Sum", bc_nxt!V11)), "Tổng", bc_nxt!V11))</f>
        <v>BQ</v>
      </c>
      <c r="S9" s="9" t="str">
        <f>IF(bc_nxt!W11="",$F$7, IF(ISNUMBER(SEARCH("Sum", bc_nxt!W11)), "Tổng", bc_nxt!W11))</f>
        <v>Hao hụt</v>
      </c>
      <c r="T9" s="9" t="str">
        <f>IF(bc_nxt!X11="",$F$7, IF(ISNUMBER(SEARCH("Sum", bc_nxt!X11)), "Tổng", bc_nxt!X11))</f>
        <v>Tổn thất</v>
      </c>
      <c r="U9" s="9">
        <f>IF(bc_nxt!Y11="",$F$7, IF(ISNUMBER(SEARCH("Sum", bc_nxt!Y11)), "Tổng", bc_nxt!Y11))</f>
        <v>0</v>
      </c>
      <c r="V9" s="9" t="str">
        <f>IF(bc_nxt!Z11="",$F$7, IF(ISNUMBER(SEARCH("Sum", bc_nxt!Z11)), "Tổng", bc_nxt!Z11))</f>
        <v>DT cho NV đột xuất</v>
      </c>
      <c r="W9" s="9" t="str">
        <f>IF(bc_nxt!AA11="",$F$7, IF(ISNUMBER(SEARCH("Sum", bc_nxt!AA11)), "Tổng", bc_nxt!AA11))</f>
        <v>DT SSCD</v>
      </c>
    </row>
    <row r="10" spans="1:23" x14ac:dyDescent="0.25">
      <c r="A10" s="55"/>
      <c r="B10" s="56"/>
      <c r="C10" s="9" t="str">
        <f>IF(bc_nxt!H12="",$F$7, IF(ISNUMBER(SEARCH("Sum", bc_nxt!H12)), "Tổng", bc_nxt!H12))</f>
        <v>DT cho NV đột xuất</v>
      </c>
      <c r="D10" s="9" t="str">
        <f>IF(bc_nxt!I12="",$F$7, IF(ISNUMBER(SEARCH("Sum", bc_nxt!I12)), "Tổng", bc_nxt!I12))</f>
        <v>DT SSCD</v>
      </c>
      <c r="E10" s="9">
        <f>IF(bc_nxt!J12="",$F$7, IF(ISNUMBER(SEARCH("Sum", bc_nxt!J12)), "Tổng", bc_nxt!J12))</f>
        <v>0</v>
      </c>
      <c r="F10" s="9" t="str">
        <f>IF(bc_nxt!K12="",$F$7, IF(ISNUMBER(SEARCH("Sum", bc_nxt!K12)), "Tổng", bc_nxt!K12))</f>
        <v>Trong QC</v>
      </c>
      <c r="G10" s="9" t="str">
        <f>IF(bc_nxt!L12="",$F$7, IF(ISNUMBER(SEARCH("Sum", bc_nxt!L12)), "Tổng", bc_nxt!L12))</f>
        <v>CXD</v>
      </c>
      <c r="H10" s="9" t="str">
        <f>IF(bc_nxt!M12="",$F$7, IF(ISNUMBER(SEARCH("Sum", bc_nxt!M12)), "Tổng", bc_nxt!M12))</f>
        <v>QC</v>
      </c>
      <c r="I10" s="9" t="str">
        <f>IF(bc_nxt!N12="",$F$7, IF(ISNUMBER(SEARCH("Sum", bc_nxt!N12)), "Tổng", bc_nxt!N12))</f>
        <v>Mua P/cấp</v>
      </c>
      <c r="J10" s="9"/>
      <c r="K10" s="9" t="str">
        <f>IF(bc_nxt!O12="",$F$7, IF(ISNUMBER(SEARCH("Sum", bc_nxt!O12)), "Tổng", bc_nxt!O12))</f>
        <v>Khác</v>
      </c>
      <c r="L10" s="9" t="str">
        <f>IF(bc_nxt!P12="",$F$7, IF(ISNUMBER(SEARCH("Sum", bc_nxt!P12)), "Tổng", bc_nxt!P12))</f>
        <v>F nội bộ</v>
      </c>
      <c r="M10" s="9">
        <f>IF(bc_nxt!Q12="",$F$7, IF(ISNUMBER(SEARCH("Sum", bc_nxt!Q12)), "Tổng", bc_nxt!Q12))</f>
        <v>0</v>
      </c>
      <c r="N10" s="9" t="str">
        <f>IF(bc_nxt!R12="",$F$7, IF(ISNUMBER(SEARCH("Sum", bc_nxt!R12)), "Tổng", bc_nxt!R12))</f>
        <v>Ngoài QC</v>
      </c>
      <c r="O10" s="9" t="str">
        <f>IF(bc_nxt!S12="",$F$7, IF(ISNUMBER(SEARCH("Sum", bc_nxt!S12)), "Tổng", bc_nxt!S12))</f>
        <v>Trong QC</v>
      </c>
      <c r="P10" s="9" t="str">
        <f>IF(bc_nxt!T12="",$F$7, IF(ISNUMBER(SEARCH("Sum", bc_nxt!T12)), "Tổng", bc_nxt!T12))</f>
        <v>Khác</v>
      </c>
      <c r="Q10" s="9" t="str">
        <f>IF(bc_nxt!U12="",$F$7, IF(ISNUMBER(SEARCH("Sum", bc_nxt!U12)), "Tổng", bc_nxt!U12))</f>
        <v>TT Xe máy</v>
      </c>
      <c r="R10" s="9" t="str">
        <f>IF(bc_nxt!V12="",$F$7, IF(ISNUMBER(SEARCH("Sum", bc_nxt!V12)), "Tổng", bc_nxt!V12))</f>
        <v>BQ</v>
      </c>
      <c r="S10" s="9" t="str">
        <f>IF(bc_nxt!W12="",$F$7, IF(ISNUMBER(SEARCH("Sum", bc_nxt!W12)), "Tổng", bc_nxt!W12))</f>
        <v>Hao hụt</v>
      </c>
      <c r="T10" s="9" t="str">
        <f>IF(bc_nxt!X12="",$F$7, IF(ISNUMBER(SEARCH("Sum", bc_nxt!X12)), "Tổng", bc_nxt!X12))</f>
        <v>Tổn thất</v>
      </c>
      <c r="U10" s="9">
        <f>IF(bc_nxt!Y12="",$F$7, IF(ISNUMBER(SEARCH("Sum", bc_nxt!Y12)), "Tổng", bc_nxt!Y12))</f>
        <v>0</v>
      </c>
      <c r="V10" s="9" t="str">
        <f>IF(bc_nxt!Z12="",$F$7, IF(ISNUMBER(SEARCH("Sum", bc_nxt!Z12)), "Tổng", bc_nxt!Z12))</f>
        <v>DT cho NV đột xuất</v>
      </c>
      <c r="W10" s="9" t="str">
        <f>IF(bc_nxt!AA12="",$F$7, IF(ISNUMBER(SEARCH("Sum", bc_nxt!AA12)), "Tổng", bc_nxt!AA12))</f>
        <v>DT SSCD</v>
      </c>
    </row>
    <row r="11" spans="1:23" x14ac:dyDescent="0.25">
      <c r="C11" s="9"/>
    </row>
    <row r="12" spans="1:23" x14ac:dyDescent="0.25">
      <c r="C12" s="9"/>
    </row>
    <row r="13" spans="1:23" x14ac:dyDescent="0.25">
      <c r="C13" s="9"/>
    </row>
    <row r="14" spans="1:23" x14ac:dyDescent="0.25">
      <c r="C14" s="9"/>
    </row>
    <row r="15" spans="1:23" x14ac:dyDescent="0.25">
      <c r="C15" s="9"/>
    </row>
    <row r="16" spans="1:23" x14ac:dyDescent="0.25">
      <c r="C16" s="9"/>
    </row>
    <row r="17" spans="3:10" x14ac:dyDescent="0.25">
      <c r="C17" s="9"/>
    </row>
    <row r="18" spans="3:10" x14ac:dyDescent="0.25">
      <c r="C18" s="9"/>
    </row>
    <row r="19" spans="3:10" x14ac:dyDescent="0.25">
      <c r="C19" s="9"/>
    </row>
    <row r="20" spans="3:10" x14ac:dyDescent="0.25">
      <c r="C20" s="9"/>
      <c r="D20" t="s">
        <v>284</v>
      </c>
      <c r="E20" t="s">
        <v>285</v>
      </c>
      <c r="F20" t="s">
        <v>286</v>
      </c>
      <c r="G20" t="s">
        <v>287</v>
      </c>
      <c r="H20" t="s">
        <v>288</v>
      </c>
      <c r="I20" t="s">
        <v>289</v>
      </c>
      <c r="J20" t="s">
        <v>290</v>
      </c>
    </row>
    <row r="21" spans="3:10" x14ac:dyDescent="0.25">
      <c r="C21" s="9"/>
    </row>
  </sheetData>
  <mergeCells count="21">
    <mergeCell ref="U2:U7"/>
    <mergeCell ref="T3:T7"/>
    <mergeCell ref="S3:S7"/>
    <mergeCell ref="R2:R7"/>
    <mergeCell ref="Q3:Q7"/>
    <mergeCell ref="P3:P7"/>
    <mergeCell ref="O3:O7"/>
    <mergeCell ref="M3:M7"/>
    <mergeCell ref="N3:N7"/>
    <mergeCell ref="K4:K7"/>
    <mergeCell ref="L4:L7"/>
    <mergeCell ref="C2:C6"/>
    <mergeCell ref="B9:B10"/>
    <mergeCell ref="B3:B7"/>
    <mergeCell ref="A3:A10"/>
    <mergeCell ref="I2:I7"/>
    <mergeCell ref="H3:H7"/>
    <mergeCell ref="F3:F7"/>
    <mergeCell ref="G3:G7"/>
    <mergeCell ref="D4:D7"/>
    <mergeCell ref="E3:E7"/>
  </mergeCell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5"/>
  <sheetViews>
    <sheetView workbookViewId="0">
      <selection activeCell="A4" sqref="A4"/>
    </sheetView>
  </sheetViews>
  <sheetFormatPr defaultRowHeight="15" x14ac:dyDescent="0.25"/>
  <cols>
    <col min="1" max="1" width="4.85546875" bestFit="1" customWidth="1"/>
    <col min="2" max="2" width="18.28515625" bestFit="1" customWidth="1"/>
    <col min="3" max="3" width="9" bestFit="1" customWidth="1"/>
    <col min="4" max="4" width="12.85546875" bestFit="1" customWidth="1"/>
    <col min="5" max="5" width="14.28515625" bestFit="1" customWidth="1"/>
    <col min="6" max="6" width="12.28515625" bestFit="1" customWidth="1"/>
    <col min="7" max="7" width="8.28515625" bestFit="1" customWidth="1"/>
  </cols>
  <sheetData>
    <row r="1" spans="1:7" ht="13.9" x14ac:dyDescent="0.25">
      <c r="A1" t="s">
        <v>22</v>
      </c>
      <c r="B1" t="s">
        <v>144</v>
      </c>
      <c r="C1" t="s">
        <v>72</v>
      </c>
      <c r="D1" t="s">
        <v>145</v>
      </c>
      <c r="E1" t="s">
        <v>30</v>
      </c>
      <c r="F1" t="s">
        <v>5</v>
      </c>
      <c r="G1" t="s">
        <v>70</v>
      </c>
    </row>
    <row r="2" spans="1:7" x14ac:dyDescent="0.25">
      <c r="A2">
        <v>1</v>
      </c>
      <c r="B2" t="s">
        <v>156</v>
      </c>
      <c r="C2" t="s">
        <v>64</v>
      </c>
      <c r="D2">
        <v>1</v>
      </c>
      <c r="E2" s="1">
        <v>45563.663124999999</v>
      </c>
      <c r="F2" t="s">
        <v>151</v>
      </c>
      <c r="G2" t="s">
        <v>149</v>
      </c>
    </row>
    <row r="3" spans="1:7" x14ac:dyDescent="0.25">
      <c r="A3">
        <v>2</v>
      </c>
      <c r="B3" t="s">
        <v>157</v>
      </c>
      <c r="C3" t="s">
        <v>64</v>
      </c>
      <c r="D3">
        <v>1</v>
      </c>
      <c r="E3" s="1">
        <v>45563.665358796294</v>
      </c>
      <c r="F3" t="s">
        <v>151</v>
      </c>
      <c r="G3" t="s">
        <v>149</v>
      </c>
    </row>
    <row r="4" spans="1:7" x14ac:dyDescent="0.25">
      <c r="A4">
        <v>3</v>
      </c>
      <c r="B4" t="s">
        <v>158</v>
      </c>
      <c r="C4" t="s">
        <v>64</v>
      </c>
      <c r="D4">
        <v>1</v>
      </c>
      <c r="E4" s="1">
        <v>45563.665706018517</v>
      </c>
      <c r="F4" t="s">
        <v>151</v>
      </c>
      <c r="G4" t="s">
        <v>149</v>
      </c>
    </row>
    <row r="5" spans="1:7" ht="13.9" hidden="1" x14ac:dyDescent="0.25">
      <c r="A5">
        <v>6</v>
      </c>
      <c r="B5" t="s">
        <v>146</v>
      </c>
      <c r="C5" t="s">
        <v>147</v>
      </c>
      <c r="D5">
        <v>1</v>
      </c>
      <c r="E5" s="1">
        <v>45563.667997685188</v>
      </c>
      <c r="F5" t="s">
        <v>148</v>
      </c>
      <c r="G5" t="s">
        <v>149</v>
      </c>
    </row>
    <row r="6" spans="1:7" ht="13.9" hidden="1" x14ac:dyDescent="0.25">
      <c r="A6">
        <v>7</v>
      </c>
      <c r="B6" t="s">
        <v>160</v>
      </c>
      <c r="C6" t="s">
        <v>64</v>
      </c>
      <c r="D6">
        <v>1</v>
      </c>
      <c r="E6" s="1">
        <v>45563.668668981481</v>
      </c>
      <c r="F6" t="s">
        <v>148</v>
      </c>
      <c r="G6" t="s">
        <v>149</v>
      </c>
    </row>
    <row r="7" spans="1:7" ht="13.9" x14ac:dyDescent="0.25">
      <c r="A7">
        <v>13</v>
      </c>
      <c r="B7" t="s">
        <v>159</v>
      </c>
      <c r="C7" t="s">
        <v>64</v>
      </c>
      <c r="D7">
        <v>1</v>
      </c>
      <c r="E7" s="1">
        <v>45563.685682870368</v>
      </c>
      <c r="F7" t="s">
        <v>151</v>
      </c>
      <c r="G7" t="s">
        <v>149</v>
      </c>
    </row>
    <row r="8" spans="1:7" ht="13.9" hidden="1" x14ac:dyDescent="0.25">
      <c r="A8">
        <v>18</v>
      </c>
      <c r="B8" t="s">
        <v>161</v>
      </c>
      <c r="C8" t="s">
        <v>64</v>
      </c>
      <c r="D8">
        <v>1</v>
      </c>
      <c r="E8" s="1">
        <v>45568.691365740742</v>
      </c>
      <c r="F8" t="s">
        <v>148</v>
      </c>
      <c r="G8" t="s">
        <v>149</v>
      </c>
    </row>
    <row r="9" spans="1:7" x14ac:dyDescent="0.25">
      <c r="A9">
        <v>19</v>
      </c>
      <c r="B9" t="s">
        <v>150</v>
      </c>
      <c r="C9" t="s">
        <v>64</v>
      </c>
      <c r="D9">
        <v>1</v>
      </c>
      <c r="E9" s="1">
        <v>45569.305289351854</v>
      </c>
      <c r="F9" t="s">
        <v>151</v>
      </c>
      <c r="G9" t="s">
        <v>149</v>
      </c>
    </row>
    <row r="10" spans="1:7" ht="13.9" x14ac:dyDescent="0.25">
      <c r="A10">
        <v>20</v>
      </c>
      <c r="B10" t="s">
        <v>152</v>
      </c>
      <c r="C10" t="s">
        <v>153</v>
      </c>
      <c r="D10">
        <v>1</v>
      </c>
      <c r="E10" s="1">
        <v>45569.305532407408</v>
      </c>
      <c r="F10" t="s">
        <v>151</v>
      </c>
      <c r="G10" t="s">
        <v>149</v>
      </c>
    </row>
    <row r="11" spans="1:7" x14ac:dyDescent="0.25">
      <c r="A11">
        <v>21</v>
      </c>
      <c r="B11" t="s">
        <v>154</v>
      </c>
      <c r="C11" t="s">
        <v>153</v>
      </c>
      <c r="D11">
        <v>1</v>
      </c>
      <c r="E11" s="1">
        <v>45569.305960648147</v>
      </c>
      <c r="F11" t="s">
        <v>151</v>
      </c>
      <c r="G11" t="s">
        <v>149</v>
      </c>
    </row>
    <row r="12" spans="1:7" ht="13.9" hidden="1" x14ac:dyDescent="0.25">
      <c r="A12">
        <v>22</v>
      </c>
      <c r="B12" t="s">
        <v>154</v>
      </c>
      <c r="C12" t="s">
        <v>153</v>
      </c>
      <c r="D12">
        <v>1</v>
      </c>
      <c r="E12" s="1">
        <v>45569.306238425925</v>
      </c>
      <c r="F12" t="s">
        <v>148</v>
      </c>
      <c r="G12" t="s">
        <v>149</v>
      </c>
    </row>
    <row r="13" spans="1:7" ht="13.9" hidden="1" x14ac:dyDescent="0.25">
      <c r="A13">
        <v>23</v>
      </c>
      <c r="B13" t="s">
        <v>152</v>
      </c>
      <c r="C13" t="s">
        <v>153</v>
      </c>
      <c r="D13">
        <v>1</v>
      </c>
      <c r="E13" s="1">
        <v>45569.306377314817</v>
      </c>
      <c r="F13" t="s">
        <v>148</v>
      </c>
      <c r="G13" t="s">
        <v>149</v>
      </c>
    </row>
    <row r="14" spans="1:7" ht="13.9" hidden="1" x14ac:dyDescent="0.25">
      <c r="A14">
        <v>24</v>
      </c>
      <c r="B14" t="s">
        <v>155</v>
      </c>
      <c r="C14" t="s">
        <v>64</v>
      </c>
      <c r="D14">
        <v>1</v>
      </c>
      <c r="E14" s="1">
        <v>45569.306851851848</v>
      </c>
      <c r="F14" t="s">
        <v>148</v>
      </c>
      <c r="G14" t="s">
        <v>149</v>
      </c>
    </row>
    <row r="15" spans="1:7" ht="13.9" hidden="1" x14ac:dyDescent="0.25">
      <c r="A15">
        <v>25</v>
      </c>
      <c r="B15" t="s">
        <v>150</v>
      </c>
      <c r="C15" t="s">
        <v>64</v>
      </c>
      <c r="D15">
        <v>1</v>
      </c>
      <c r="E15" s="1">
        <v>45569.307118055556</v>
      </c>
      <c r="F15" t="s">
        <v>148</v>
      </c>
      <c r="G15" t="s">
        <v>149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31"/>
  <sheetViews>
    <sheetView workbookViewId="0">
      <selection activeCell="H18" sqref="H18"/>
    </sheetView>
  </sheetViews>
  <sheetFormatPr defaultRowHeight="15" x14ac:dyDescent="0.25"/>
  <cols>
    <col min="1" max="1" width="4.85546875" bestFit="1" customWidth="1"/>
    <col min="2" max="2" width="13.42578125" bestFit="1" customWidth="1"/>
    <col min="3" max="3" width="14.28515625" bestFit="1" customWidth="1"/>
  </cols>
  <sheetData>
    <row r="1" spans="1:3" x14ac:dyDescent="0.25">
      <c r="A1" t="s">
        <v>22</v>
      </c>
      <c r="B1" t="s">
        <v>24</v>
      </c>
      <c r="C1" t="s">
        <v>162</v>
      </c>
    </row>
    <row r="2" spans="1:3" x14ac:dyDescent="0.25">
      <c r="A2">
        <v>12</v>
      </c>
      <c r="B2">
        <v>54</v>
      </c>
      <c r="C2">
        <v>6</v>
      </c>
    </row>
    <row r="3" spans="1:3" x14ac:dyDescent="0.25">
      <c r="A3">
        <v>23</v>
      </c>
      <c r="B3">
        <v>1</v>
      </c>
      <c r="C3">
        <v>3</v>
      </c>
    </row>
    <row r="4" spans="1:3" x14ac:dyDescent="0.25">
      <c r="A4">
        <v>24</v>
      </c>
      <c r="B4">
        <v>2</v>
      </c>
      <c r="C4">
        <v>3</v>
      </c>
    </row>
    <row r="5" spans="1:3" x14ac:dyDescent="0.25">
      <c r="A5">
        <v>25</v>
      </c>
      <c r="B5">
        <v>17</v>
      </c>
      <c r="C5">
        <v>3</v>
      </c>
    </row>
    <row r="6" spans="1:3" x14ac:dyDescent="0.25">
      <c r="A6">
        <v>26</v>
      </c>
      <c r="B6">
        <v>18</v>
      </c>
      <c r="C6">
        <v>3</v>
      </c>
    </row>
    <row r="7" spans="1:3" x14ac:dyDescent="0.25">
      <c r="A7">
        <v>27</v>
      </c>
      <c r="B7">
        <v>19</v>
      </c>
      <c r="C7">
        <v>1</v>
      </c>
    </row>
    <row r="8" spans="1:3" x14ac:dyDescent="0.25">
      <c r="A8">
        <v>28</v>
      </c>
      <c r="B8">
        <v>20</v>
      </c>
      <c r="C8">
        <v>20</v>
      </c>
    </row>
    <row r="9" spans="1:3" x14ac:dyDescent="0.25">
      <c r="A9">
        <v>29</v>
      </c>
      <c r="B9">
        <v>21</v>
      </c>
      <c r="C9">
        <v>20</v>
      </c>
    </row>
    <row r="10" spans="1:3" x14ac:dyDescent="0.25">
      <c r="A10">
        <v>30</v>
      </c>
      <c r="B10">
        <v>22</v>
      </c>
      <c r="C10">
        <v>20</v>
      </c>
    </row>
    <row r="11" spans="1:3" x14ac:dyDescent="0.25">
      <c r="A11">
        <v>31</v>
      </c>
      <c r="B11">
        <v>23</v>
      </c>
      <c r="C11">
        <v>20</v>
      </c>
    </row>
    <row r="12" spans="1:3" x14ac:dyDescent="0.25">
      <c r="A12">
        <v>32</v>
      </c>
      <c r="B12">
        <v>24</v>
      </c>
      <c r="C12">
        <v>20</v>
      </c>
    </row>
    <row r="13" spans="1:3" x14ac:dyDescent="0.25">
      <c r="A13">
        <v>33</v>
      </c>
      <c r="B13">
        <v>25</v>
      </c>
      <c r="C13">
        <v>2</v>
      </c>
    </row>
    <row r="14" spans="1:3" x14ac:dyDescent="0.25">
      <c r="A14">
        <v>34</v>
      </c>
      <c r="B14">
        <v>26</v>
      </c>
      <c r="C14">
        <v>2</v>
      </c>
    </row>
    <row r="15" spans="1:3" x14ac:dyDescent="0.25">
      <c r="A15">
        <v>35</v>
      </c>
      <c r="B15">
        <v>36</v>
      </c>
      <c r="C15">
        <v>19</v>
      </c>
    </row>
    <row r="16" spans="1:3" x14ac:dyDescent="0.25">
      <c r="A16">
        <v>36</v>
      </c>
      <c r="B16">
        <v>37</v>
      </c>
      <c r="C16">
        <v>19</v>
      </c>
    </row>
    <row r="17" spans="1:3" x14ac:dyDescent="0.25">
      <c r="A17">
        <v>37</v>
      </c>
      <c r="B17">
        <v>29</v>
      </c>
      <c r="C17">
        <v>2</v>
      </c>
    </row>
    <row r="18" spans="1:3" x14ac:dyDescent="0.25">
      <c r="A18">
        <v>38</v>
      </c>
      <c r="B18">
        <v>31</v>
      </c>
      <c r="C18">
        <v>2</v>
      </c>
    </row>
    <row r="19" spans="1:3" x14ac:dyDescent="0.25">
      <c r="A19">
        <v>39</v>
      </c>
      <c r="B19">
        <v>33</v>
      </c>
      <c r="C19">
        <v>19</v>
      </c>
    </row>
    <row r="20" spans="1:3" x14ac:dyDescent="0.25">
      <c r="A20">
        <v>40</v>
      </c>
      <c r="B20">
        <v>34</v>
      </c>
      <c r="C20">
        <v>19</v>
      </c>
    </row>
    <row r="21" spans="1:3" x14ac:dyDescent="0.25">
      <c r="A21">
        <v>41</v>
      </c>
      <c r="B21">
        <v>35</v>
      </c>
      <c r="C21">
        <v>19</v>
      </c>
    </row>
    <row r="22" spans="1:3" x14ac:dyDescent="0.25">
      <c r="A22">
        <v>42</v>
      </c>
      <c r="B22">
        <v>3</v>
      </c>
      <c r="C22">
        <v>20</v>
      </c>
    </row>
    <row r="23" spans="1:3" x14ac:dyDescent="0.25">
      <c r="A23">
        <v>43</v>
      </c>
      <c r="B23">
        <v>4</v>
      </c>
      <c r="C23">
        <v>20</v>
      </c>
    </row>
    <row r="24" spans="1:3" x14ac:dyDescent="0.25">
      <c r="A24">
        <v>44</v>
      </c>
      <c r="B24">
        <v>5</v>
      </c>
      <c r="C24">
        <v>20</v>
      </c>
    </row>
    <row r="25" spans="1:3" x14ac:dyDescent="0.25">
      <c r="A25">
        <v>45</v>
      </c>
      <c r="B25">
        <v>6</v>
      </c>
      <c r="C25">
        <v>20</v>
      </c>
    </row>
    <row r="26" spans="1:3" x14ac:dyDescent="0.25">
      <c r="A26">
        <v>46</v>
      </c>
      <c r="B26">
        <v>8</v>
      </c>
      <c r="C26">
        <v>20</v>
      </c>
    </row>
    <row r="27" spans="1:3" x14ac:dyDescent="0.25">
      <c r="A27">
        <v>47</v>
      </c>
      <c r="B27">
        <v>9</v>
      </c>
      <c r="C27">
        <v>20</v>
      </c>
    </row>
    <row r="28" spans="1:3" x14ac:dyDescent="0.25">
      <c r="A28">
        <v>48</v>
      </c>
      <c r="B28">
        <v>10</v>
      </c>
      <c r="C28">
        <v>20</v>
      </c>
    </row>
    <row r="29" spans="1:3" x14ac:dyDescent="0.25">
      <c r="A29">
        <v>49</v>
      </c>
      <c r="B29">
        <v>28</v>
      </c>
      <c r="C29">
        <v>20</v>
      </c>
    </row>
    <row r="30" spans="1:3" x14ac:dyDescent="0.25">
      <c r="A30">
        <v>50</v>
      </c>
      <c r="B30">
        <v>17</v>
      </c>
      <c r="C30">
        <v>20</v>
      </c>
    </row>
    <row r="31" spans="1:3" x14ac:dyDescent="0.25">
      <c r="A31">
        <v>51</v>
      </c>
      <c r="B31">
        <v>1</v>
      </c>
      <c r="C31">
        <v>19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socai</vt:lpstr>
      <vt:lpstr>loaixd</vt:lpstr>
      <vt:lpstr>nguon_nx</vt:lpstr>
      <vt:lpstr>phuongtien</vt:lpstr>
      <vt:lpstr>z_a</vt:lpstr>
      <vt:lpstr>bc_nxt</vt:lpstr>
      <vt:lpstr>title</vt:lpstr>
      <vt:lpstr>tructhuoc</vt:lpstr>
      <vt:lpstr>nguonnx_tructhuoc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tga</dc:creator>
  <cp:lastModifiedBy>tga</cp:lastModifiedBy>
  <cp:lastPrinted>2024-10-17T09:01:01Z</cp:lastPrinted>
  <dcterms:created xsi:type="dcterms:W3CDTF">2024-10-09T04:37:03Z</dcterms:created>
  <dcterms:modified xsi:type="dcterms:W3CDTF">2024-10-30T10:54:23Z</dcterms:modified>
</cp:coreProperties>
</file>