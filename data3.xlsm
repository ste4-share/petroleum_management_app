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tabRatio="770" activeTab="8"/>
  </bookViews>
  <sheets>
    <sheet name="bc_nl_kh" sheetId="21" r:id="rId1"/>
    <sheet name="loaixd" sheetId="2" r:id="rId2"/>
    <sheet name="nguon_nx" sheetId="3" r:id="rId3"/>
    <sheet name="Sheet2" sheetId="19" state="hidden" r:id="rId4"/>
    <sheet name="socai" sheetId="1" r:id="rId5"/>
    <sheet name="nhiem_vu" sheetId="14" r:id="rId6"/>
    <sheet name="bc_nxt" sheetId="10" r:id="rId7"/>
    <sheet name="Sheet6" sheetId="29" r:id="rId8"/>
    <sheet name="phantich_nhiemvu" sheetId="24" r:id="rId9"/>
  </sheets>
  <definedNames>
    <definedName name="_xlcn.WorksheetConnection_data3.xlsmctnv_tb1" hidden="1">ctnv_tb[]</definedName>
    <definedName name="_xlcn.WorksheetConnection_data3.xlsmnv_tb1" hidden="1">nv_tb[]</definedName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eam_tb1" hidden="1">team_tb[]</definedName>
    <definedName name="ExternalData_2" localSheetId="8" hidden="1">phantich_nhiemvu!$M$2:$AC$92</definedName>
    <definedName name="ExternalData_3" localSheetId="8" hidden="1">phantich_nhiemvu!$B$2:$J$10</definedName>
    <definedName name="postgres" localSheetId="4" hidden="1">socai!#REF!</definedName>
    <definedName name="postgres_assignment_type" localSheetId="1" hidden="1">loaixd!$P$8:$Q$10</definedName>
    <definedName name="postgres_chitiet_nhiemvu" localSheetId="5" hidden="1">nhiem_vu!$S$11:$U$60</definedName>
    <definedName name="postgres_hanmuc_nhiemvu" localSheetId="5" hidden="1">nhiem_vu!$X$11:$AE$101</definedName>
    <definedName name="postgres_ledger_details_1" localSheetId="4" hidden="1">socai!$B$3:$AW$57</definedName>
    <definedName name="postgres_ledgers" localSheetId="4" hidden="1">socai!$BB$3:$BI$25</definedName>
    <definedName name="postgres_loaixd2" localSheetId="1" hidden="1">loaixd!$B$2:$L$53</definedName>
    <definedName name="postgres_nguon_nx" localSheetId="2" hidden="1">nguon_nx!$A$1:$C$37</definedName>
    <definedName name="postgres_nhiemvu" localSheetId="5" hidden="1">nhiem_vu!$I$11:$Q$52</definedName>
    <definedName name="postgres_petroleum_type" localSheetId="1" hidden="1">loaixd!$S$8:$V$21</definedName>
    <definedName name="postgres_team" localSheetId="5" hidden="1">nhiem_vu!$D$11:$F$16</definedName>
    <definedName name="postgres_tructhuoc" localSheetId="2" hidden="1">nguon_nx!$F$4:$I$18</definedName>
  </definedNames>
  <calcPr calcId="162913"/>
  <pivotCaches>
    <pivotCache cacheId="43" r:id="rId10"/>
    <pivotCache cacheId="46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eam_tb" name="team_tb" connection="WorksheetConnection_data3.xlsm!team_tb"/>
          <x15:modelTable id="tb_nguon_nx" name="tb_nguon_nx" connection="WorksheetConnection_data3.xlsm!tb_nguon_nx"/>
          <x15:modelTable id="tb_loaixd2" name="tb_loaixd2" connection="WorksheetConnection_data3.xlsm!tb_loaixd2"/>
          <x15:modelTable id="nv_tb" name="nv_tb" connection="WorksheetConnection_data3.xlsm!nv_tb"/>
          <x15:modelTable id="ctnv_tb" name="ctnv_tb" connection="WorksheetConnection_data3.xlsm!ctnv_tb"/>
        </x15:modelTables>
        <x15:modelRelationships>
          <x15:modelRelationship fromTable="nv_tb" fromColumn="team_id" toTable="team_tb" toColumn="id"/>
          <x15:modelRelationship fromTable="ctnv_tb" fromColumn="nhiemvu_id" toTable="nv_tb" toColumn="id"/>
        </x15:modelRelationships>
      </x15:dataModel>
    </ext>
  </extLst>
</workbook>
</file>

<file path=xl/calcChain.xml><?xml version="1.0" encoding="utf-8"?>
<calcChain xmlns="http://schemas.openxmlformats.org/spreadsheetml/2006/main">
  <c r="C38" i="21" l="1"/>
  <c r="C39" i="21"/>
  <c r="C40" i="21"/>
  <c r="C41" i="21"/>
  <c r="C42" i="21"/>
  <c r="C43" i="21"/>
  <c r="C44" i="21"/>
  <c r="C28" i="21"/>
  <c r="C29" i="21"/>
  <c r="C30" i="21"/>
  <c r="C31" i="21"/>
  <c r="C32" i="21"/>
  <c r="C33" i="21"/>
  <c r="C34" i="21"/>
  <c r="C35" i="21"/>
  <c r="C36" i="21"/>
  <c r="C37" i="21"/>
  <c r="C27" i="21"/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assignment_type.odc" name="postgres assignment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assignment_type&quot;"/>
  </connection>
  <connection id="2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3" odcFile="C:\Users\tga\Documents\My Data Sources\postgres chitiet_nhiemvu.odc" name="postgres chitiet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hitiet_nhiemvu&quot;"/>
  </connection>
  <connection id="4" odcFile="C:\Users\tga\Documents\My Data Sources\postgres hanmuc_nhiemvu.odc" name="postgres hanmuc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hanmuc_nhiemvu&quot;"/>
  </connection>
  <connection id="5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6" odcFile="C:\Users\tga\Documents\My Data Sources\postgres ledger_details.odc" name="postgres ledger_detail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_details&quot;"/>
  </connection>
  <connection id="7" odcFile="C:\Users\tga\Documents\My Data Sources\postgres ledgers.odc" name="postgres ledger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s&quot;"/>
  </connection>
  <connection id="8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9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10" odcFile="C:\Users\tga\Documents\My Data Sources\postgres nhiemvu.odc" name="postgres 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&quot;"/>
  </connection>
  <connection id="11" odcFile="C:\Users\tga\Documents\My Data Sources\postgres nhiemvu_reporter.odc" name="postgres nhiemvu_reporter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_reporter&quot;"/>
  </connection>
  <connection id="12" odcFile="C:\Users\tga\Documents\My Data Sources\postgres petroleum_type.odc" name="postgres petroleum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petroleum_type&quot;"/>
  </connection>
  <connection id="13" odcFile="C:\Users\tga\Documents\My Data Sources\postgres team.odc" name="postgres team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eam&quot;"/>
  </connection>
  <connection id="14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15" keepAlive="1" name="Query - hanmuc_nhiemvu" description="Connection to the 'hanmuc_nhiemvu' query in the workbook." type="5" refreshedVersion="6" background="1" saveData="1">
    <dbPr connection="Provider=Microsoft.Mashup.OleDb.1;Data Source=$Workbook$;Location=hanmuc_nhiemvu;Extended Properties=&quot;&quot;" command="SELECT * FROM [hanmuc_nhiemvu]"/>
  </connection>
  <connection id="16" keepAlive="1" name="Query - ledger_detail (2)" description="Connection to the 'ledger_detail (2)' query in the workbook." type="5" refreshedVersion="0" background="1">
    <dbPr connection="Provider=Microsoft.Mashup.OleDb.1;Data Source=$Workbook$;Location=&quot;ledger_detail (2)&quot;" command="SELECT * FROM [ledger_detail (2)]"/>
  </connection>
  <connection id="17" keepAlive="1" name="Query - ledger_detail (3)" description="Connection to the 'ledger_detail (3)' query in the workbook." type="5" refreshedVersion="6" background="1" saveData="1">
    <dbPr connection="Provider=Microsoft.Mashup.OleDb.1;Data Source=$Workbook$;Location=ledger_detail (3);Extended Properties=&quot;&quot;" command="SELECT * FROM [ledger_detail (3)]"/>
  </connection>
  <connection id="18" keepAlive="1" name="Query - nv_tb" description="Connection to the 'nv_tb' query in the workbook." type="5" refreshedVersion="0" background="1">
    <dbPr connection="Provider=Microsoft.Mashup.OleDb.1;Data Source=$Workbook$;Location=nv_tb" command="SELECT * FROM [nv_tb]"/>
  </connection>
  <connection id="19" keepAlive="1" name="Query - tb_nguon_nx" description="Connection to the 'tb_nguon_nx' query in the workbook." type="5" refreshedVersion="0" background="1">
    <dbPr connection="Provider=Microsoft.Mashup.OleDb.1;Data Source=$Workbook$;Location=tb_nguon_nx" command="SELECT * FROM [tb_nguon_nx]"/>
  </connection>
  <connection id="20" keepAlive="1" name="Query - team_tb" description="Connection to the 'team_tb' query in the workbook." type="5" refreshedVersion="0" background="1">
    <dbPr connection="Provider=Microsoft.Mashup.OleDb.1;Data Source=$Workbook$;Location=team_tb" command="SELECT * FROM [team_tb]"/>
  </connection>
  <connection id="2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name="WorksheetConnection_data3.xlsm!ctnv_tb" type="102" refreshedVersion="6" minRefreshableVersion="5">
    <extLst>
      <ext xmlns:x15="http://schemas.microsoft.com/office/spreadsheetml/2010/11/main" uri="{DE250136-89BD-433C-8126-D09CA5730AF9}">
        <x15:connection id="ctnv_tb">
          <x15:rangePr sourceName="_xlcn.WorksheetConnection_data3.xlsmctnv_tb1"/>
        </x15:connection>
      </ext>
    </extLst>
  </connection>
  <connection id="23" name="WorksheetConnection_data3.xlsm!nv_tb" type="102" refreshedVersion="6" minRefreshableVersion="5">
    <extLst>
      <ext xmlns:x15="http://schemas.microsoft.com/office/spreadsheetml/2010/11/main" uri="{DE250136-89BD-433C-8126-D09CA5730AF9}">
        <x15:connection id="nv_tb">
          <x15:rangePr sourceName="_xlcn.WorksheetConnection_data3.xlsmnv_tb1"/>
        </x15:connection>
      </ext>
    </extLst>
  </connection>
  <connection id="24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25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26" name="WorksheetConnection_data3.xlsm!team_tb" type="102" refreshedVersion="6" minRefreshableVersion="5">
    <extLst>
      <ext xmlns:x15="http://schemas.microsoft.com/office/spreadsheetml/2010/11/main" uri="{DE250136-89BD-433C-8126-D09CA5730AF9}">
        <x15:connection id="team_tb">
          <x15:rangePr sourceName="_xlcn.WorksheetConnection_data3.xlsmteam_tb1"/>
        </x15:connection>
      </ext>
    </extLst>
  </connection>
</connections>
</file>

<file path=xl/sharedStrings.xml><?xml version="1.0" encoding="utf-8"?>
<sst xmlns="http://schemas.openxmlformats.org/spreadsheetml/2006/main" count="2737" uniqueCount="454">
  <si>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</si>
  <si>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</si>
  <si>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</si>
  <si>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</si>
  <si>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</si>
  <si>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</si>
  <si>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</si>
  <si>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</si>
  <si>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</si>
  <si>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</si>
  <si>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</si>
  <si>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</si>
  <si>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</si>
  <si>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</si>
  <si>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</si>
  <si>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</si>
  <si>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</si>
  <si>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</si>
  <si>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</si>
  <si>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</si>
  <si>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</si>
  <si>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</si>
  <si>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</si>
  <si>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</si>
  <si>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</si>
  <si>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</si>
  <si>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</si>
  <si>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</si>
  <si>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</si>
  <si>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</si>
  <si>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</si>
  <si>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</si>
  <si>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</si>
  <si>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</si>
  <si>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</si>
  <si>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phuongtien_id</t>
  </si>
  <si>
    <t>phuongtien_nvu_id</t>
  </si>
  <si>
    <t>so_phut</t>
  </si>
  <si>
    <t>tonkhotong_id</t>
  </si>
  <si>
    <t>tonkho_id</t>
  </si>
  <si>
    <t>f Bộ</t>
  </si>
  <si>
    <t>XANG E5 RON92</t>
  </si>
  <si>
    <t>Nhập hạn mức</t>
  </si>
  <si>
    <t>0</t>
  </si>
  <si>
    <t>Kho 190</t>
  </si>
  <si>
    <t>Xăng A80</t>
  </si>
  <si>
    <t>Kho 671</t>
  </si>
  <si>
    <t>Lukoi 15W-40</t>
  </si>
  <si>
    <t>Dầu MC-20</t>
  </si>
  <si>
    <t/>
  </si>
  <si>
    <t>Kho K99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</si>
  <si>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</si>
  <si>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</si>
  <si>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</si>
  <si>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</si>
  <si>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</si>
  <si>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</si>
  <si>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</si>
  <si>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</si>
  <si>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</si>
  <si>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</si>
  <si>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</si>
  <si>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</si>
  <si>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</si>
  <si>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</si>
  <si>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</si>
  <si>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</si>
  <si>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</si>
  <si>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</si>
  <si>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</si>
  <si>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</si>
  <si>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</si>
  <si>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</si>
  <si>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</si>
  <si>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</si>
  <si>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</si>
  <si>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</si>
  <si>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</si>
  <si>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</si>
  <si>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</si>
  <si>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</si>
  <si>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</si>
  <si>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</si>
  <si>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</si>
  <si>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</si>
  <si>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</si>
  <si>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</si>
  <si>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</si>
  <si>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</si>
  <si>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</si>
  <si>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</si>
  <si>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</si>
  <si>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</si>
  <si>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</si>
  <si>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</si>
  <si>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</si>
  <si>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</si>
  <si>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</si>
  <si>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</si>
  <si>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</si>
  <si>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</si>
  <si>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</si>
  <si>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</si>
  <si>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</si>
  <si>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</si>
  <si>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</si>
  <si>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</si>
  <si>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</si>
  <si>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</si>
  <si>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</si>
  <si>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</si>
  <si>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</si>
  <si>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</si>
  <si>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</si>
  <si>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</si>
  <si>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</si>
  <si>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</si>
  <si>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</si>
  <si>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</si>
  <si>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</si>
  <si>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</si>
  <si>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</si>
  <si>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</si>
  <si>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</si>
  <si>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</si>
  <si>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</si>
  <si>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</si>
  <si>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</si>
  <si>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Tiêu thụ cho xe, máy</t>
  </si>
  <si>
    <t>tt_xm</t>
  </si>
  <si>
    <t>XUAT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</si>
  <si>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</si>
  <si>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</si>
  <si>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</si>
  <si>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</si>
  <si>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</si>
  <si>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</si>
  <si>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</si>
  <si>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</si>
  <si>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</si>
  <si>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</si>
  <si>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</si>
  <si>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</si>
  <si>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ten</t>
  </si>
  <si>
    <t>createtime</t>
  </si>
  <si>
    <t>2024-08-29</t>
  </si>
  <si>
    <t>Kho 661</t>
  </si>
  <si>
    <t>09-09-2024</t>
  </si>
  <si>
    <t>Kho K14 cap</t>
  </si>
  <si>
    <t>f370</t>
  </si>
  <si>
    <t>f372</t>
  </si>
  <si>
    <t>Trường SQKQ</t>
  </si>
  <si>
    <t>Bộ tham mưu</t>
  </si>
  <si>
    <t>Lữ đoàn 918</t>
  </si>
  <si>
    <t>Công ty XDQD</t>
  </si>
  <si>
    <t>Cty XD PVOil HP</t>
  </si>
  <si>
    <t>Viettel S125VT</t>
  </si>
  <si>
    <t>Đổi hàng DT</t>
  </si>
  <si>
    <t>Cty XD Minh Đức</t>
  </si>
  <si>
    <t>Mua công tác lẻ</t>
  </si>
  <si>
    <t>Cty XD Lưu Nga</t>
  </si>
  <si>
    <t>Hạch toán(NM)</t>
  </si>
  <si>
    <t>QPQT-22</t>
  </si>
  <si>
    <t>Nhà máy A32</t>
  </si>
  <si>
    <t>e921</t>
  </si>
  <si>
    <t>e916</t>
  </si>
  <si>
    <t>e923</t>
  </si>
  <si>
    <t>e927</t>
  </si>
  <si>
    <t>d Kiến An</t>
  </si>
  <si>
    <t>d Vinh</t>
  </si>
  <si>
    <t>d Nà Sản</t>
  </si>
  <si>
    <t>d Nội Bài</t>
  </si>
  <si>
    <t>Hạ cấp</t>
  </si>
  <si>
    <t>Viettel</t>
  </si>
  <si>
    <t>Dự trữ Quốc Gia</t>
  </si>
  <si>
    <t>Column Labels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</si>
  <si>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</si>
  <si>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</si>
  <si>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</si>
  <si>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</si>
  <si>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</si>
  <si>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</si>
  <si>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</si>
  <si>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</si>
  <si>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</si>
  <si>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</si>
  <si>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</si>
  <si>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</si>
  <si>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</si>
  <si>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</si>
  <si>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</si>
  <si>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</si>
  <si>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</si>
  <si>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</si>
  <si>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</si>
  <si>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</si>
  <si>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</si>
  <si>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</si>
  <si>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</si>
  <si>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</si>
  <si>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</si>
  <si>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</si>
  <si>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</si>
  <si>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</si>
  <si>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</si>
  <si>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</si>
  <si>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</si>
  <si>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</si>
  <si>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</si>
  <si>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</si>
  <si>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</si>
  <si>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</si>
  <si>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</si>
  <si>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</si>
  <si>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</si>
  <si>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f nội bộ</t>
  </si>
  <si>
    <t>F nội bộ</t>
  </si>
  <si>
    <t>team_code</t>
  </si>
  <si>
    <t>KHỐI KỸ THUẬT</t>
  </si>
  <si>
    <t>KHOI_KY_THUAT</t>
  </si>
  <si>
    <t>KHỐI CHÍNH TRỊ</t>
  </si>
  <si>
    <t>KHOI_CHINH_TRI</t>
  </si>
  <si>
    <t>KHỐI THAM MƯU</t>
  </si>
  <si>
    <t>KHOI_THAM_MUU</t>
  </si>
  <si>
    <t>KHỐI HẬU CẦN</t>
  </si>
  <si>
    <t>KHOI_HAU_CAN</t>
  </si>
  <si>
    <t>HAO HỤT</t>
  </si>
  <si>
    <t>HAO_HUT</t>
  </si>
  <si>
    <t>ten_nv</t>
  </si>
  <si>
    <t>chitiet</t>
  </si>
  <si>
    <t>hm_trenkhong</t>
  </si>
  <si>
    <t>hm_matdat</t>
  </si>
  <si>
    <t>team_id</t>
  </si>
  <si>
    <t>assignment_type_id</t>
  </si>
  <si>
    <t>Ô tô trạm nguồn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</si>
  <si>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</si>
  <si>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</si>
  <si>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</si>
  <si>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</si>
  <si>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</si>
  <si>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</si>
  <si>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</si>
  <si>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</si>
  <si>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</si>
  <si>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</si>
  <si>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</si>
  <si>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</si>
  <si>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</si>
  <si>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</si>
  <si>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</si>
  <si>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</si>
  <si>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</si>
  <si>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</si>
  <si>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</si>
  <si>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</si>
  <si>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</si>
  <si>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</si>
  <si>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</si>
  <si>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</si>
  <si>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Kiểm tra đảng</t>
  </si>
  <si>
    <t>Công tác chính sách</t>
  </si>
  <si>
    <t>Ăn dưỡng</t>
  </si>
  <si>
    <t>Nghiệp vụ cán bộ</t>
  </si>
  <si>
    <t>Hậu cần đời sống</t>
  </si>
  <si>
    <t>Công tác xăng dầu</t>
  </si>
  <si>
    <t>VC Xăng dầu</t>
  </si>
  <si>
    <t>Công tác vật tư</t>
  </si>
  <si>
    <t>Đảo hạt HC</t>
  </si>
  <si>
    <t>Hậu cần khác</t>
  </si>
  <si>
    <t>Tác chiến</t>
  </si>
  <si>
    <t>Bay nhiệm vụ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</si>
  <si>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</si>
  <si>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</si>
  <si>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</si>
  <si>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</si>
  <si>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</si>
  <si>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</si>
  <si>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</si>
  <si>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nhiemvu</t>
  </si>
  <si>
    <t>HH T.Xuyên</t>
  </si>
  <si>
    <t>VN bay</t>
  </si>
  <si>
    <t>Tác chiến còn lại</t>
  </si>
  <si>
    <t>Nổ máy sscđ</t>
  </si>
  <si>
    <t>HL NV còn lại</t>
  </si>
  <si>
    <t>HL NV PO 6</t>
  </si>
  <si>
    <t>CT Đảng, CTCT</t>
  </si>
  <si>
    <t>Chiếu phim</t>
  </si>
  <si>
    <t>KT Hàng không</t>
  </si>
  <si>
    <t>Cắt cỏ sân bay</t>
  </si>
  <si>
    <t>Trực thăng</t>
  </si>
  <si>
    <t>M.Đất</t>
  </si>
  <si>
    <t>MĐ</t>
  </si>
  <si>
    <t>T.không</t>
  </si>
  <si>
    <t>TK</t>
  </si>
  <si>
    <t>Calculated Field</t>
  </si>
  <si>
    <t>Solve Order</t>
  </si>
  <si>
    <t>Field</t>
  </si>
  <si>
    <t>Formula</t>
  </si>
  <si>
    <t>Calculated Item</t>
  </si>
  <si>
    <t>Item</t>
  </si>
  <si>
    <t>Note:</t>
  </si>
  <si>
    <t>When a cell is updated by more than one formula,</t>
  </si>
  <si>
    <t>the value is set by the formula with the last solve order.</t>
  </si>
  <si>
    <t>To change the solve order for multiple calculated items or fields,</t>
  </si>
  <si>
    <t>on the Options tab, in the Calculations group, click Fields, Items, &amp; Sets, and then click Solve Order.</t>
  </si>
  <si>
    <t>Cộng</t>
  </si>
  <si>
    <t>ledger_id</t>
  </si>
  <si>
    <t>import_unit_id</t>
  </si>
  <si>
    <t>export_unit_id</t>
  </si>
  <si>
    <t>loaigiobay</t>
  </si>
  <si>
    <t>09-11-2024</t>
  </si>
  <si>
    <t>07-11-2024</t>
  </si>
  <si>
    <t>08-11-2024</t>
  </si>
  <si>
    <t>Tác chiến - Bay nhiệm vụ</t>
  </si>
  <si>
    <t>13-11-2024</t>
  </si>
  <si>
    <t>15-11-2024</t>
  </si>
  <si>
    <t>MD</t>
  </si>
  <si>
    <t>Đơn vị, NV Bay</t>
  </si>
  <si>
    <t>Chỉ tiêu giờ bay, HM dầu bay</t>
  </si>
  <si>
    <t>Giờ bay</t>
  </si>
  <si>
    <t>Giờ hoạt động của đ/cơ</t>
  </si>
  <si>
    <t>T.Không</t>
  </si>
  <si>
    <t>Nhiên liệu tiêu thụ</t>
  </si>
  <si>
    <t>H.hụt</t>
  </si>
  <si>
    <t>Tổng cộng</t>
  </si>
  <si>
    <t>So sánh với KH giờ bay và HM</t>
  </si>
  <si>
    <t>N.liệu</t>
  </si>
  <si>
    <t>Còn</t>
  </si>
  <si>
    <t>Quá</t>
  </si>
  <si>
    <t>T.tế T.thụ</t>
  </si>
  <si>
    <t>Theo ĐM</t>
  </si>
  <si>
    <t>So sánh</t>
  </si>
  <si>
    <t>Rút</t>
  </si>
  <si>
    <t>T.lệ MĐ/TK</t>
  </si>
  <si>
    <t>QC PHÒNG KHÔNG - KHÔNG QUÂN 
SƯ ĐOÀN 371</t>
  </si>
  <si>
    <t>BÁO CÁO THANH TOÁN NHIÊN LIỆU BAY THEO KẾ HOẠCH
(Từ ngày 01/01 đến 31/12/2023)</t>
  </si>
  <si>
    <t>Số 1-06/XD-14</t>
  </si>
  <si>
    <t>A</t>
  </si>
  <si>
    <t>Cho Máy bay</t>
  </si>
  <si>
    <t>Su 30MK-2</t>
  </si>
  <si>
    <t>200:20</t>
  </si>
  <si>
    <t>400:40</t>
  </si>
  <si>
    <t>Su 22M3+4</t>
  </si>
  <si>
    <t>B</t>
  </si>
  <si>
    <t>Cộng nhiệm vụ</t>
  </si>
  <si>
    <t>Bù Hao hụt</t>
  </si>
  <si>
    <t>HH T.xuyên</t>
  </si>
  <si>
    <t>C</t>
  </si>
  <si>
    <t>Các đơn vị</t>
  </si>
  <si>
    <t>III</t>
  </si>
  <si>
    <t>-</t>
  </si>
  <si>
    <t>r_type</t>
  </si>
  <si>
    <t>ut2</t>
  </si>
  <si>
    <t>petroleum_type_id</t>
  </si>
  <si>
    <t>DMN</t>
  </si>
  <si>
    <t>XANG-OTO</t>
  </si>
  <si>
    <t>DIEZEL</t>
  </si>
  <si>
    <t>Đơn vị A38</t>
  </si>
  <si>
    <t>Nội bộ f</t>
  </si>
  <si>
    <t>DT cho NVDX</t>
  </si>
  <si>
    <t>SSCD</t>
  </si>
  <si>
    <t>NVDX</t>
  </si>
  <si>
    <t>unit_id</t>
  </si>
  <si>
    <t>ct_tk</t>
  </si>
  <si>
    <t>ct_md</t>
  </si>
  <si>
    <t>sum_ct</t>
  </si>
  <si>
    <t>consumpt</t>
  </si>
  <si>
    <t>bill_id</t>
  </si>
  <si>
    <t>amount</t>
  </si>
  <si>
    <t>from_date</t>
  </si>
  <si>
    <t>end_date</t>
  </si>
  <si>
    <t>bill_type_id</t>
  </si>
  <si>
    <t>So_cai</t>
  </si>
  <si>
    <t>Chi_tiet_so_cai</t>
  </si>
  <si>
    <t>10-11-2024</t>
  </si>
  <si>
    <t>05-11-2024</t>
  </si>
  <si>
    <t>16-11-2024</t>
  </si>
  <si>
    <t>Nhập Quân Chủng</t>
  </si>
  <si>
    <t>Xuất hạn mức</t>
  </si>
  <si>
    <t>Bay đề cao - Bay đề cao</t>
  </si>
  <si>
    <t>dur</t>
  </si>
  <si>
    <t>1234</t>
  </si>
  <si>
    <t>Xuất báo nợ</t>
  </si>
  <si>
    <t>Tác chiến, A2.. - Tác chiến cho bay</t>
  </si>
  <si>
    <t>Bay đề cao - C.gia bay</t>
  </si>
  <si>
    <t>12-11-2024</t>
  </si>
  <si>
    <t>11-11-2024</t>
  </si>
  <si>
    <t>Bay đề cao - VN bay</t>
  </si>
  <si>
    <t>14-11-2024</t>
  </si>
  <si>
    <t>NewColumn.nhiemvu</t>
  </si>
  <si>
    <t>NewColumn.1.ten</t>
  </si>
  <si>
    <t>sum_thucxuat</t>
  </si>
  <si>
    <t>06-11-2024</t>
  </si>
  <si>
    <t>NewColumn.ten</t>
  </si>
  <si>
    <t>NewColumn.nhiemvu_id</t>
  </si>
  <si>
    <t>NewColumn.ten_nv</t>
  </si>
  <si>
    <t>NewColumn.team_id</t>
  </si>
  <si>
    <t>NewColumn.name</t>
  </si>
  <si>
    <t>NewColumn.team_code</t>
  </si>
  <si>
    <t>ct_tk - Copy</t>
  </si>
  <si>
    <t>dur_text</t>
  </si>
  <si>
    <t>23-11-2024</t>
  </si>
  <si>
    <t>Nhập phân cấp</t>
  </si>
  <si>
    <t>2342</t>
  </si>
  <si>
    <t>3242</t>
  </si>
  <si>
    <t>21-11-2024</t>
  </si>
  <si>
    <t>Custom</t>
  </si>
  <si>
    <t>thuc_xuat_tk</t>
  </si>
  <si>
    <t>dur_text_tk</t>
  </si>
  <si>
    <t>9218</t>
  </si>
  <si>
    <t>1231</t>
  </si>
  <si>
    <t>2352</t>
  </si>
  <si>
    <t>2345</t>
  </si>
  <si>
    <t>4884</t>
  </si>
  <si>
    <t>2343</t>
  </si>
  <si>
    <t>7378</t>
  </si>
  <si>
    <t>2921</t>
  </si>
  <si>
    <t>1552</t>
  </si>
  <si>
    <t>3</t>
  </si>
  <si>
    <t>3888</t>
  </si>
  <si>
    <t>8528</t>
  </si>
  <si>
    <t>3727</t>
  </si>
  <si>
    <t>12:05:00</t>
  </si>
  <si>
    <t>0.00:00:00</t>
  </si>
  <si>
    <t>0.12:05:00</t>
  </si>
  <si>
    <t>6630</t>
  </si>
  <si>
    <t>02:11:00</t>
  </si>
  <si>
    <t>0.02:11:00</t>
  </si>
  <si>
    <t>7403</t>
  </si>
  <si>
    <t>02:54:00</t>
  </si>
  <si>
    <t>0.02:54:00</t>
  </si>
  <si>
    <t>3806</t>
  </si>
  <si>
    <t>12:33:00</t>
  </si>
  <si>
    <t>0.12:33:00</t>
  </si>
  <si>
    <t>4703</t>
  </si>
  <si>
    <t>04:20:00</t>
  </si>
  <si>
    <t>0.04:20:00</t>
  </si>
  <si>
    <t>1488</t>
  </si>
  <si>
    <t>3999</t>
  </si>
  <si>
    <t>05:22:00</t>
  </si>
  <si>
    <t>0.05:22:00</t>
  </si>
  <si>
    <t>4393</t>
  </si>
  <si>
    <t>02:03:00</t>
  </si>
  <si>
    <t>0.2:03:00</t>
  </si>
  <si>
    <t>2321</t>
  </si>
  <si>
    <t>03:23:00</t>
  </si>
  <si>
    <t>0.03:23:00</t>
  </si>
  <si>
    <t>04:05:00</t>
  </si>
  <si>
    <t>0.4:05:00</t>
  </si>
  <si>
    <t>thucxuat_md</t>
  </si>
  <si>
    <t>thucxuat_tk</t>
  </si>
  <si>
    <t>dur_md</t>
  </si>
  <si>
    <t>dur_tk</t>
  </si>
  <si>
    <t>sum_dur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</si>
</sst>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;@"/>
    <numFmt numFmtId="165" formatCode="[h]:mm"/>
    <numFmt numFmtId="166" formatCode="d\.hh:mm:ss"/>
  </numFmts>
  <fonts count="6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  <font>
      <b/>
      <i/>
      <sz val="11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14">
    <xf numFmtId="0" fontId="0" fillId="0" borderId="0" xfId="0"/>
    <xf numFmtId="22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164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4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 wrapText="1"/>
    </xf>
    <xf numFmtId="0" fontId="5" fillId="0" borderId="0" xfId="0" applyFont="1"/>
    <xf numFmtId="0" fontId="1" fillId="0" borderId="9" xfId="0" applyFont="1" applyBorder="1"/>
    <xf numFmtId="165" fontId="0" fillId="0" borderId="0" xfId="0" applyNumberFormat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3" fillId="0" borderId="1" xfId="0" applyFont="1" applyBorder="1"/>
    <xf numFmtId="0" fontId="3" fillId="0" borderId="14" xfId="0" applyFont="1" applyBorder="1"/>
    <xf numFmtId="0" fontId="0" fillId="0" borderId="13" xfId="0" applyBorder="1" applyAlignment="1">
      <alignment horizontal="center" vertical="center"/>
    </xf>
    <xf numFmtId="0" fontId="0" fillId="0" borderId="1" xfId="0" applyBorder="1"/>
    <xf numFmtId="0" fontId="0" fillId="0" borderId="14" xfId="0" applyBorder="1"/>
    <xf numFmtId="0" fontId="3" fillId="0" borderId="1" xfId="0" applyNumberFormat="1" applyFont="1" applyBorder="1"/>
    <xf numFmtId="0" fontId="3" fillId="0" borderId="1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3" xfId="0" quotePrefix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3" fontId="3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3" fillId="0" borderId="1" xfId="0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0" fillId="0" borderId="1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0" applyNumberFormat="1"/>
    <xf numFmtId="0" fontId="0" fillId="0" borderId="0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0" fontId="0" fillId="0" borderId="0" xfId="0" pivotButton="1"/>
  </cellXfs>
  <cellStyles count="1">
    <cellStyle name="Normal" xfId="0" builtinId="0"/>
  </cellStyles>
  <dxfs count="179">
    <dxf>
      <numFmt numFmtId="166" formatCode="d\.hh:mm:ss"/>
      <alignment horizontal="center" vertical="center" textRotation="0" wrapText="0" indent="0" justifyLastLine="0" shrinkToFit="0" readingOrder="0"/>
    </dxf>
    <dxf>
      <numFmt numFmtId="166" formatCode="d\.hh:mm:ss"/>
      <alignment horizontal="center" vertical="center" textRotation="0" wrapText="0" indent="0" justifyLastLine="0" shrinkToFit="0" readingOrder="0"/>
    </dxf>
    <dxf>
      <numFmt numFmtId="166" formatCode="d\.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numFmt numFmtId="166" formatCode="d\.hh:mm:ss"/>
    </dxf>
    <dxf>
      <numFmt numFmtId="166" formatCode="d\.hh:mm:ss"/>
    </dxf>
    <dxf>
      <numFmt numFmtId="0" formatCode="General"/>
    </dxf>
    <dxf>
      <numFmt numFmtId="165" formatCode="[h]:mm"/>
    </dxf>
    <dxf>
      <numFmt numFmtId="27" formatCode="m/d/yyyy\ h:mm"/>
    </dxf>
    <dxf>
      <numFmt numFmtId="27" formatCode="m/d/yyyy\ h:mm"/>
    </dxf>
    <dxf>
      <numFmt numFmtId="165" formatCode="[h]:mm"/>
    </dxf>
    <dxf>
      <numFmt numFmtId="0" formatCode="General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178"/>
    </tableStyle>
    <tableStyle name="PivotTable Style 2" table="0" count="2">
      <tableStyleElement type="wholeTable" dxfId="177"/>
      <tableStyleElement type="lastColumn" dxfId="1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42" Type="http://schemas.openxmlformats.org/officeDocument/2006/relationships/customXml" Target="../customXml/item2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openxmlformats.org/officeDocument/2006/relationships/customXml" Target="../customXml/item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ga" refreshedDate="45604.510169560184" createdVersion="6" refreshedVersion="6" minRefreshableVersion="3" recordCount="90">
  <cacheSource type="worksheet">
    <worksheetSource name="hanmuc_nhiemvu_2"/>
  </cacheSource>
  <cacheFields count="17">
    <cacheField name="id" numFmtId="0">
      <sharedItems containsSemiMixedTypes="0" containsString="0" containsNumber="1" containsInteger="1" minValue="91" maxValue="180"/>
    </cacheField>
    <cacheField name="quarter_id" numFmtId="0">
      <sharedItems containsSemiMixedTypes="0" containsString="0" containsNumber="1" containsInteger="1" minValue="20" maxValue="20"/>
    </cacheField>
    <cacheField name="unit_id" numFmtId="0">
      <sharedItems containsSemiMixedTypes="0" containsString="0" containsNumber="1" containsInteger="1" minValue="3" maxValue="54"/>
    </cacheField>
    <cacheField name="nhiemvu_id" numFmtId="0">
      <sharedItems containsSemiMixedTypes="0" containsString="0" containsNumber="1" containsInteger="1" minValue="1" maxValue="9"/>
    </cacheField>
    <cacheField name="NewColumn.ten" numFmtId="0">
      <sharedItems count="9">
        <s v="d Kiến An"/>
        <s v="d Nà Sản"/>
        <s v="d Nội Bài"/>
        <s v="d Vinh"/>
        <s v="e916"/>
        <s v="e921"/>
        <s v="e923"/>
        <s v="e927"/>
        <s v="f Bộ"/>
      </sharedItems>
    </cacheField>
    <cacheField name="ct_tk" numFmtId="166">
      <sharedItems containsSemiMixedTypes="0" containsNonDate="0" containsDate="1" containsString="0" minDate="1899-12-30T20:20:00" maxDate="1899-12-30T20:20:00" count="1">
        <d v="1899-12-30T20:20:00"/>
      </sharedItems>
    </cacheField>
    <cacheField name="ct_md" numFmtId="166">
      <sharedItems containsSemiMixedTypes="0" containsNonDate="0" containsDate="1" containsString="0" minDate="1899-12-30T10:12:00" maxDate="1899-12-30T10:12:00" count="1">
        <d v="1899-12-30T10:12:00"/>
      </sharedItems>
    </cacheField>
    <cacheField name="sum_ct" numFmtId="0">
      <sharedItems count="1">
        <s v="400:40"/>
      </sharedItems>
    </cacheField>
    <cacheField name="consumpt" numFmtId="0">
      <sharedItems containsSemiMixedTypes="0" containsString="0" containsNumber="1" containsInteger="1" minValue="9000" maxValue="9000" count="1">
        <n v="9000"/>
      </sharedItems>
    </cacheField>
    <cacheField name="NewColumn.nhiemvu_id" numFmtId="0">
      <sharedItems containsSemiMixedTypes="0" containsString="0" containsNumber="1" containsInteger="1" minValue="1" maxValue="11"/>
    </cacheField>
    <cacheField name="NewColumn.nhiemvu" numFmtId="0">
      <sharedItems count="8">
        <s v="Bay nhiệm vụ"/>
        <s v="C.gia bay"/>
        <s v="HH DTCĐ"/>
        <s v="HH T.Xuyên"/>
        <s v="Huấn luyện CĐ"/>
        <s v="Nổ máy sscđ"/>
        <s v="Tác chiến còn lại"/>
        <s v="VN bay"/>
      </sharedItems>
    </cacheField>
    <cacheField name="NewColumn.ten_nv" numFmtId="0">
      <sharedItems count="5">
        <s v="Tác chiến"/>
        <s v="Bay đề cao"/>
        <s v="Bù hao hụt"/>
        <s v="Huấn luyện CĐ"/>
        <s v="Tác chiến, A2.."/>
      </sharedItems>
    </cacheField>
    <cacheField name="NewColumn.team_id" numFmtId="0">
      <sharedItems containsSemiMixedTypes="0" containsString="0" containsNumber="1" containsInteger="1" minValue="3" maxValue="3"/>
    </cacheField>
    <cacheField name="NewColumn.name" numFmtId="0">
      <sharedItems count="1">
        <s v="KHỐI THAM MƯU"/>
      </sharedItems>
    </cacheField>
    <cacheField name="NewColumn.team_code" numFmtId="0">
      <sharedItems/>
    </cacheField>
    <cacheField name="ct_tk - Copy" numFmtId="166">
      <sharedItems containsSemiMixedTypes="0" containsNonDate="0" containsDate="1" containsString="0" minDate="1900-01-01T20:10:00" maxDate="1900-01-01T20:10:00"/>
    </cacheField>
    <cacheField name="Custom" numFmtId="166">
      <sharedItems containsSemiMixedTypes="0" containsNonDate="0" containsDate="1" containsString="0" minDate="1899-12-31T06:32:00" maxDate="1899-12-31T06:32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604.738843055558" createdVersion="6" refreshedVersion="6" minRefreshableVersion="3" recordCount="918">
  <cacheSource type="external" connectionId="5"/>
  <cacheFields count="13">
    <cacheField name="id" numFmtId="0" sqlType="4">
      <sharedItems containsSemiMixedTypes="0" containsString="0" containsNumber="1" containsInteger="1" minValue="63756" maxValue="64673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Dầu MC-20"/>
        <s v="Opalgrease No3"/>
        <s v="Dầu MC-8P"/>
        <s v="Dầu B-3V"/>
        <s v="Dầu IPM-10"/>
        <s v="Hypôit (TC Gip)"/>
        <s v="Dầu AMG-10"/>
        <s v="Turbonicoil210A(IPM-10)"/>
        <s v="Aeroshell Fluid41(AMG-10)"/>
        <s v="Grease22"/>
        <s v="Turbonicoil 321(MC8P)"/>
        <s v="Turbonicoil 35M (B3V)"/>
        <s v="Dầu 132-25"/>
        <s v="Grease28 (Mỡ 221)"/>
        <s v="Grease33 (OKB)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44521"/>
    </cacheField>
    <cacheField name="title_lv1" numFmtId="0" sqlType="-10">
      <sharedItems count="14">
        <s v="Trong QC"/>
        <s v="Khác"/>
        <s v="Tổn thất"/>
        <s v="F nội bộ"/>
        <s v="CXD"/>
        <s v="DT cho NV đột xuất"/>
        <s v="DT SSCD"/>
        <s v="Mua P/cấp"/>
        <s v="TT Xe máy"/>
        <s v="Hao hụt"/>
        <s v="Ngoài QC"/>
        <s v="BQ"/>
        <s v="QC"/>
        <s v="Nội bộ f" u="1"/>
      </sharedItems>
    </cacheField>
    <cacheField name="title_lv2" numFmtId="0" sqlType="-10">
      <sharedItems containsBlank="1" count="15">
        <s v="Nhập khác"/>
        <s v="Khác"/>
        <s v="Tổn thất"/>
        <s v="f nội bộ"/>
        <s v="CXD"/>
        <s v="DT cho NV đột xuất"/>
        <s v="DT SSCD"/>
        <s v="Mua P/cấp"/>
        <s v="TT Xe máy"/>
        <s v="Hao hụt"/>
        <s v="Xuất khác"/>
        <s v="BQ"/>
        <s v="QC"/>
        <m u="1"/>
        <s v="Trong QC" u="1"/>
      </sharedItems>
    </cacheField>
    <cacheField name="title_lv3" numFmtId="0" sqlType="-10">
      <sharedItems count="5">
        <s v="Nhập"/>
        <s v="Xuất"/>
        <s v="Tồn đầu kỳ"/>
        <s v="Tồn cuối kỳ"/>
        <s v="" u="1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52"/>
        <n v="54"/>
        <n v="55"/>
        <n v="56"/>
        <n v="59"/>
        <n v="61"/>
        <n v="1"/>
        <n v="2"/>
        <n v="5"/>
        <n v="8"/>
        <n v="10"/>
        <n v="12"/>
        <n v="9"/>
        <n v="53"/>
        <n v="4"/>
        <n v="60"/>
        <n v="16"/>
        <n v="15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">
  <r>
    <n v="121"/>
    <n v="20"/>
    <n v="8"/>
    <n v="1"/>
    <x v="0"/>
    <x v="0"/>
    <x v="0"/>
    <x v="0"/>
    <x v="0"/>
    <n v="1"/>
    <x v="0"/>
    <x v="0"/>
    <n v="3"/>
    <x v="0"/>
    <s v="KHOI_THAM_MUU"/>
    <d v="1900-01-01T20:10:00"/>
    <d v="1899-12-31T06:32:00"/>
  </r>
  <r>
    <n v="127"/>
    <n v="20"/>
    <n v="8"/>
    <n v="5"/>
    <x v="0"/>
    <x v="0"/>
    <x v="0"/>
    <x v="0"/>
    <x v="0"/>
    <n v="9"/>
    <x v="1"/>
    <x v="1"/>
    <n v="3"/>
    <x v="0"/>
    <s v="KHOI_THAM_MUU"/>
    <d v="1900-01-01T20:10:00"/>
    <d v="1899-12-31T06:32:00"/>
  </r>
  <r>
    <n v="130"/>
    <n v="20"/>
    <n v="8"/>
    <n v="3"/>
    <x v="0"/>
    <x v="0"/>
    <x v="0"/>
    <x v="0"/>
    <x v="0"/>
    <n v="6"/>
    <x v="2"/>
    <x v="2"/>
    <n v="3"/>
    <x v="0"/>
    <s v="KHOI_THAM_MUU"/>
    <d v="1900-01-01T20:10:00"/>
    <d v="1899-12-31T06:32:00"/>
  </r>
  <r>
    <n v="129"/>
    <n v="20"/>
    <n v="8"/>
    <n v="4"/>
    <x v="0"/>
    <x v="0"/>
    <x v="0"/>
    <x v="0"/>
    <x v="0"/>
    <n v="6"/>
    <x v="3"/>
    <x v="2"/>
    <n v="3"/>
    <x v="0"/>
    <s v="KHOI_THAM_MUU"/>
    <d v="1900-01-01T20:10:00"/>
    <d v="1899-12-31T06:32:00"/>
  </r>
  <r>
    <n v="122"/>
    <n v="20"/>
    <n v="8"/>
    <n v="2"/>
    <x v="0"/>
    <x v="0"/>
    <x v="0"/>
    <x v="0"/>
    <x v="0"/>
    <n v="2"/>
    <x v="4"/>
    <x v="3"/>
    <n v="3"/>
    <x v="0"/>
    <s v="KHOI_THAM_MUU"/>
    <d v="1900-01-01T20:10:00"/>
    <d v="1899-12-31T06:32:00"/>
  </r>
  <r>
    <n v="125"/>
    <n v="20"/>
    <n v="8"/>
    <n v="9"/>
    <x v="0"/>
    <x v="0"/>
    <x v="0"/>
    <x v="0"/>
    <x v="0"/>
    <n v="11"/>
    <x v="5"/>
    <x v="4"/>
    <n v="3"/>
    <x v="0"/>
    <s v="KHOI_THAM_MUU"/>
    <d v="1900-01-01T20:10:00"/>
    <d v="1899-12-31T06:32:00"/>
  </r>
  <r>
    <n v="126"/>
    <n v="20"/>
    <n v="8"/>
    <n v="9"/>
    <x v="0"/>
    <x v="0"/>
    <x v="0"/>
    <x v="0"/>
    <x v="0"/>
    <n v="11"/>
    <x v="5"/>
    <x v="4"/>
    <n v="3"/>
    <x v="0"/>
    <s v="KHOI_THAM_MUU"/>
    <d v="1900-01-01T20:10:00"/>
    <d v="1899-12-31T06:32:00"/>
  </r>
  <r>
    <n v="128"/>
    <n v="20"/>
    <n v="8"/>
    <n v="8"/>
    <x v="0"/>
    <x v="0"/>
    <x v="0"/>
    <x v="0"/>
    <x v="0"/>
    <n v="11"/>
    <x v="6"/>
    <x v="4"/>
    <n v="3"/>
    <x v="0"/>
    <s v="KHOI_THAM_MUU"/>
    <d v="1900-01-01T20:10:00"/>
    <d v="1899-12-31T06:32:00"/>
  </r>
  <r>
    <n v="123"/>
    <n v="20"/>
    <n v="8"/>
    <n v="6"/>
    <x v="0"/>
    <x v="0"/>
    <x v="0"/>
    <x v="0"/>
    <x v="0"/>
    <n v="9"/>
    <x v="7"/>
    <x v="1"/>
    <n v="3"/>
    <x v="0"/>
    <s v="KHOI_THAM_MUU"/>
    <d v="1900-01-01T20:10:00"/>
    <d v="1899-12-31T06:32:00"/>
  </r>
  <r>
    <n v="124"/>
    <n v="20"/>
    <n v="8"/>
    <n v="6"/>
    <x v="0"/>
    <x v="0"/>
    <x v="0"/>
    <x v="0"/>
    <x v="0"/>
    <n v="9"/>
    <x v="7"/>
    <x v="1"/>
    <n v="3"/>
    <x v="0"/>
    <s v="KHOI_THAM_MUU"/>
    <d v="1900-01-01T20:10:00"/>
    <d v="1899-12-31T06:32:00"/>
  </r>
  <r>
    <n v="101"/>
    <n v="20"/>
    <n v="10"/>
    <n v="1"/>
    <x v="1"/>
    <x v="0"/>
    <x v="0"/>
    <x v="0"/>
    <x v="0"/>
    <n v="1"/>
    <x v="0"/>
    <x v="0"/>
    <n v="3"/>
    <x v="0"/>
    <s v="KHOI_THAM_MUU"/>
    <d v="1900-01-01T20:10:00"/>
    <d v="1899-12-31T06:32:00"/>
  </r>
  <r>
    <n v="107"/>
    <n v="20"/>
    <n v="10"/>
    <n v="5"/>
    <x v="1"/>
    <x v="0"/>
    <x v="0"/>
    <x v="0"/>
    <x v="0"/>
    <n v="9"/>
    <x v="1"/>
    <x v="1"/>
    <n v="3"/>
    <x v="0"/>
    <s v="KHOI_THAM_MUU"/>
    <d v="1900-01-01T20:10:00"/>
    <d v="1899-12-31T06:32:00"/>
  </r>
  <r>
    <n v="110"/>
    <n v="20"/>
    <n v="10"/>
    <n v="3"/>
    <x v="1"/>
    <x v="0"/>
    <x v="0"/>
    <x v="0"/>
    <x v="0"/>
    <n v="6"/>
    <x v="2"/>
    <x v="2"/>
    <n v="3"/>
    <x v="0"/>
    <s v="KHOI_THAM_MUU"/>
    <d v="1900-01-01T20:10:00"/>
    <d v="1899-12-31T06:32:00"/>
  </r>
  <r>
    <n v="109"/>
    <n v="20"/>
    <n v="10"/>
    <n v="4"/>
    <x v="1"/>
    <x v="0"/>
    <x v="0"/>
    <x v="0"/>
    <x v="0"/>
    <n v="6"/>
    <x v="3"/>
    <x v="2"/>
    <n v="3"/>
    <x v="0"/>
    <s v="KHOI_THAM_MUU"/>
    <d v="1900-01-01T20:10:00"/>
    <d v="1899-12-31T06:32:00"/>
  </r>
  <r>
    <n v="102"/>
    <n v="20"/>
    <n v="10"/>
    <n v="2"/>
    <x v="1"/>
    <x v="0"/>
    <x v="0"/>
    <x v="0"/>
    <x v="0"/>
    <n v="2"/>
    <x v="4"/>
    <x v="3"/>
    <n v="3"/>
    <x v="0"/>
    <s v="KHOI_THAM_MUU"/>
    <d v="1900-01-01T20:10:00"/>
    <d v="1899-12-31T06:32:00"/>
  </r>
  <r>
    <n v="105"/>
    <n v="20"/>
    <n v="10"/>
    <n v="9"/>
    <x v="1"/>
    <x v="0"/>
    <x v="0"/>
    <x v="0"/>
    <x v="0"/>
    <n v="11"/>
    <x v="5"/>
    <x v="4"/>
    <n v="3"/>
    <x v="0"/>
    <s v="KHOI_THAM_MUU"/>
    <d v="1900-01-01T20:10:00"/>
    <d v="1899-12-31T06:32:00"/>
  </r>
  <r>
    <n v="106"/>
    <n v="20"/>
    <n v="10"/>
    <n v="9"/>
    <x v="1"/>
    <x v="0"/>
    <x v="0"/>
    <x v="0"/>
    <x v="0"/>
    <n v="11"/>
    <x v="5"/>
    <x v="4"/>
    <n v="3"/>
    <x v="0"/>
    <s v="KHOI_THAM_MUU"/>
    <d v="1900-01-01T20:10:00"/>
    <d v="1899-12-31T06:32:00"/>
  </r>
  <r>
    <n v="108"/>
    <n v="20"/>
    <n v="10"/>
    <n v="8"/>
    <x v="1"/>
    <x v="0"/>
    <x v="0"/>
    <x v="0"/>
    <x v="0"/>
    <n v="11"/>
    <x v="6"/>
    <x v="4"/>
    <n v="3"/>
    <x v="0"/>
    <s v="KHOI_THAM_MUU"/>
    <d v="1900-01-01T20:10:00"/>
    <d v="1899-12-31T06:32:00"/>
  </r>
  <r>
    <n v="103"/>
    <n v="20"/>
    <n v="10"/>
    <n v="6"/>
    <x v="1"/>
    <x v="0"/>
    <x v="0"/>
    <x v="0"/>
    <x v="0"/>
    <n v="9"/>
    <x v="7"/>
    <x v="1"/>
    <n v="3"/>
    <x v="0"/>
    <s v="KHOI_THAM_MUU"/>
    <d v="1900-01-01T20:10:00"/>
    <d v="1899-12-31T06:32:00"/>
  </r>
  <r>
    <n v="104"/>
    <n v="20"/>
    <n v="10"/>
    <n v="6"/>
    <x v="1"/>
    <x v="0"/>
    <x v="0"/>
    <x v="0"/>
    <x v="0"/>
    <n v="9"/>
    <x v="7"/>
    <x v="1"/>
    <n v="3"/>
    <x v="0"/>
    <s v="KHOI_THAM_MUU"/>
    <d v="1900-01-01T20:10:00"/>
    <d v="1899-12-31T06:32:00"/>
  </r>
  <r>
    <n v="91"/>
    <n v="20"/>
    <n v="28"/>
    <n v="1"/>
    <x v="2"/>
    <x v="0"/>
    <x v="0"/>
    <x v="0"/>
    <x v="0"/>
    <n v="1"/>
    <x v="0"/>
    <x v="0"/>
    <n v="3"/>
    <x v="0"/>
    <s v="KHOI_THAM_MUU"/>
    <d v="1900-01-01T20:10:00"/>
    <d v="1899-12-31T06:32:00"/>
  </r>
  <r>
    <n v="97"/>
    <n v="20"/>
    <n v="28"/>
    <n v="5"/>
    <x v="2"/>
    <x v="0"/>
    <x v="0"/>
    <x v="0"/>
    <x v="0"/>
    <n v="9"/>
    <x v="1"/>
    <x v="1"/>
    <n v="3"/>
    <x v="0"/>
    <s v="KHOI_THAM_MUU"/>
    <d v="1900-01-01T20:10:00"/>
    <d v="1899-12-31T06:32:00"/>
  </r>
  <r>
    <n v="100"/>
    <n v="20"/>
    <n v="28"/>
    <n v="3"/>
    <x v="2"/>
    <x v="0"/>
    <x v="0"/>
    <x v="0"/>
    <x v="0"/>
    <n v="6"/>
    <x v="2"/>
    <x v="2"/>
    <n v="3"/>
    <x v="0"/>
    <s v="KHOI_THAM_MUU"/>
    <d v="1900-01-01T20:10:00"/>
    <d v="1899-12-31T06:32:00"/>
  </r>
  <r>
    <n v="99"/>
    <n v="20"/>
    <n v="28"/>
    <n v="4"/>
    <x v="2"/>
    <x v="0"/>
    <x v="0"/>
    <x v="0"/>
    <x v="0"/>
    <n v="6"/>
    <x v="3"/>
    <x v="2"/>
    <n v="3"/>
    <x v="0"/>
    <s v="KHOI_THAM_MUU"/>
    <d v="1900-01-01T20:10:00"/>
    <d v="1899-12-31T06:32:00"/>
  </r>
  <r>
    <n v="92"/>
    <n v="20"/>
    <n v="28"/>
    <n v="2"/>
    <x v="2"/>
    <x v="0"/>
    <x v="0"/>
    <x v="0"/>
    <x v="0"/>
    <n v="2"/>
    <x v="4"/>
    <x v="3"/>
    <n v="3"/>
    <x v="0"/>
    <s v="KHOI_THAM_MUU"/>
    <d v="1900-01-01T20:10:00"/>
    <d v="1899-12-31T06:32:00"/>
  </r>
  <r>
    <n v="95"/>
    <n v="20"/>
    <n v="28"/>
    <n v="9"/>
    <x v="2"/>
    <x v="0"/>
    <x v="0"/>
    <x v="0"/>
    <x v="0"/>
    <n v="11"/>
    <x v="5"/>
    <x v="4"/>
    <n v="3"/>
    <x v="0"/>
    <s v="KHOI_THAM_MUU"/>
    <d v="1900-01-01T20:10:00"/>
    <d v="1899-12-31T06:32:00"/>
  </r>
  <r>
    <n v="96"/>
    <n v="20"/>
    <n v="28"/>
    <n v="9"/>
    <x v="2"/>
    <x v="0"/>
    <x v="0"/>
    <x v="0"/>
    <x v="0"/>
    <n v="11"/>
    <x v="5"/>
    <x v="4"/>
    <n v="3"/>
    <x v="0"/>
    <s v="KHOI_THAM_MUU"/>
    <d v="1900-01-01T20:10:00"/>
    <d v="1899-12-31T06:32:00"/>
  </r>
  <r>
    <n v="98"/>
    <n v="20"/>
    <n v="28"/>
    <n v="8"/>
    <x v="2"/>
    <x v="0"/>
    <x v="0"/>
    <x v="0"/>
    <x v="0"/>
    <n v="11"/>
    <x v="6"/>
    <x v="4"/>
    <n v="3"/>
    <x v="0"/>
    <s v="KHOI_THAM_MUU"/>
    <d v="1900-01-01T20:10:00"/>
    <d v="1899-12-31T06:32:00"/>
  </r>
  <r>
    <n v="93"/>
    <n v="20"/>
    <n v="28"/>
    <n v="6"/>
    <x v="2"/>
    <x v="0"/>
    <x v="0"/>
    <x v="0"/>
    <x v="0"/>
    <n v="9"/>
    <x v="7"/>
    <x v="1"/>
    <n v="3"/>
    <x v="0"/>
    <s v="KHOI_THAM_MUU"/>
    <d v="1900-01-01T20:10:00"/>
    <d v="1899-12-31T06:32:00"/>
  </r>
  <r>
    <n v="94"/>
    <n v="20"/>
    <n v="28"/>
    <n v="6"/>
    <x v="2"/>
    <x v="0"/>
    <x v="0"/>
    <x v="0"/>
    <x v="0"/>
    <n v="9"/>
    <x v="7"/>
    <x v="1"/>
    <n v="3"/>
    <x v="0"/>
    <s v="KHOI_THAM_MUU"/>
    <d v="1900-01-01T20:10:00"/>
    <d v="1899-12-31T06:32:00"/>
  </r>
  <r>
    <n v="111"/>
    <n v="20"/>
    <n v="9"/>
    <n v="1"/>
    <x v="3"/>
    <x v="0"/>
    <x v="0"/>
    <x v="0"/>
    <x v="0"/>
    <n v="1"/>
    <x v="0"/>
    <x v="0"/>
    <n v="3"/>
    <x v="0"/>
    <s v="KHOI_THAM_MUU"/>
    <d v="1900-01-01T20:10:00"/>
    <d v="1899-12-31T06:32:00"/>
  </r>
  <r>
    <n v="117"/>
    <n v="20"/>
    <n v="9"/>
    <n v="5"/>
    <x v="3"/>
    <x v="0"/>
    <x v="0"/>
    <x v="0"/>
    <x v="0"/>
    <n v="9"/>
    <x v="1"/>
    <x v="1"/>
    <n v="3"/>
    <x v="0"/>
    <s v="KHOI_THAM_MUU"/>
    <d v="1900-01-01T20:10:00"/>
    <d v="1899-12-31T06:32:00"/>
  </r>
  <r>
    <n v="120"/>
    <n v="20"/>
    <n v="9"/>
    <n v="3"/>
    <x v="3"/>
    <x v="0"/>
    <x v="0"/>
    <x v="0"/>
    <x v="0"/>
    <n v="6"/>
    <x v="2"/>
    <x v="2"/>
    <n v="3"/>
    <x v="0"/>
    <s v="KHOI_THAM_MUU"/>
    <d v="1900-01-01T20:10:00"/>
    <d v="1899-12-31T06:32:00"/>
  </r>
  <r>
    <n v="119"/>
    <n v="20"/>
    <n v="9"/>
    <n v="4"/>
    <x v="3"/>
    <x v="0"/>
    <x v="0"/>
    <x v="0"/>
    <x v="0"/>
    <n v="6"/>
    <x v="3"/>
    <x v="2"/>
    <n v="3"/>
    <x v="0"/>
    <s v="KHOI_THAM_MUU"/>
    <d v="1900-01-01T20:10:00"/>
    <d v="1899-12-31T06:32:00"/>
  </r>
  <r>
    <n v="112"/>
    <n v="20"/>
    <n v="9"/>
    <n v="2"/>
    <x v="3"/>
    <x v="0"/>
    <x v="0"/>
    <x v="0"/>
    <x v="0"/>
    <n v="2"/>
    <x v="4"/>
    <x v="3"/>
    <n v="3"/>
    <x v="0"/>
    <s v="KHOI_THAM_MUU"/>
    <d v="1900-01-01T20:10:00"/>
    <d v="1899-12-31T06:32:00"/>
  </r>
  <r>
    <n v="115"/>
    <n v="20"/>
    <n v="9"/>
    <n v="9"/>
    <x v="3"/>
    <x v="0"/>
    <x v="0"/>
    <x v="0"/>
    <x v="0"/>
    <n v="11"/>
    <x v="5"/>
    <x v="4"/>
    <n v="3"/>
    <x v="0"/>
    <s v="KHOI_THAM_MUU"/>
    <d v="1900-01-01T20:10:00"/>
    <d v="1899-12-31T06:32:00"/>
  </r>
  <r>
    <n v="116"/>
    <n v="20"/>
    <n v="9"/>
    <n v="9"/>
    <x v="3"/>
    <x v="0"/>
    <x v="0"/>
    <x v="0"/>
    <x v="0"/>
    <n v="11"/>
    <x v="5"/>
    <x v="4"/>
    <n v="3"/>
    <x v="0"/>
    <s v="KHOI_THAM_MUU"/>
    <d v="1900-01-01T20:10:00"/>
    <d v="1899-12-31T06:32:00"/>
  </r>
  <r>
    <n v="118"/>
    <n v="20"/>
    <n v="9"/>
    <n v="8"/>
    <x v="3"/>
    <x v="0"/>
    <x v="0"/>
    <x v="0"/>
    <x v="0"/>
    <n v="11"/>
    <x v="6"/>
    <x v="4"/>
    <n v="3"/>
    <x v="0"/>
    <s v="KHOI_THAM_MUU"/>
    <d v="1900-01-01T20:10:00"/>
    <d v="1899-12-31T06:32:00"/>
  </r>
  <r>
    <n v="113"/>
    <n v="20"/>
    <n v="9"/>
    <n v="6"/>
    <x v="3"/>
    <x v="0"/>
    <x v="0"/>
    <x v="0"/>
    <x v="0"/>
    <n v="9"/>
    <x v="7"/>
    <x v="1"/>
    <n v="3"/>
    <x v="0"/>
    <s v="KHOI_THAM_MUU"/>
    <d v="1900-01-01T20:10:00"/>
    <d v="1899-12-31T06:32:00"/>
  </r>
  <r>
    <n v="114"/>
    <n v="20"/>
    <n v="9"/>
    <n v="6"/>
    <x v="3"/>
    <x v="0"/>
    <x v="0"/>
    <x v="0"/>
    <x v="0"/>
    <n v="9"/>
    <x v="7"/>
    <x v="1"/>
    <n v="3"/>
    <x v="0"/>
    <s v="KHOI_THAM_MUU"/>
    <d v="1900-01-01T20:10:00"/>
    <d v="1899-12-31T06:32:00"/>
  </r>
  <r>
    <n v="157"/>
    <n v="20"/>
    <n v="4"/>
    <n v="5"/>
    <x v="4"/>
    <x v="0"/>
    <x v="0"/>
    <x v="0"/>
    <x v="0"/>
    <n v="9"/>
    <x v="1"/>
    <x v="1"/>
    <n v="3"/>
    <x v="0"/>
    <s v="KHOI_THAM_MUU"/>
    <d v="1900-01-01T20:10:00"/>
    <d v="1899-12-31T06:32:00"/>
  </r>
  <r>
    <n v="153"/>
    <n v="20"/>
    <n v="4"/>
    <n v="6"/>
    <x v="4"/>
    <x v="0"/>
    <x v="0"/>
    <x v="0"/>
    <x v="0"/>
    <n v="9"/>
    <x v="7"/>
    <x v="1"/>
    <n v="3"/>
    <x v="0"/>
    <s v="KHOI_THAM_MUU"/>
    <d v="1900-01-01T20:10:00"/>
    <d v="1899-12-31T06:32:00"/>
  </r>
  <r>
    <n v="154"/>
    <n v="20"/>
    <n v="4"/>
    <n v="6"/>
    <x v="4"/>
    <x v="0"/>
    <x v="0"/>
    <x v="0"/>
    <x v="0"/>
    <n v="9"/>
    <x v="7"/>
    <x v="1"/>
    <n v="3"/>
    <x v="0"/>
    <s v="KHOI_THAM_MUU"/>
    <d v="1900-01-01T20:10:00"/>
    <d v="1899-12-31T06:32:00"/>
  </r>
  <r>
    <n v="167"/>
    <n v="20"/>
    <n v="3"/>
    <n v="5"/>
    <x v="5"/>
    <x v="0"/>
    <x v="0"/>
    <x v="0"/>
    <x v="0"/>
    <n v="9"/>
    <x v="1"/>
    <x v="1"/>
    <n v="3"/>
    <x v="0"/>
    <s v="KHOI_THAM_MUU"/>
    <d v="1900-01-01T20:10:00"/>
    <d v="1899-12-31T06:32:00"/>
  </r>
  <r>
    <n v="163"/>
    <n v="20"/>
    <n v="3"/>
    <n v="6"/>
    <x v="5"/>
    <x v="0"/>
    <x v="0"/>
    <x v="0"/>
    <x v="0"/>
    <n v="9"/>
    <x v="7"/>
    <x v="1"/>
    <n v="3"/>
    <x v="0"/>
    <s v="KHOI_THAM_MUU"/>
    <d v="1900-01-01T20:10:00"/>
    <d v="1899-12-31T06:32:00"/>
  </r>
  <r>
    <n v="164"/>
    <n v="20"/>
    <n v="3"/>
    <n v="6"/>
    <x v="5"/>
    <x v="0"/>
    <x v="0"/>
    <x v="0"/>
    <x v="0"/>
    <n v="9"/>
    <x v="7"/>
    <x v="1"/>
    <n v="3"/>
    <x v="0"/>
    <s v="KHOI_THAM_MUU"/>
    <d v="1900-01-01T20:10:00"/>
    <d v="1899-12-31T06:32:00"/>
  </r>
  <r>
    <n v="147"/>
    <n v="20"/>
    <n v="5"/>
    <n v="5"/>
    <x v="6"/>
    <x v="0"/>
    <x v="0"/>
    <x v="0"/>
    <x v="0"/>
    <n v="9"/>
    <x v="1"/>
    <x v="1"/>
    <n v="3"/>
    <x v="0"/>
    <s v="KHOI_THAM_MUU"/>
    <d v="1900-01-01T20:10:00"/>
    <d v="1899-12-31T06:32:00"/>
  </r>
  <r>
    <n v="143"/>
    <n v="20"/>
    <n v="5"/>
    <n v="6"/>
    <x v="6"/>
    <x v="0"/>
    <x v="0"/>
    <x v="0"/>
    <x v="0"/>
    <n v="9"/>
    <x v="7"/>
    <x v="1"/>
    <n v="3"/>
    <x v="0"/>
    <s v="KHOI_THAM_MUU"/>
    <d v="1900-01-01T20:10:00"/>
    <d v="1899-12-31T06:32:00"/>
  </r>
  <r>
    <n v="144"/>
    <n v="20"/>
    <n v="5"/>
    <n v="6"/>
    <x v="6"/>
    <x v="0"/>
    <x v="0"/>
    <x v="0"/>
    <x v="0"/>
    <n v="9"/>
    <x v="7"/>
    <x v="1"/>
    <n v="3"/>
    <x v="0"/>
    <s v="KHOI_THAM_MUU"/>
    <d v="1900-01-01T20:10:00"/>
    <d v="1899-12-31T06:32:00"/>
  </r>
  <r>
    <n v="137"/>
    <n v="20"/>
    <n v="6"/>
    <n v="5"/>
    <x v="7"/>
    <x v="0"/>
    <x v="0"/>
    <x v="0"/>
    <x v="0"/>
    <n v="9"/>
    <x v="1"/>
    <x v="1"/>
    <n v="3"/>
    <x v="0"/>
    <s v="KHOI_THAM_MUU"/>
    <d v="1900-01-01T20:10:00"/>
    <d v="1899-12-31T06:32:00"/>
  </r>
  <r>
    <n v="133"/>
    <n v="20"/>
    <n v="6"/>
    <n v="6"/>
    <x v="7"/>
    <x v="0"/>
    <x v="0"/>
    <x v="0"/>
    <x v="0"/>
    <n v="9"/>
    <x v="7"/>
    <x v="1"/>
    <n v="3"/>
    <x v="0"/>
    <s v="KHOI_THAM_MUU"/>
    <d v="1900-01-01T20:10:00"/>
    <d v="1899-12-31T06:32:00"/>
  </r>
  <r>
    <n v="134"/>
    <n v="20"/>
    <n v="6"/>
    <n v="6"/>
    <x v="7"/>
    <x v="0"/>
    <x v="0"/>
    <x v="0"/>
    <x v="0"/>
    <n v="9"/>
    <x v="7"/>
    <x v="1"/>
    <n v="3"/>
    <x v="0"/>
    <s v="KHOI_THAM_MUU"/>
    <d v="1900-01-01T20:10:00"/>
    <d v="1899-12-31T06:32:00"/>
  </r>
  <r>
    <n v="160"/>
    <n v="20"/>
    <n v="4"/>
    <n v="3"/>
    <x v="4"/>
    <x v="0"/>
    <x v="0"/>
    <x v="0"/>
    <x v="0"/>
    <n v="6"/>
    <x v="2"/>
    <x v="2"/>
    <n v="3"/>
    <x v="0"/>
    <s v="KHOI_THAM_MUU"/>
    <d v="1900-01-01T20:10:00"/>
    <d v="1899-12-31T06:32:00"/>
  </r>
  <r>
    <n v="159"/>
    <n v="20"/>
    <n v="4"/>
    <n v="4"/>
    <x v="4"/>
    <x v="0"/>
    <x v="0"/>
    <x v="0"/>
    <x v="0"/>
    <n v="6"/>
    <x v="3"/>
    <x v="2"/>
    <n v="3"/>
    <x v="0"/>
    <s v="KHOI_THAM_MUU"/>
    <d v="1900-01-01T20:10:00"/>
    <d v="1899-12-31T06:32:00"/>
  </r>
  <r>
    <n v="170"/>
    <n v="20"/>
    <n v="3"/>
    <n v="3"/>
    <x v="5"/>
    <x v="0"/>
    <x v="0"/>
    <x v="0"/>
    <x v="0"/>
    <n v="6"/>
    <x v="2"/>
    <x v="2"/>
    <n v="3"/>
    <x v="0"/>
    <s v="KHOI_THAM_MUU"/>
    <d v="1900-01-01T20:10:00"/>
    <d v="1899-12-31T06:32:00"/>
  </r>
  <r>
    <n v="169"/>
    <n v="20"/>
    <n v="3"/>
    <n v="4"/>
    <x v="5"/>
    <x v="0"/>
    <x v="0"/>
    <x v="0"/>
    <x v="0"/>
    <n v="6"/>
    <x v="3"/>
    <x v="2"/>
    <n v="3"/>
    <x v="0"/>
    <s v="KHOI_THAM_MUU"/>
    <d v="1900-01-01T20:10:00"/>
    <d v="1899-12-31T06:32:00"/>
  </r>
  <r>
    <n v="150"/>
    <n v="20"/>
    <n v="5"/>
    <n v="3"/>
    <x v="6"/>
    <x v="0"/>
    <x v="0"/>
    <x v="0"/>
    <x v="0"/>
    <n v="6"/>
    <x v="2"/>
    <x v="2"/>
    <n v="3"/>
    <x v="0"/>
    <s v="KHOI_THAM_MUU"/>
    <d v="1900-01-01T20:10:00"/>
    <d v="1899-12-31T06:32:00"/>
  </r>
  <r>
    <n v="149"/>
    <n v="20"/>
    <n v="5"/>
    <n v="4"/>
    <x v="6"/>
    <x v="0"/>
    <x v="0"/>
    <x v="0"/>
    <x v="0"/>
    <n v="6"/>
    <x v="3"/>
    <x v="2"/>
    <n v="3"/>
    <x v="0"/>
    <s v="KHOI_THAM_MUU"/>
    <d v="1900-01-01T20:10:00"/>
    <d v="1899-12-31T06:32:00"/>
  </r>
  <r>
    <n v="140"/>
    <n v="20"/>
    <n v="6"/>
    <n v="3"/>
    <x v="7"/>
    <x v="0"/>
    <x v="0"/>
    <x v="0"/>
    <x v="0"/>
    <n v="6"/>
    <x v="2"/>
    <x v="2"/>
    <n v="3"/>
    <x v="0"/>
    <s v="KHOI_THAM_MUU"/>
    <d v="1900-01-01T20:10:00"/>
    <d v="1899-12-31T06:32:00"/>
  </r>
  <r>
    <n v="139"/>
    <n v="20"/>
    <n v="6"/>
    <n v="4"/>
    <x v="7"/>
    <x v="0"/>
    <x v="0"/>
    <x v="0"/>
    <x v="0"/>
    <n v="6"/>
    <x v="3"/>
    <x v="2"/>
    <n v="3"/>
    <x v="0"/>
    <s v="KHOI_THAM_MUU"/>
    <d v="1900-01-01T20:10:00"/>
    <d v="1899-12-31T06:32:00"/>
  </r>
  <r>
    <n v="152"/>
    <n v="20"/>
    <n v="4"/>
    <n v="2"/>
    <x v="4"/>
    <x v="0"/>
    <x v="0"/>
    <x v="0"/>
    <x v="0"/>
    <n v="2"/>
    <x v="4"/>
    <x v="3"/>
    <n v="3"/>
    <x v="0"/>
    <s v="KHOI_THAM_MUU"/>
    <d v="1900-01-01T20:10:00"/>
    <d v="1899-12-31T06:32:00"/>
  </r>
  <r>
    <n v="162"/>
    <n v="20"/>
    <n v="3"/>
    <n v="2"/>
    <x v="5"/>
    <x v="0"/>
    <x v="0"/>
    <x v="0"/>
    <x v="0"/>
    <n v="2"/>
    <x v="4"/>
    <x v="3"/>
    <n v="3"/>
    <x v="0"/>
    <s v="KHOI_THAM_MUU"/>
    <d v="1900-01-01T20:10:00"/>
    <d v="1899-12-31T06:32:00"/>
  </r>
  <r>
    <n v="142"/>
    <n v="20"/>
    <n v="5"/>
    <n v="2"/>
    <x v="6"/>
    <x v="0"/>
    <x v="0"/>
    <x v="0"/>
    <x v="0"/>
    <n v="2"/>
    <x v="4"/>
    <x v="3"/>
    <n v="3"/>
    <x v="0"/>
    <s v="KHOI_THAM_MUU"/>
    <d v="1900-01-01T20:10:00"/>
    <d v="1899-12-31T06:32:00"/>
  </r>
  <r>
    <n v="132"/>
    <n v="20"/>
    <n v="6"/>
    <n v="2"/>
    <x v="7"/>
    <x v="0"/>
    <x v="0"/>
    <x v="0"/>
    <x v="0"/>
    <n v="2"/>
    <x v="4"/>
    <x v="3"/>
    <n v="3"/>
    <x v="0"/>
    <s v="KHOI_THAM_MUU"/>
    <d v="1900-01-01T20:10:00"/>
    <d v="1899-12-31T06:32:00"/>
  </r>
  <r>
    <n v="151"/>
    <n v="20"/>
    <n v="4"/>
    <n v="1"/>
    <x v="4"/>
    <x v="0"/>
    <x v="0"/>
    <x v="0"/>
    <x v="0"/>
    <n v="1"/>
    <x v="0"/>
    <x v="0"/>
    <n v="3"/>
    <x v="0"/>
    <s v="KHOI_THAM_MUU"/>
    <d v="1900-01-01T20:10:00"/>
    <d v="1899-12-31T06:32:00"/>
  </r>
  <r>
    <n v="161"/>
    <n v="20"/>
    <n v="3"/>
    <n v="1"/>
    <x v="5"/>
    <x v="0"/>
    <x v="0"/>
    <x v="0"/>
    <x v="0"/>
    <n v="1"/>
    <x v="0"/>
    <x v="0"/>
    <n v="3"/>
    <x v="0"/>
    <s v="KHOI_THAM_MUU"/>
    <d v="1900-01-01T20:10:00"/>
    <d v="1899-12-31T06:32:00"/>
  </r>
  <r>
    <n v="141"/>
    <n v="20"/>
    <n v="5"/>
    <n v="1"/>
    <x v="6"/>
    <x v="0"/>
    <x v="0"/>
    <x v="0"/>
    <x v="0"/>
    <n v="1"/>
    <x v="0"/>
    <x v="0"/>
    <n v="3"/>
    <x v="0"/>
    <s v="KHOI_THAM_MUU"/>
    <d v="1900-01-01T20:10:00"/>
    <d v="1899-12-31T06:32:00"/>
  </r>
  <r>
    <n v="131"/>
    <n v="20"/>
    <n v="6"/>
    <n v="1"/>
    <x v="7"/>
    <x v="0"/>
    <x v="0"/>
    <x v="0"/>
    <x v="0"/>
    <n v="1"/>
    <x v="0"/>
    <x v="0"/>
    <n v="3"/>
    <x v="0"/>
    <s v="KHOI_THAM_MUU"/>
    <d v="1900-01-01T20:10:00"/>
    <d v="1899-12-31T06:32:00"/>
  </r>
  <r>
    <n v="155"/>
    <n v="20"/>
    <n v="4"/>
    <n v="9"/>
    <x v="4"/>
    <x v="0"/>
    <x v="0"/>
    <x v="0"/>
    <x v="0"/>
    <n v="11"/>
    <x v="5"/>
    <x v="4"/>
    <n v="3"/>
    <x v="0"/>
    <s v="KHOI_THAM_MUU"/>
    <d v="1900-01-01T20:10:00"/>
    <d v="1899-12-31T06:32:00"/>
  </r>
  <r>
    <n v="156"/>
    <n v="20"/>
    <n v="4"/>
    <n v="9"/>
    <x v="4"/>
    <x v="0"/>
    <x v="0"/>
    <x v="0"/>
    <x v="0"/>
    <n v="11"/>
    <x v="5"/>
    <x v="4"/>
    <n v="3"/>
    <x v="0"/>
    <s v="KHOI_THAM_MUU"/>
    <d v="1900-01-01T20:10:00"/>
    <d v="1899-12-31T06:32:00"/>
  </r>
  <r>
    <n v="158"/>
    <n v="20"/>
    <n v="4"/>
    <n v="8"/>
    <x v="4"/>
    <x v="0"/>
    <x v="0"/>
    <x v="0"/>
    <x v="0"/>
    <n v="11"/>
    <x v="6"/>
    <x v="4"/>
    <n v="3"/>
    <x v="0"/>
    <s v="KHOI_THAM_MUU"/>
    <d v="1900-01-01T20:10:00"/>
    <d v="1899-12-31T06:32:00"/>
  </r>
  <r>
    <n v="165"/>
    <n v="20"/>
    <n v="3"/>
    <n v="9"/>
    <x v="5"/>
    <x v="0"/>
    <x v="0"/>
    <x v="0"/>
    <x v="0"/>
    <n v="11"/>
    <x v="5"/>
    <x v="4"/>
    <n v="3"/>
    <x v="0"/>
    <s v="KHOI_THAM_MUU"/>
    <d v="1900-01-01T20:10:00"/>
    <d v="1899-12-31T06:32:00"/>
  </r>
  <r>
    <n v="166"/>
    <n v="20"/>
    <n v="3"/>
    <n v="9"/>
    <x v="5"/>
    <x v="0"/>
    <x v="0"/>
    <x v="0"/>
    <x v="0"/>
    <n v="11"/>
    <x v="5"/>
    <x v="4"/>
    <n v="3"/>
    <x v="0"/>
    <s v="KHOI_THAM_MUU"/>
    <d v="1900-01-01T20:10:00"/>
    <d v="1899-12-31T06:32:00"/>
  </r>
  <r>
    <n v="168"/>
    <n v="20"/>
    <n v="3"/>
    <n v="8"/>
    <x v="5"/>
    <x v="0"/>
    <x v="0"/>
    <x v="0"/>
    <x v="0"/>
    <n v="11"/>
    <x v="6"/>
    <x v="4"/>
    <n v="3"/>
    <x v="0"/>
    <s v="KHOI_THAM_MUU"/>
    <d v="1900-01-01T20:10:00"/>
    <d v="1899-12-31T06:32:00"/>
  </r>
  <r>
    <n v="145"/>
    <n v="20"/>
    <n v="5"/>
    <n v="9"/>
    <x v="6"/>
    <x v="0"/>
    <x v="0"/>
    <x v="0"/>
    <x v="0"/>
    <n v="11"/>
    <x v="5"/>
    <x v="4"/>
    <n v="3"/>
    <x v="0"/>
    <s v="KHOI_THAM_MUU"/>
    <d v="1900-01-01T20:10:00"/>
    <d v="1899-12-31T06:32:00"/>
  </r>
  <r>
    <n v="146"/>
    <n v="20"/>
    <n v="5"/>
    <n v="9"/>
    <x v="6"/>
    <x v="0"/>
    <x v="0"/>
    <x v="0"/>
    <x v="0"/>
    <n v="11"/>
    <x v="5"/>
    <x v="4"/>
    <n v="3"/>
    <x v="0"/>
    <s v="KHOI_THAM_MUU"/>
    <d v="1900-01-01T20:10:00"/>
    <d v="1899-12-31T06:32:00"/>
  </r>
  <r>
    <n v="148"/>
    <n v="20"/>
    <n v="5"/>
    <n v="8"/>
    <x v="6"/>
    <x v="0"/>
    <x v="0"/>
    <x v="0"/>
    <x v="0"/>
    <n v="11"/>
    <x v="6"/>
    <x v="4"/>
    <n v="3"/>
    <x v="0"/>
    <s v="KHOI_THAM_MUU"/>
    <d v="1900-01-01T20:10:00"/>
    <d v="1899-12-31T06:32:00"/>
  </r>
  <r>
    <n v="135"/>
    <n v="20"/>
    <n v="6"/>
    <n v="9"/>
    <x v="7"/>
    <x v="0"/>
    <x v="0"/>
    <x v="0"/>
    <x v="0"/>
    <n v="11"/>
    <x v="5"/>
    <x v="4"/>
    <n v="3"/>
    <x v="0"/>
    <s v="KHOI_THAM_MUU"/>
    <d v="1900-01-01T20:10:00"/>
    <d v="1899-12-31T06:32:00"/>
  </r>
  <r>
    <n v="136"/>
    <n v="20"/>
    <n v="6"/>
    <n v="9"/>
    <x v="7"/>
    <x v="0"/>
    <x v="0"/>
    <x v="0"/>
    <x v="0"/>
    <n v="11"/>
    <x v="5"/>
    <x v="4"/>
    <n v="3"/>
    <x v="0"/>
    <s v="KHOI_THAM_MUU"/>
    <d v="1900-01-01T20:10:00"/>
    <d v="1899-12-31T06:32:00"/>
  </r>
  <r>
    <n v="138"/>
    <n v="20"/>
    <n v="6"/>
    <n v="8"/>
    <x v="7"/>
    <x v="0"/>
    <x v="0"/>
    <x v="0"/>
    <x v="0"/>
    <n v="11"/>
    <x v="6"/>
    <x v="4"/>
    <n v="3"/>
    <x v="0"/>
    <s v="KHOI_THAM_MUU"/>
    <d v="1900-01-01T20:10:00"/>
    <d v="1899-12-31T06:32:00"/>
  </r>
  <r>
    <n v="171"/>
    <n v="20"/>
    <n v="54"/>
    <n v="1"/>
    <x v="8"/>
    <x v="0"/>
    <x v="0"/>
    <x v="0"/>
    <x v="0"/>
    <n v="1"/>
    <x v="0"/>
    <x v="0"/>
    <n v="3"/>
    <x v="0"/>
    <s v="KHOI_THAM_MUU"/>
    <d v="1900-01-01T20:10:00"/>
    <d v="1899-12-31T06:32:00"/>
  </r>
  <r>
    <n v="177"/>
    <n v="20"/>
    <n v="54"/>
    <n v="5"/>
    <x v="8"/>
    <x v="0"/>
    <x v="0"/>
    <x v="0"/>
    <x v="0"/>
    <n v="9"/>
    <x v="1"/>
    <x v="1"/>
    <n v="3"/>
    <x v="0"/>
    <s v="KHOI_THAM_MUU"/>
    <d v="1900-01-01T20:10:00"/>
    <d v="1899-12-31T06:32:00"/>
  </r>
  <r>
    <n v="180"/>
    <n v="20"/>
    <n v="54"/>
    <n v="3"/>
    <x v="8"/>
    <x v="0"/>
    <x v="0"/>
    <x v="0"/>
    <x v="0"/>
    <n v="6"/>
    <x v="2"/>
    <x v="2"/>
    <n v="3"/>
    <x v="0"/>
    <s v="KHOI_THAM_MUU"/>
    <d v="1900-01-01T20:10:00"/>
    <d v="1899-12-31T06:32:00"/>
  </r>
  <r>
    <n v="179"/>
    <n v="20"/>
    <n v="54"/>
    <n v="4"/>
    <x v="8"/>
    <x v="0"/>
    <x v="0"/>
    <x v="0"/>
    <x v="0"/>
    <n v="6"/>
    <x v="3"/>
    <x v="2"/>
    <n v="3"/>
    <x v="0"/>
    <s v="KHOI_THAM_MUU"/>
    <d v="1900-01-01T20:10:00"/>
    <d v="1899-12-31T06:32:00"/>
  </r>
  <r>
    <n v="172"/>
    <n v="20"/>
    <n v="54"/>
    <n v="2"/>
    <x v="8"/>
    <x v="0"/>
    <x v="0"/>
    <x v="0"/>
    <x v="0"/>
    <n v="2"/>
    <x v="4"/>
    <x v="3"/>
    <n v="3"/>
    <x v="0"/>
    <s v="KHOI_THAM_MUU"/>
    <d v="1900-01-01T20:10:00"/>
    <d v="1899-12-31T06:32:00"/>
  </r>
  <r>
    <n v="175"/>
    <n v="20"/>
    <n v="54"/>
    <n v="9"/>
    <x v="8"/>
    <x v="0"/>
    <x v="0"/>
    <x v="0"/>
    <x v="0"/>
    <n v="11"/>
    <x v="5"/>
    <x v="4"/>
    <n v="3"/>
    <x v="0"/>
    <s v="KHOI_THAM_MUU"/>
    <d v="1900-01-01T20:10:00"/>
    <d v="1899-12-31T06:32:00"/>
  </r>
  <r>
    <n v="176"/>
    <n v="20"/>
    <n v="54"/>
    <n v="9"/>
    <x v="8"/>
    <x v="0"/>
    <x v="0"/>
    <x v="0"/>
    <x v="0"/>
    <n v="11"/>
    <x v="5"/>
    <x v="4"/>
    <n v="3"/>
    <x v="0"/>
    <s v="KHOI_THAM_MUU"/>
    <d v="1900-01-01T20:10:00"/>
    <d v="1899-12-31T06:32:00"/>
  </r>
  <r>
    <n v="178"/>
    <n v="20"/>
    <n v="54"/>
    <n v="8"/>
    <x v="8"/>
    <x v="0"/>
    <x v="0"/>
    <x v="0"/>
    <x v="0"/>
    <n v="11"/>
    <x v="6"/>
    <x v="4"/>
    <n v="3"/>
    <x v="0"/>
    <s v="KHOI_THAM_MUU"/>
    <d v="1900-01-01T20:10:00"/>
    <d v="1899-12-31T06:32:00"/>
  </r>
  <r>
    <n v="173"/>
    <n v="20"/>
    <n v="54"/>
    <n v="6"/>
    <x v="8"/>
    <x v="0"/>
    <x v="0"/>
    <x v="0"/>
    <x v="0"/>
    <n v="9"/>
    <x v="7"/>
    <x v="1"/>
    <n v="3"/>
    <x v="0"/>
    <s v="KHOI_THAM_MUU"/>
    <d v="1900-01-01T20:10:00"/>
    <d v="1899-12-31T06:32:00"/>
  </r>
  <r>
    <n v="174"/>
    <n v="20"/>
    <n v="54"/>
    <n v="6"/>
    <x v="8"/>
    <x v="0"/>
    <x v="0"/>
    <x v="0"/>
    <x v="0"/>
    <n v="9"/>
    <x v="7"/>
    <x v="1"/>
    <n v="3"/>
    <x v="0"/>
    <s v="KHOI_THAM_MUU"/>
    <d v="1900-01-01T20:10:00"/>
    <d v="1899-12-31T06:32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18">
  <r>
    <n v="63756"/>
    <x v="0"/>
    <n v="0"/>
    <x v="0"/>
    <x v="0"/>
    <x v="0"/>
    <x v="0"/>
    <x v="0"/>
    <x v="0"/>
    <n v="20"/>
    <x v="0"/>
    <x v="0"/>
  </r>
  <r>
    <n v="63758"/>
    <x v="0"/>
    <n v="0"/>
    <x v="1"/>
    <x v="1"/>
    <x v="0"/>
    <x v="0"/>
    <x v="0"/>
    <x v="0"/>
    <n v="20"/>
    <x v="1"/>
    <x v="0"/>
  </r>
  <r>
    <n v="63759"/>
    <x v="0"/>
    <n v="0"/>
    <x v="1"/>
    <x v="1"/>
    <x v="1"/>
    <x v="0"/>
    <x v="0"/>
    <x v="0"/>
    <n v="20"/>
    <x v="2"/>
    <x v="0"/>
  </r>
  <r>
    <n v="63760"/>
    <x v="0"/>
    <n v="0"/>
    <x v="2"/>
    <x v="2"/>
    <x v="1"/>
    <x v="0"/>
    <x v="0"/>
    <x v="0"/>
    <n v="20"/>
    <x v="3"/>
    <x v="0"/>
  </r>
  <r>
    <n v="63761"/>
    <x v="0"/>
    <n v="0"/>
    <x v="3"/>
    <x v="3"/>
    <x v="1"/>
    <x v="0"/>
    <x v="0"/>
    <x v="0"/>
    <n v="20"/>
    <x v="4"/>
    <x v="0"/>
  </r>
  <r>
    <n v="63763"/>
    <x v="0"/>
    <n v="0"/>
    <x v="4"/>
    <x v="4"/>
    <x v="1"/>
    <x v="0"/>
    <x v="0"/>
    <x v="0"/>
    <n v="20"/>
    <x v="5"/>
    <x v="0"/>
  </r>
  <r>
    <n v="63764"/>
    <x v="0"/>
    <n v="20000"/>
    <x v="5"/>
    <x v="5"/>
    <x v="2"/>
    <x v="0"/>
    <x v="0"/>
    <x v="0"/>
    <n v="20"/>
    <x v="6"/>
    <x v="0"/>
  </r>
  <r>
    <n v="63765"/>
    <x v="0"/>
    <n v="20000"/>
    <x v="6"/>
    <x v="6"/>
    <x v="2"/>
    <x v="0"/>
    <x v="0"/>
    <x v="0"/>
    <n v="20"/>
    <x v="7"/>
    <x v="0"/>
  </r>
  <r>
    <n v="63767"/>
    <x v="0"/>
    <n v="0"/>
    <x v="7"/>
    <x v="7"/>
    <x v="0"/>
    <x v="0"/>
    <x v="0"/>
    <x v="0"/>
    <n v="20"/>
    <x v="8"/>
    <x v="0"/>
  </r>
  <r>
    <n v="63768"/>
    <x v="0"/>
    <n v="0"/>
    <x v="8"/>
    <x v="8"/>
    <x v="1"/>
    <x v="0"/>
    <x v="0"/>
    <x v="0"/>
    <n v="20"/>
    <x v="9"/>
    <x v="0"/>
  </r>
  <r>
    <n v="63770"/>
    <x v="0"/>
    <n v="0"/>
    <x v="9"/>
    <x v="9"/>
    <x v="1"/>
    <x v="0"/>
    <x v="0"/>
    <x v="0"/>
    <n v="20"/>
    <x v="10"/>
    <x v="0"/>
  </r>
  <r>
    <n v="63771"/>
    <x v="0"/>
    <n v="0"/>
    <x v="10"/>
    <x v="10"/>
    <x v="1"/>
    <x v="0"/>
    <x v="0"/>
    <x v="0"/>
    <n v="20"/>
    <x v="11"/>
    <x v="0"/>
  </r>
  <r>
    <n v="63774"/>
    <x v="1"/>
    <n v="0"/>
    <x v="0"/>
    <x v="0"/>
    <x v="0"/>
    <x v="0"/>
    <x v="0"/>
    <x v="0"/>
    <n v="21"/>
    <x v="0"/>
    <x v="0"/>
  </r>
  <r>
    <n v="63776"/>
    <x v="1"/>
    <n v="0"/>
    <x v="1"/>
    <x v="1"/>
    <x v="0"/>
    <x v="0"/>
    <x v="0"/>
    <x v="0"/>
    <n v="21"/>
    <x v="1"/>
    <x v="0"/>
  </r>
  <r>
    <n v="63777"/>
    <x v="1"/>
    <n v="0"/>
    <x v="1"/>
    <x v="1"/>
    <x v="1"/>
    <x v="0"/>
    <x v="0"/>
    <x v="0"/>
    <n v="21"/>
    <x v="2"/>
    <x v="0"/>
  </r>
  <r>
    <n v="63778"/>
    <x v="1"/>
    <n v="0"/>
    <x v="2"/>
    <x v="2"/>
    <x v="1"/>
    <x v="0"/>
    <x v="0"/>
    <x v="0"/>
    <n v="21"/>
    <x v="3"/>
    <x v="0"/>
  </r>
  <r>
    <n v="63779"/>
    <x v="1"/>
    <n v="0"/>
    <x v="3"/>
    <x v="3"/>
    <x v="1"/>
    <x v="0"/>
    <x v="0"/>
    <x v="0"/>
    <n v="21"/>
    <x v="4"/>
    <x v="0"/>
  </r>
  <r>
    <n v="63781"/>
    <x v="1"/>
    <n v="0"/>
    <x v="4"/>
    <x v="4"/>
    <x v="1"/>
    <x v="0"/>
    <x v="0"/>
    <x v="0"/>
    <n v="21"/>
    <x v="5"/>
    <x v="0"/>
  </r>
  <r>
    <n v="63782"/>
    <x v="1"/>
    <n v="20000"/>
    <x v="5"/>
    <x v="5"/>
    <x v="2"/>
    <x v="0"/>
    <x v="0"/>
    <x v="0"/>
    <n v="21"/>
    <x v="6"/>
    <x v="0"/>
  </r>
  <r>
    <n v="63783"/>
    <x v="1"/>
    <n v="20000"/>
    <x v="6"/>
    <x v="6"/>
    <x v="2"/>
    <x v="0"/>
    <x v="0"/>
    <x v="0"/>
    <n v="21"/>
    <x v="7"/>
    <x v="0"/>
  </r>
  <r>
    <n v="63785"/>
    <x v="1"/>
    <n v="0"/>
    <x v="7"/>
    <x v="7"/>
    <x v="0"/>
    <x v="0"/>
    <x v="0"/>
    <x v="0"/>
    <n v="21"/>
    <x v="8"/>
    <x v="0"/>
  </r>
  <r>
    <n v="63786"/>
    <x v="1"/>
    <n v="0"/>
    <x v="8"/>
    <x v="8"/>
    <x v="1"/>
    <x v="0"/>
    <x v="0"/>
    <x v="0"/>
    <n v="21"/>
    <x v="9"/>
    <x v="0"/>
  </r>
  <r>
    <n v="63788"/>
    <x v="1"/>
    <n v="0"/>
    <x v="9"/>
    <x v="9"/>
    <x v="1"/>
    <x v="0"/>
    <x v="0"/>
    <x v="0"/>
    <n v="21"/>
    <x v="10"/>
    <x v="0"/>
  </r>
  <r>
    <n v="63789"/>
    <x v="1"/>
    <n v="0"/>
    <x v="10"/>
    <x v="10"/>
    <x v="1"/>
    <x v="0"/>
    <x v="0"/>
    <x v="0"/>
    <n v="21"/>
    <x v="11"/>
    <x v="0"/>
  </r>
  <r>
    <n v="63792"/>
    <x v="2"/>
    <n v="0"/>
    <x v="0"/>
    <x v="0"/>
    <x v="0"/>
    <x v="1"/>
    <x v="1"/>
    <x v="0"/>
    <n v="22"/>
    <x v="0"/>
    <x v="0"/>
  </r>
  <r>
    <n v="63794"/>
    <x v="2"/>
    <n v="0"/>
    <x v="1"/>
    <x v="1"/>
    <x v="0"/>
    <x v="1"/>
    <x v="1"/>
    <x v="0"/>
    <n v="22"/>
    <x v="1"/>
    <x v="0"/>
  </r>
  <r>
    <n v="63795"/>
    <x v="2"/>
    <n v="0"/>
    <x v="1"/>
    <x v="1"/>
    <x v="1"/>
    <x v="1"/>
    <x v="1"/>
    <x v="0"/>
    <n v="22"/>
    <x v="2"/>
    <x v="0"/>
  </r>
  <r>
    <n v="63796"/>
    <x v="2"/>
    <n v="0"/>
    <x v="2"/>
    <x v="2"/>
    <x v="1"/>
    <x v="1"/>
    <x v="1"/>
    <x v="0"/>
    <n v="22"/>
    <x v="3"/>
    <x v="0"/>
  </r>
  <r>
    <n v="63797"/>
    <x v="2"/>
    <n v="0"/>
    <x v="3"/>
    <x v="3"/>
    <x v="1"/>
    <x v="1"/>
    <x v="1"/>
    <x v="0"/>
    <n v="22"/>
    <x v="4"/>
    <x v="0"/>
  </r>
  <r>
    <n v="63799"/>
    <x v="2"/>
    <n v="0"/>
    <x v="4"/>
    <x v="4"/>
    <x v="1"/>
    <x v="1"/>
    <x v="1"/>
    <x v="0"/>
    <n v="22"/>
    <x v="5"/>
    <x v="0"/>
  </r>
  <r>
    <n v="63800"/>
    <x v="2"/>
    <n v="20000"/>
    <x v="5"/>
    <x v="5"/>
    <x v="2"/>
    <x v="1"/>
    <x v="1"/>
    <x v="0"/>
    <n v="22"/>
    <x v="6"/>
    <x v="0"/>
  </r>
  <r>
    <n v="63801"/>
    <x v="2"/>
    <n v="20000"/>
    <x v="6"/>
    <x v="6"/>
    <x v="2"/>
    <x v="1"/>
    <x v="1"/>
    <x v="0"/>
    <n v="22"/>
    <x v="7"/>
    <x v="0"/>
  </r>
  <r>
    <n v="63804"/>
    <x v="2"/>
    <n v="0"/>
    <x v="8"/>
    <x v="8"/>
    <x v="1"/>
    <x v="1"/>
    <x v="1"/>
    <x v="0"/>
    <n v="22"/>
    <x v="9"/>
    <x v="0"/>
  </r>
  <r>
    <n v="63805"/>
    <x v="2"/>
    <n v="0"/>
    <x v="11"/>
    <x v="11"/>
    <x v="1"/>
    <x v="1"/>
    <x v="1"/>
    <x v="0"/>
    <n v="22"/>
    <x v="12"/>
    <x v="0"/>
  </r>
  <r>
    <n v="63806"/>
    <x v="2"/>
    <n v="0"/>
    <x v="9"/>
    <x v="9"/>
    <x v="1"/>
    <x v="1"/>
    <x v="1"/>
    <x v="0"/>
    <n v="22"/>
    <x v="10"/>
    <x v="0"/>
  </r>
  <r>
    <n v="63807"/>
    <x v="2"/>
    <n v="0"/>
    <x v="10"/>
    <x v="10"/>
    <x v="1"/>
    <x v="1"/>
    <x v="1"/>
    <x v="0"/>
    <n v="22"/>
    <x v="11"/>
    <x v="0"/>
  </r>
  <r>
    <n v="63810"/>
    <x v="3"/>
    <n v="0"/>
    <x v="0"/>
    <x v="0"/>
    <x v="0"/>
    <x v="2"/>
    <x v="2"/>
    <x v="0"/>
    <n v="23"/>
    <x v="0"/>
    <x v="0"/>
  </r>
  <r>
    <n v="63811"/>
    <x v="3"/>
    <n v="0"/>
    <x v="0"/>
    <x v="0"/>
    <x v="1"/>
    <x v="2"/>
    <x v="2"/>
    <x v="0"/>
    <n v="23"/>
    <x v="13"/>
    <x v="0"/>
  </r>
  <r>
    <n v="63787"/>
    <x v="1"/>
    <n v="3000"/>
    <x v="11"/>
    <x v="11"/>
    <x v="1"/>
    <x v="0"/>
    <x v="0"/>
    <x v="0"/>
    <n v="21"/>
    <x v="12"/>
    <x v="0"/>
  </r>
  <r>
    <n v="63784"/>
    <x v="1"/>
    <n v="3333"/>
    <x v="12"/>
    <x v="12"/>
    <x v="0"/>
    <x v="0"/>
    <x v="0"/>
    <x v="0"/>
    <n v="21"/>
    <x v="14"/>
    <x v="0"/>
  </r>
  <r>
    <n v="63762"/>
    <x v="0"/>
    <n v="24976"/>
    <x v="4"/>
    <x v="4"/>
    <x v="0"/>
    <x v="0"/>
    <x v="0"/>
    <x v="0"/>
    <n v="20"/>
    <x v="15"/>
    <x v="0"/>
  </r>
  <r>
    <n v="63780"/>
    <x v="1"/>
    <n v="4444"/>
    <x v="4"/>
    <x v="4"/>
    <x v="0"/>
    <x v="0"/>
    <x v="0"/>
    <x v="0"/>
    <n v="21"/>
    <x v="15"/>
    <x v="0"/>
  </r>
  <r>
    <n v="63769"/>
    <x v="0"/>
    <n v="2000"/>
    <x v="11"/>
    <x v="11"/>
    <x v="1"/>
    <x v="0"/>
    <x v="0"/>
    <x v="0"/>
    <n v="20"/>
    <x v="12"/>
    <x v="0"/>
  </r>
  <r>
    <n v="63803"/>
    <x v="2"/>
    <n v="9499"/>
    <x v="7"/>
    <x v="7"/>
    <x v="0"/>
    <x v="1"/>
    <x v="1"/>
    <x v="0"/>
    <n v="22"/>
    <x v="8"/>
    <x v="0"/>
  </r>
  <r>
    <n v="63802"/>
    <x v="2"/>
    <n v="2344"/>
    <x v="12"/>
    <x v="12"/>
    <x v="0"/>
    <x v="1"/>
    <x v="1"/>
    <x v="0"/>
    <n v="22"/>
    <x v="14"/>
    <x v="0"/>
  </r>
  <r>
    <n v="63798"/>
    <x v="2"/>
    <n v="3123"/>
    <x v="4"/>
    <x v="4"/>
    <x v="0"/>
    <x v="1"/>
    <x v="1"/>
    <x v="0"/>
    <n v="22"/>
    <x v="15"/>
    <x v="0"/>
  </r>
  <r>
    <n v="63766"/>
    <x v="0"/>
    <n v="6545"/>
    <x v="12"/>
    <x v="12"/>
    <x v="0"/>
    <x v="0"/>
    <x v="0"/>
    <x v="0"/>
    <n v="20"/>
    <x v="14"/>
    <x v="0"/>
  </r>
  <r>
    <n v="63775"/>
    <x v="1"/>
    <n v="3000"/>
    <x v="0"/>
    <x v="0"/>
    <x v="1"/>
    <x v="0"/>
    <x v="0"/>
    <x v="0"/>
    <n v="21"/>
    <x v="13"/>
    <x v="0"/>
  </r>
  <r>
    <n v="63793"/>
    <x v="2"/>
    <n v="7000"/>
    <x v="0"/>
    <x v="0"/>
    <x v="1"/>
    <x v="1"/>
    <x v="1"/>
    <x v="0"/>
    <n v="22"/>
    <x v="13"/>
    <x v="0"/>
  </r>
  <r>
    <n v="63809"/>
    <x v="2"/>
    <n v="20000"/>
    <x v="6"/>
    <x v="6"/>
    <x v="3"/>
    <x v="1"/>
    <x v="1"/>
    <x v="0"/>
    <n v="22"/>
    <x v="16"/>
    <x v="0"/>
  </r>
  <r>
    <n v="63757"/>
    <x v="0"/>
    <n v="5000"/>
    <x v="0"/>
    <x v="0"/>
    <x v="1"/>
    <x v="0"/>
    <x v="0"/>
    <x v="0"/>
    <n v="20"/>
    <x v="13"/>
    <x v="0"/>
  </r>
  <r>
    <n v="63791"/>
    <x v="1"/>
    <n v="20000"/>
    <x v="6"/>
    <x v="6"/>
    <x v="3"/>
    <x v="0"/>
    <x v="0"/>
    <x v="0"/>
    <n v="21"/>
    <x v="16"/>
    <x v="0"/>
  </r>
  <r>
    <n v="63773"/>
    <x v="0"/>
    <n v="20000"/>
    <x v="6"/>
    <x v="6"/>
    <x v="3"/>
    <x v="0"/>
    <x v="0"/>
    <x v="0"/>
    <n v="20"/>
    <x v="16"/>
    <x v="0"/>
  </r>
  <r>
    <n v="63790"/>
    <x v="1"/>
    <n v="21777"/>
    <x v="5"/>
    <x v="5"/>
    <x v="3"/>
    <x v="0"/>
    <x v="0"/>
    <x v="0"/>
    <n v="21"/>
    <x v="17"/>
    <x v="0"/>
  </r>
  <r>
    <n v="63808"/>
    <x v="2"/>
    <n v="27966"/>
    <x v="5"/>
    <x v="5"/>
    <x v="3"/>
    <x v="1"/>
    <x v="1"/>
    <x v="0"/>
    <n v="22"/>
    <x v="17"/>
    <x v="0"/>
  </r>
  <r>
    <n v="63812"/>
    <x v="3"/>
    <n v="0"/>
    <x v="1"/>
    <x v="1"/>
    <x v="0"/>
    <x v="2"/>
    <x v="2"/>
    <x v="0"/>
    <n v="23"/>
    <x v="1"/>
    <x v="0"/>
  </r>
  <r>
    <n v="63813"/>
    <x v="3"/>
    <n v="0"/>
    <x v="1"/>
    <x v="1"/>
    <x v="1"/>
    <x v="2"/>
    <x v="2"/>
    <x v="0"/>
    <n v="23"/>
    <x v="2"/>
    <x v="0"/>
  </r>
  <r>
    <n v="63814"/>
    <x v="3"/>
    <n v="0"/>
    <x v="2"/>
    <x v="2"/>
    <x v="1"/>
    <x v="2"/>
    <x v="2"/>
    <x v="0"/>
    <n v="23"/>
    <x v="3"/>
    <x v="0"/>
  </r>
  <r>
    <n v="63815"/>
    <x v="3"/>
    <n v="0"/>
    <x v="3"/>
    <x v="3"/>
    <x v="1"/>
    <x v="2"/>
    <x v="2"/>
    <x v="0"/>
    <n v="23"/>
    <x v="4"/>
    <x v="0"/>
  </r>
  <r>
    <n v="63817"/>
    <x v="3"/>
    <n v="0"/>
    <x v="4"/>
    <x v="4"/>
    <x v="1"/>
    <x v="2"/>
    <x v="2"/>
    <x v="0"/>
    <n v="23"/>
    <x v="5"/>
    <x v="0"/>
  </r>
  <r>
    <n v="63818"/>
    <x v="3"/>
    <n v="20000"/>
    <x v="5"/>
    <x v="5"/>
    <x v="2"/>
    <x v="2"/>
    <x v="2"/>
    <x v="0"/>
    <n v="23"/>
    <x v="6"/>
    <x v="0"/>
  </r>
  <r>
    <n v="63819"/>
    <x v="3"/>
    <n v="20000"/>
    <x v="6"/>
    <x v="6"/>
    <x v="2"/>
    <x v="2"/>
    <x v="2"/>
    <x v="0"/>
    <n v="23"/>
    <x v="7"/>
    <x v="0"/>
  </r>
  <r>
    <n v="63820"/>
    <x v="3"/>
    <n v="0"/>
    <x v="12"/>
    <x v="12"/>
    <x v="0"/>
    <x v="2"/>
    <x v="2"/>
    <x v="0"/>
    <n v="23"/>
    <x v="14"/>
    <x v="0"/>
  </r>
  <r>
    <n v="63822"/>
    <x v="3"/>
    <n v="0"/>
    <x v="8"/>
    <x v="8"/>
    <x v="1"/>
    <x v="2"/>
    <x v="2"/>
    <x v="0"/>
    <n v="23"/>
    <x v="9"/>
    <x v="0"/>
  </r>
  <r>
    <n v="63823"/>
    <x v="3"/>
    <n v="0"/>
    <x v="11"/>
    <x v="11"/>
    <x v="1"/>
    <x v="2"/>
    <x v="2"/>
    <x v="0"/>
    <n v="23"/>
    <x v="12"/>
    <x v="0"/>
  </r>
  <r>
    <n v="63824"/>
    <x v="3"/>
    <n v="0"/>
    <x v="9"/>
    <x v="9"/>
    <x v="1"/>
    <x v="2"/>
    <x v="2"/>
    <x v="0"/>
    <n v="23"/>
    <x v="10"/>
    <x v="0"/>
  </r>
  <r>
    <n v="63825"/>
    <x v="3"/>
    <n v="0"/>
    <x v="10"/>
    <x v="10"/>
    <x v="1"/>
    <x v="2"/>
    <x v="2"/>
    <x v="0"/>
    <n v="23"/>
    <x v="11"/>
    <x v="0"/>
  </r>
  <r>
    <n v="63828"/>
    <x v="4"/>
    <n v="0"/>
    <x v="0"/>
    <x v="0"/>
    <x v="0"/>
    <x v="2"/>
    <x v="2"/>
    <x v="0"/>
    <n v="24"/>
    <x v="0"/>
    <x v="0"/>
  </r>
  <r>
    <n v="63830"/>
    <x v="4"/>
    <n v="0"/>
    <x v="1"/>
    <x v="1"/>
    <x v="0"/>
    <x v="2"/>
    <x v="2"/>
    <x v="0"/>
    <n v="24"/>
    <x v="1"/>
    <x v="0"/>
  </r>
  <r>
    <n v="63831"/>
    <x v="4"/>
    <n v="0"/>
    <x v="1"/>
    <x v="1"/>
    <x v="1"/>
    <x v="2"/>
    <x v="2"/>
    <x v="0"/>
    <n v="24"/>
    <x v="2"/>
    <x v="0"/>
  </r>
  <r>
    <n v="63832"/>
    <x v="4"/>
    <n v="0"/>
    <x v="2"/>
    <x v="2"/>
    <x v="1"/>
    <x v="2"/>
    <x v="2"/>
    <x v="0"/>
    <n v="24"/>
    <x v="3"/>
    <x v="0"/>
  </r>
  <r>
    <n v="63833"/>
    <x v="4"/>
    <n v="0"/>
    <x v="3"/>
    <x v="3"/>
    <x v="1"/>
    <x v="2"/>
    <x v="2"/>
    <x v="0"/>
    <n v="24"/>
    <x v="4"/>
    <x v="0"/>
  </r>
  <r>
    <n v="63835"/>
    <x v="4"/>
    <n v="0"/>
    <x v="4"/>
    <x v="4"/>
    <x v="1"/>
    <x v="2"/>
    <x v="2"/>
    <x v="0"/>
    <n v="24"/>
    <x v="5"/>
    <x v="0"/>
  </r>
  <r>
    <n v="63836"/>
    <x v="4"/>
    <n v="20000"/>
    <x v="5"/>
    <x v="5"/>
    <x v="2"/>
    <x v="2"/>
    <x v="2"/>
    <x v="0"/>
    <n v="24"/>
    <x v="6"/>
    <x v="0"/>
  </r>
  <r>
    <n v="63837"/>
    <x v="4"/>
    <n v="20000"/>
    <x v="6"/>
    <x v="6"/>
    <x v="2"/>
    <x v="2"/>
    <x v="2"/>
    <x v="0"/>
    <n v="24"/>
    <x v="7"/>
    <x v="0"/>
  </r>
  <r>
    <n v="63838"/>
    <x v="4"/>
    <n v="0"/>
    <x v="12"/>
    <x v="12"/>
    <x v="0"/>
    <x v="2"/>
    <x v="2"/>
    <x v="0"/>
    <n v="24"/>
    <x v="14"/>
    <x v="0"/>
  </r>
  <r>
    <n v="63839"/>
    <x v="4"/>
    <n v="0"/>
    <x v="7"/>
    <x v="7"/>
    <x v="0"/>
    <x v="2"/>
    <x v="2"/>
    <x v="0"/>
    <n v="24"/>
    <x v="8"/>
    <x v="0"/>
  </r>
  <r>
    <n v="63840"/>
    <x v="4"/>
    <n v="0"/>
    <x v="8"/>
    <x v="8"/>
    <x v="1"/>
    <x v="2"/>
    <x v="2"/>
    <x v="0"/>
    <n v="24"/>
    <x v="9"/>
    <x v="0"/>
  </r>
  <r>
    <n v="63841"/>
    <x v="4"/>
    <n v="0"/>
    <x v="11"/>
    <x v="11"/>
    <x v="1"/>
    <x v="2"/>
    <x v="2"/>
    <x v="0"/>
    <n v="24"/>
    <x v="12"/>
    <x v="0"/>
  </r>
  <r>
    <n v="63842"/>
    <x v="4"/>
    <n v="0"/>
    <x v="9"/>
    <x v="9"/>
    <x v="1"/>
    <x v="2"/>
    <x v="2"/>
    <x v="0"/>
    <n v="24"/>
    <x v="10"/>
    <x v="0"/>
  </r>
  <r>
    <n v="63843"/>
    <x v="4"/>
    <n v="0"/>
    <x v="10"/>
    <x v="10"/>
    <x v="1"/>
    <x v="2"/>
    <x v="2"/>
    <x v="0"/>
    <n v="24"/>
    <x v="11"/>
    <x v="0"/>
  </r>
  <r>
    <n v="63848"/>
    <x v="5"/>
    <n v="0"/>
    <x v="1"/>
    <x v="1"/>
    <x v="0"/>
    <x v="3"/>
    <x v="3"/>
    <x v="0"/>
    <n v="36"/>
    <x v="1"/>
    <x v="0"/>
  </r>
  <r>
    <n v="63849"/>
    <x v="5"/>
    <n v="0"/>
    <x v="1"/>
    <x v="1"/>
    <x v="1"/>
    <x v="3"/>
    <x v="3"/>
    <x v="0"/>
    <n v="36"/>
    <x v="2"/>
    <x v="0"/>
  </r>
  <r>
    <n v="63850"/>
    <x v="5"/>
    <n v="0"/>
    <x v="2"/>
    <x v="2"/>
    <x v="1"/>
    <x v="3"/>
    <x v="3"/>
    <x v="0"/>
    <n v="36"/>
    <x v="3"/>
    <x v="0"/>
  </r>
  <r>
    <n v="63851"/>
    <x v="5"/>
    <n v="0"/>
    <x v="3"/>
    <x v="3"/>
    <x v="1"/>
    <x v="3"/>
    <x v="3"/>
    <x v="0"/>
    <n v="36"/>
    <x v="4"/>
    <x v="0"/>
  </r>
  <r>
    <n v="63853"/>
    <x v="5"/>
    <n v="0"/>
    <x v="4"/>
    <x v="4"/>
    <x v="1"/>
    <x v="3"/>
    <x v="3"/>
    <x v="0"/>
    <n v="36"/>
    <x v="5"/>
    <x v="0"/>
  </r>
  <r>
    <n v="63854"/>
    <x v="5"/>
    <n v="20000"/>
    <x v="5"/>
    <x v="5"/>
    <x v="2"/>
    <x v="3"/>
    <x v="3"/>
    <x v="0"/>
    <n v="36"/>
    <x v="6"/>
    <x v="0"/>
  </r>
  <r>
    <n v="63855"/>
    <x v="5"/>
    <n v="20000"/>
    <x v="6"/>
    <x v="6"/>
    <x v="2"/>
    <x v="3"/>
    <x v="3"/>
    <x v="0"/>
    <n v="36"/>
    <x v="7"/>
    <x v="0"/>
  </r>
  <r>
    <n v="63856"/>
    <x v="5"/>
    <n v="0"/>
    <x v="12"/>
    <x v="12"/>
    <x v="0"/>
    <x v="3"/>
    <x v="3"/>
    <x v="0"/>
    <n v="36"/>
    <x v="14"/>
    <x v="0"/>
  </r>
  <r>
    <n v="63857"/>
    <x v="5"/>
    <n v="0"/>
    <x v="7"/>
    <x v="7"/>
    <x v="0"/>
    <x v="3"/>
    <x v="3"/>
    <x v="0"/>
    <n v="36"/>
    <x v="8"/>
    <x v="0"/>
  </r>
  <r>
    <n v="63858"/>
    <x v="5"/>
    <n v="0"/>
    <x v="8"/>
    <x v="8"/>
    <x v="1"/>
    <x v="3"/>
    <x v="3"/>
    <x v="0"/>
    <n v="36"/>
    <x v="9"/>
    <x v="0"/>
  </r>
  <r>
    <n v="63859"/>
    <x v="5"/>
    <n v="0"/>
    <x v="11"/>
    <x v="11"/>
    <x v="1"/>
    <x v="3"/>
    <x v="3"/>
    <x v="0"/>
    <n v="36"/>
    <x v="12"/>
    <x v="0"/>
  </r>
  <r>
    <n v="63860"/>
    <x v="5"/>
    <n v="0"/>
    <x v="9"/>
    <x v="9"/>
    <x v="1"/>
    <x v="3"/>
    <x v="3"/>
    <x v="0"/>
    <n v="36"/>
    <x v="10"/>
    <x v="0"/>
  </r>
  <r>
    <n v="63861"/>
    <x v="5"/>
    <n v="0"/>
    <x v="10"/>
    <x v="10"/>
    <x v="1"/>
    <x v="3"/>
    <x v="3"/>
    <x v="0"/>
    <n v="36"/>
    <x v="11"/>
    <x v="0"/>
  </r>
  <r>
    <n v="63864"/>
    <x v="3"/>
    <n v="0"/>
    <x v="0"/>
    <x v="0"/>
    <x v="0"/>
    <x v="3"/>
    <x v="3"/>
    <x v="0"/>
    <n v="37"/>
    <x v="0"/>
    <x v="0"/>
  </r>
  <r>
    <n v="63816"/>
    <x v="3"/>
    <n v="5573"/>
    <x v="4"/>
    <x v="4"/>
    <x v="0"/>
    <x v="2"/>
    <x v="2"/>
    <x v="0"/>
    <n v="23"/>
    <x v="15"/>
    <x v="0"/>
  </r>
  <r>
    <n v="63829"/>
    <x v="4"/>
    <n v="3399"/>
    <x v="0"/>
    <x v="0"/>
    <x v="1"/>
    <x v="2"/>
    <x v="2"/>
    <x v="0"/>
    <n v="24"/>
    <x v="13"/>
    <x v="0"/>
  </r>
  <r>
    <n v="63834"/>
    <x v="4"/>
    <n v="6465"/>
    <x v="4"/>
    <x v="4"/>
    <x v="0"/>
    <x v="2"/>
    <x v="2"/>
    <x v="0"/>
    <n v="24"/>
    <x v="15"/>
    <x v="0"/>
  </r>
  <r>
    <n v="63845"/>
    <x v="4"/>
    <n v="20000"/>
    <x v="6"/>
    <x v="6"/>
    <x v="3"/>
    <x v="2"/>
    <x v="2"/>
    <x v="0"/>
    <n v="24"/>
    <x v="16"/>
    <x v="0"/>
  </r>
  <r>
    <n v="63821"/>
    <x v="3"/>
    <n v="3423"/>
    <x v="7"/>
    <x v="7"/>
    <x v="0"/>
    <x v="2"/>
    <x v="2"/>
    <x v="0"/>
    <n v="23"/>
    <x v="8"/>
    <x v="0"/>
  </r>
  <r>
    <n v="63846"/>
    <x v="5"/>
    <n v="6544"/>
    <x v="0"/>
    <x v="0"/>
    <x v="0"/>
    <x v="3"/>
    <x v="3"/>
    <x v="0"/>
    <n v="36"/>
    <x v="0"/>
    <x v="0"/>
  </r>
  <r>
    <n v="63852"/>
    <x v="5"/>
    <n v="2312"/>
    <x v="4"/>
    <x v="4"/>
    <x v="0"/>
    <x v="3"/>
    <x v="3"/>
    <x v="0"/>
    <n v="36"/>
    <x v="15"/>
    <x v="0"/>
  </r>
  <r>
    <n v="63862"/>
    <x v="5"/>
    <n v="24512"/>
    <x v="5"/>
    <x v="5"/>
    <x v="3"/>
    <x v="3"/>
    <x v="3"/>
    <x v="0"/>
    <n v="36"/>
    <x v="17"/>
    <x v="0"/>
  </r>
  <r>
    <n v="63827"/>
    <x v="3"/>
    <n v="20000"/>
    <x v="6"/>
    <x v="6"/>
    <x v="3"/>
    <x v="2"/>
    <x v="2"/>
    <x v="0"/>
    <n v="23"/>
    <x v="16"/>
    <x v="0"/>
  </r>
  <r>
    <n v="63847"/>
    <x v="5"/>
    <n v="4344"/>
    <x v="0"/>
    <x v="0"/>
    <x v="1"/>
    <x v="3"/>
    <x v="3"/>
    <x v="0"/>
    <n v="36"/>
    <x v="13"/>
    <x v="0"/>
  </r>
  <r>
    <n v="63863"/>
    <x v="5"/>
    <n v="20000"/>
    <x v="6"/>
    <x v="6"/>
    <x v="3"/>
    <x v="3"/>
    <x v="3"/>
    <x v="0"/>
    <n v="36"/>
    <x v="16"/>
    <x v="0"/>
  </r>
  <r>
    <n v="63866"/>
    <x v="3"/>
    <n v="0"/>
    <x v="1"/>
    <x v="1"/>
    <x v="0"/>
    <x v="3"/>
    <x v="3"/>
    <x v="0"/>
    <n v="37"/>
    <x v="1"/>
    <x v="0"/>
  </r>
  <r>
    <n v="63867"/>
    <x v="3"/>
    <n v="0"/>
    <x v="1"/>
    <x v="1"/>
    <x v="1"/>
    <x v="3"/>
    <x v="3"/>
    <x v="0"/>
    <n v="37"/>
    <x v="2"/>
    <x v="0"/>
  </r>
  <r>
    <n v="63868"/>
    <x v="3"/>
    <n v="0"/>
    <x v="2"/>
    <x v="2"/>
    <x v="1"/>
    <x v="3"/>
    <x v="3"/>
    <x v="0"/>
    <n v="37"/>
    <x v="3"/>
    <x v="0"/>
  </r>
  <r>
    <n v="63869"/>
    <x v="3"/>
    <n v="0"/>
    <x v="3"/>
    <x v="3"/>
    <x v="1"/>
    <x v="3"/>
    <x v="3"/>
    <x v="0"/>
    <n v="37"/>
    <x v="4"/>
    <x v="0"/>
  </r>
  <r>
    <n v="63871"/>
    <x v="3"/>
    <n v="0"/>
    <x v="4"/>
    <x v="4"/>
    <x v="1"/>
    <x v="3"/>
    <x v="3"/>
    <x v="0"/>
    <n v="37"/>
    <x v="5"/>
    <x v="0"/>
  </r>
  <r>
    <n v="63872"/>
    <x v="3"/>
    <n v="20000"/>
    <x v="5"/>
    <x v="5"/>
    <x v="2"/>
    <x v="3"/>
    <x v="3"/>
    <x v="0"/>
    <n v="37"/>
    <x v="6"/>
    <x v="0"/>
  </r>
  <r>
    <n v="63873"/>
    <x v="3"/>
    <n v="20000"/>
    <x v="6"/>
    <x v="6"/>
    <x v="2"/>
    <x v="3"/>
    <x v="3"/>
    <x v="0"/>
    <n v="37"/>
    <x v="7"/>
    <x v="0"/>
  </r>
  <r>
    <n v="63875"/>
    <x v="3"/>
    <n v="0"/>
    <x v="7"/>
    <x v="7"/>
    <x v="0"/>
    <x v="3"/>
    <x v="3"/>
    <x v="0"/>
    <n v="37"/>
    <x v="8"/>
    <x v="0"/>
  </r>
  <r>
    <n v="63876"/>
    <x v="3"/>
    <n v="0"/>
    <x v="8"/>
    <x v="8"/>
    <x v="1"/>
    <x v="3"/>
    <x v="3"/>
    <x v="0"/>
    <n v="37"/>
    <x v="9"/>
    <x v="0"/>
  </r>
  <r>
    <n v="63877"/>
    <x v="3"/>
    <n v="0"/>
    <x v="11"/>
    <x v="11"/>
    <x v="1"/>
    <x v="3"/>
    <x v="3"/>
    <x v="0"/>
    <n v="37"/>
    <x v="12"/>
    <x v="0"/>
  </r>
  <r>
    <n v="63878"/>
    <x v="3"/>
    <n v="0"/>
    <x v="9"/>
    <x v="9"/>
    <x v="1"/>
    <x v="3"/>
    <x v="3"/>
    <x v="0"/>
    <n v="37"/>
    <x v="10"/>
    <x v="0"/>
  </r>
  <r>
    <n v="63879"/>
    <x v="3"/>
    <n v="0"/>
    <x v="10"/>
    <x v="10"/>
    <x v="1"/>
    <x v="3"/>
    <x v="3"/>
    <x v="0"/>
    <n v="37"/>
    <x v="11"/>
    <x v="0"/>
  </r>
  <r>
    <n v="63884"/>
    <x v="4"/>
    <n v="0"/>
    <x v="1"/>
    <x v="1"/>
    <x v="0"/>
    <x v="3"/>
    <x v="3"/>
    <x v="0"/>
    <n v="38"/>
    <x v="1"/>
    <x v="0"/>
  </r>
  <r>
    <n v="63885"/>
    <x v="4"/>
    <n v="0"/>
    <x v="1"/>
    <x v="1"/>
    <x v="1"/>
    <x v="3"/>
    <x v="3"/>
    <x v="0"/>
    <n v="38"/>
    <x v="2"/>
    <x v="0"/>
  </r>
  <r>
    <n v="63886"/>
    <x v="4"/>
    <n v="0"/>
    <x v="2"/>
    <x v="2"/>
    <x v="1"/>
    <x v="3"/>
    <x v="3"/>
    <x v="0"/>
    <n v="38"/>
    <x v="3"/>
    <x v="0"/>
  </r>
  <r>
    <n v="63887"/>
    <x v="4"/>
    <n v="0"/>
    <x v="3"/>
    <x v="3"/>
    <x v="1"/>
    <x v="3"/>
    <x v="3"/>
    <x v="0"/>
    <n v="38"/>
    <x v="4"/>
    <x v="0"/>
  </r>
  <r>
    <n v="63889"/>
    <x v="4"/>
    <n v="0"/>
    <x v="4"/>
    <x v="4"/>
    <x v="1"/>
    <x v="3"/>
    <x v="3"/>
    <x v="0"/>
    <n v="38"/>
    <x v="5"/>
    <x v="0"/>
  </r>
  <r>
    <n v="63890"/>
    <x v="4"/>
    <n v="20000"/>
    <x v="5"/>
    <x v="5"/>
    <x v="2"/>
    <x v="3"/>
    <x v="3"/>
    <x v="0"/>
    <n v="38"/>
    <x v="6"/>
    <x v="0"/>
  </r>
  <r>
    <n v="63891"/>
    <x v="4"/>
    <n v="20000"/>
    <x v="6"/>
    <x v="6"/>
    <x v="2"/>
    <x v="3"/>
    <x v="3"/>
    <x v="0"/>
    <n v="38"/>
    <x v="7"/>
    <x v="0"/>
  </r>
  <r>
    <n v="63892"/>
    <x v="4"/>
    <n v="0"/>
    <x v="12"/>
    <x v="12"/>
    <x v="0"/>
    <x v="3"/>
    <x v="3"/>
    <x v="0"/>
    <n v="38"/>
    <x v="14"/>
    <x v="0"/>
  </r>
  <r>
    <n v="63893"/>
    <x v="4"/>
    <n v="0"/>
    <x v="7"/>
    <x v="7"/>
    <x v="0"/>
    <x v="3"/>
    <x v="3"/>
    <x v="0"/>
    <n v="38"/>
    <x v="8"/>
    <x v="0"/>
  </r>
  <r>
    <n v="63894"/>
    <x v="4"/>
    <n v="0"/>
    <x v="8"/>
    <x v="8"/>
    <x v="1"/>
    <x v="3"/>
    <x v="3"/>
    <x v="0"/>
    <n v="38"/>
    <x v="9"/>
    <x v="0"/>
  </r>
  <r>
    <n v="63895"/>
    <x v="4"/>
    <n v="0"/>
    <x v="11"/>
    <x v="11"/>
    <x v="1"/>
    <x v="3"/>
    <x v="3"/>
    <x v="0"/>
    <n v="38"/>
    <x v="12"/>
    <x v="0"/>
  </r>
  <r>
    <n v="63896"/>
    <x v="4"/>
    <n v="0"/>
    <x v="9"/>
    <x v="9"/>
    <x v="1"/>
    <x v="3"/>
    <x v="3"/>
    <x v="0"/>
    <n v="38"/>
    <x v="10"/>
    <x v="0"/>
  </r>
  <r>
    <n v="63897"/>
    <x v="4"/>
    <n v="0"/>
    <x v="10"/>
    <x v="10"/>
    <x v="1"/>
    <x v="3"/>
    <x v="3"/>
    <x v="0"/>
    <n v="38"/>
    <x v="11"/>
    <x v="0"/>
  </r>
  <r>
    <n v="63902"/>
    <x v="6"/>
    <n v="0"/>
    <x v="1"/>
    <x v="1"/>
    <x v="0"/>
    <x v="4"/>
    <x v="4"/>
    <x v="1"/>
    <n v="25"/>
    <x v="1"/>
    <x v="0"/>
  </r>
  <r>
    <n v="63903"/>
    <x v="6"/>
    <n v="0"/>
    <x v="1"/>
    <x v="1"/>
    <x v="1"/>
    <x v="4"/>
    <x v="4"/>
    <x v="1"/>
    <n v="25"/>
    <x v="2"/>
    <x v="0"/>
  </r>
  <r>
    <n v="63904"/>
    <x v="6"/>
    <n v="0"/>
    <x v="2"/>
    <x v="2"/>
    <x v="1"/>
    <x v="4"/>
    <x v="4"/>
    <x v="1"/>
    <n v="25"/>
    <x v="3"/>
    <x v="0"/>
  </r>
  <r>
    <n v="63905"/>
    <x v="6"/>
    <n v="0"/>
    <x v="3"/>
    <x v="3"/>
    <x v="1"/>
    <x v="4"/>
    <x v="4"/>
    <x v="1"/>
    <n v="25"/>
    <x v="4"/>
    <x v="0"/>
  </r>
  <r>
    <n v="63907"/>
    <x v="6"/>
    <n v="0"/>
    <x v="4"/>
    <x v="4"/>
    <x v="1"/>
    <x v="4"/>
    <x v="4"/>
    <x v="1"/>
    <n v="25"/>
    <x v="5"/>
    <x v="0"/>
  </r>
  <r>
    <n v="63908"/>
    <x v="6"/>
    <n v="20000"/>
    <x v="5"/>
    <x v="5"/>
    <x v="2"/>
    <x v="4"/>
    <x v="4"/>
    <x v="1"/>
    <n v="25"/>
    <x v="6"/>
    <x v="0"/>
  </r>
  <r>
    <n v="63909"/>
    <x v="6"/>
    <n v="20000"/>
    <x v="6"/>
    <x v="6"/>
    <x v="2"/>
    <x v="4"/>
    <x v="4"/>
    <x v="1"/>
    <n v="25"/>
    <x v="7"/>
    <x v="0"/>
  </r>
  <r>
    <n v="63910"/>
    <x v="6"/>
    <n v="0"/>
    <x v="12"/>
    <x v="12"/>
    <x v="0"/>
    <x v="4"/>
    <x v="4"/>
    <x v="1"/>
    <n v="25"/>
    <x v="14"/>
    <x v="0"/>
  </r>
  <r>
    <n v="63912"/>
    <x v="6"/>
    <n v="0"/>
    <x v="8"/>
    <x v="8"/>
    <x v="1"/>
    <x v="4"/>
    <x v="4"/>
    <x v="1"/>
    <n v="25"/>
    <x v="9"/>
    <x v="0"/>
  </r>
  <r>
    <n v="63913"/>
    <x v="6"/>
    <n v="0"/>
    <x v="11"/>
    <x v="11"/>
    <x v="1"/>
    <x v="4"/>
    <x v="4"/>
    <x v="1"/>
    <n v="25"/>
    <x v="12"/>
    <x v="0"/>
  </r>
  <r>
    <n v="63914"/>
    <x v="6"/>
    <n v="0"/>
    <x v="9"/>
    <x v="9"/>
    <x v="1"/>
    <x v="4"/>
    <x v="4"/>
    <x v="1"/>
    <n v="25"/>
    <x v="10"/>
    <x v="0"/>
  </r>
  <r>
    <n v="63915"/>
    <x v="6"/>
    <n v="0"/>
    <x v="10"/>
    <x v="10"/>
    <x v="1"/>
    <x v="4"/>
    <x v="4"/>
    <x v="1"/>
    <n v="25"/>
    <x v="11"/>
    <x v="0"/>
  </r>
  <r>
    <n v="63870"/>
    <x v="3"/>
    <n v="7534"/>
    <x v="4"/>
    <x v="4"/>
    <x v="0"/>
    <x v="3"/>
    <x v="3"/>
    <x v="0"/>
    <n v="37"/>
    <x v="15"/>
    <x v="0"/>
  </r>
  <r>
    <n v="63882"/>
    <x v="4"/>
    <n v="6534"/>
    <x v="0"/>
    <x v="0"/>
    <x v="0"/>
    <x v="3"/>
    <x v="3"/>
    <x v="0"/>
    <n v="38"/>
    <x v="0"/>
    <x v="0"/>
  </r>
  <r>
    <n v="63888"/>
    <x v="4"/>
    <n v="5574"/>
    <x v="4"/>
    <x v="4"/>
    <x v="0"/>
    <x v="3"/>
    <x v="3"/>
    <x v="0"/>
    <n v="38"/>
    <x v="15"/>
    <x v="0"/>
  </r>
  <r>
    <n v="63911"/>
    <x v="6"/>
    <n v="3233"/>
    <x v="7"/>
    <x v="7"/>
    <x v="0"/>
    <x v="4"/>
    <x v="4"/>
    <x v="1"/>
    <n v="25"/>
    <x v="8"/>
    <x v="0"/>
  </r>
  <r>
    <n v="63874"/>
    <x v="3"/>
    <n v="234"/>
    <x v="12"/>
    <x v="12"/>
    <x v="0"/>
    <x v="3"/>
    <x v="3"/>
    <x v="0"/>
    <n v="37"/>
    <x v="14"/>
    <x v="0"/>
  </r>
  <r>
    <n v="63900"/>
    <x v="6"/>
    <n v="4354"/>
    <x v="0"/>
    <x v="0"/>
    <x v="0"/>
    <x v="4"/>
    <x v="4"/>
    <x v="1"/>
    <n v="25"/>
    <x v="0"/>
    <x v="0"/>
  </r>
  <r>
    <n v="63906"/>
    <x v="6"/>
    <n v="3243"/>
    <x v="4"/>
    <x v="4"/>
    <x v="0"/>
    <x v="4"/>
    <x v="4"/>
    <x v="1"/>
    <n v="25"/>
    <x v="15"/>
    <x v="0"/>
  </r>
  <r>
    <n v="63865"/>
    <x v="3"/>
    <n v="2000"/>
    <x v="0"/>
    <x v="0"/>
    <x v="1"/>
    <x v="3"/>
    <x v="3"/>
    <x v="0"/>
    <n v="37"/>
    <x v="13"/>
    <x v="0"/>
  </r>
  <r>
    <n v="63919"/>
    <x v="7"/>
    <n v="3000"/>
    <x v="0"/>
    <x v="0"/>
    <x v="1"/>
    <x v="4"/>
    <x v="4"/>
    <x v="1"/>
    <n v="26"/>
    <x v="13"/>
    <x v="0"/>
  </r>
  <r>
    <n v="63901"/>
    <x v="6"/>
    <n v="6000"/>
    <x v="0"/>
    <x v="0"/>
    <x v="1"/>
    <x v="4"/>
    <x v="4"/>
    <x v="1"/>
    <n v="25"/>
    <x v="13"/>
    <x v="0"/>
  </r>
  <r>
    <n v="63918"/>
    <x v="7"/>
    <n v="4333"/>
    <x v="0"/>
    <x v="0"/>
    <x v="0"/>
    <x v="4"/>
    <x v="4"/>
    <x v="1"/>
    <n v="26"/>
    <x v="0"/>
    <x v="0"/>
  </r>
  <r>
    <n v="63917"/>
    <x v="6"/>
    <n v="20000"/>
    <x v="6"/>
    <x v="6"/>
    <x v="3"/>
    <x v="4"/>
    <x v="4"/>
    <x v="1"/>
    <n v="25"/>
    <x v="16"/>
    <x v="0"/>
  </r>
  <r>
    <n v="63916"/>
    <x v="6"/>
    <n v="24830"/>
    <x v="5"/>
    <x v="5"/>
    <x v="3"/>
    <x v="4"/>
    <x v="4"/>
    <x v="1"/>
    <n v="25"/>
    <x v="17"/>
    <x v="0"/>
  </r>
  <r>
    <n v="63881"/>
    <x v="3"/>
    <n v="20000"/>
    <x v="6"/>
    <x v="6"/>
    <x v="3"/>
    <x v="3"/>
    <x v="3"/>
    <x v="0"/>
    <n v="37"/>
    <x v="16"/>
    <x v="0"/>
  </r>
  <r>
    <n v="63883"/>
    <x v="4"/>
    <n v="5000"/>
    <x v="0"/>
    <x v="0"/>
    <x v="1"/>
    <x v="3"/>
    <x v="3"/>
    <x v="0"/>
    <n v="38"/>
    <x v="13"/>
    <x v="0"/>
  </r>
  <r>
    <n v="63899"/>
    <x v="4"/>
    <n v="20000"/>
    <x v="6"/>
    <x v="6"/>
    <x v="3"/>
    <x v="3"/>
    <x v="3"/>
    <x v="0"/>
    <n v="38"/>
    <x v="16"/>
    <x v="0"/>
  </r>
  <r>
    <n v="63920"/>
    <x v="7"/>
    <n v="0"/>
    <x v="1"/>
    <x v="1"/>
    <x v="0"/>
    <x v="4"/>
    <x v="4"/>
    <x v="1"/>
    <n v="26"/>
    <x v="1"/>
    <x v="0"/>
  </r>
  <r>
    <n v="63921"/>
    <x v="7"/>
    <n v="0"/>
    <x v="1"/>
    <x v="1"/>
    <x v="1"/>
    <x v="4"/>
    <x v="4"/>
    <x v="1"/>
    <n v="26"/>
    <x v="2"/>
    <x v="0"/>
  </r>
  <r>
    <n v="63922"/>
    <x v="7"/>
    <n v="0"/>
    <x v="2"/>
    <x v="2"/>
    <x v="1"/>
    <x v="4"/>
    <x v="4"/>
    <x v="1"/>
    <n v="26"/>
    <x v="3"/>
    <x v="0"/>
  </r>
  <r>
    <n v="63923"/>
    <x v="7"/>
    <n v="0"/>
    <x v="3"/>
    <x v="3"/>
    <x v="1"/>
    <x v="4"/>
    <x v="4"/>
    <x v="1"/>
    <n v="26"/>
    <x v="4"/>
    <x v="0"/>
  </r>
  <r>
    <n v="63925"/>
    <x v="7"/>
    <n v="0"/>
    <x v="4"/>
    <x v="4"/>
    <x v="1"/>
    <x v="4"/>
    <x v="4"/>
    <x v="1"/>
    <n v="26"/>
    <x v="5"/>
    <x v="0"/>
  </r>
  <r>
    <n v="63926"/>
    <x v="7"/>
    <n v="20000"/>
    <x v="5"/>
    <x v="5"/>
    <x v="2"/>
    <x v="4"/>
    <x v="4"/>
    <x v="1"/>
    <n v="26"/>
    <x v="6"/>
    <x v="0"/>
  </r>
  <r>
    <n v="63927"/>
    <x v="7"/>
    <n v="20000"/>
    <x v="6"/>
    <x v="6"/>
    <x v="2"/>
    <x v="4"/>
    <x v="4"/>
    <x v="1"/>
    <n v="26"/>
    <x v="7"/>
    <x v="0"/>
  </r>
  <r>
    <n v="63928"/>
    <x v="7"/>
    <n v="0"/>
    <x v="12"/>
    <x v="12"/>
    <x v="0"/>
    <x v="4"/>
    <x v="4"/>
    <x v="1"/>
    <n v="26"/>
    <x v="14"/>
    <x v="0"/>
  </r>
  <r>
    <n v="63929"/>
    <x v="7"/>
    <n v="0"/>
    <x v="7"/>
    <x v="7"/>
    <x v="0"/>
    <x v="4"/>
    <x v="4"/>
    <x v="1"/>
    <n v="26"/>
    <x v="8"/>
    <x v="0"/>
  </r>
  <r>
    <n v="63930"/>
    <x v="7"/>
    <n v="0"/>
    <x v="8"/>
    <x v="8"/>
    <x v="1"/>
    <x v="4"/>
    <x v="4"/>
    <x v="1"/>
    <n v="26"/>
    <x v="9"/>
    <x v="0"/>
  </r>
  <r>
    <n v="63931"/>
    <x v="7"/>
    <n v="0"/>
    <x v="11"/>
    <x v="11"/>
    <x v="1"/>
    <x v="4"/>
    <x v="4"/>
    <x v="1"/>
    <n v="26"/>
    <x v="12"/>
    <x v="0"/>
  </r>
  <r>
    <n v="63932"/>
    <x v="7"/>
    <n v="0"/>
    <x v="9"/>
    <x v="9"/>
    <x v="1"/>
    <x v="4"/>
    <x v="4"/>
    <x v="1"/>
    <n v="26"/>
    <x v="10"/>
    <x v="0"/>
  </r>
  <r>
    <n v="63933"/>
    <x v="7"/>
    <n v="0"/>
    <x v="10"/>
    <x v="10"/>
    <x v="1"/>
    <x v="4"/>
    <x v="4"/>
    <x v="1"/>
    <n v="26"/>
    <x v="11"/>
    <x v="0"/>
  </r>
  <r>
    <n v="63937"/>
    <x v="8"/>
    <n v="0"/>
    <x v="0"/>
    <x v="0"/>
    <x v="1"/>
    <x v="4"/>
    <x v="4"/>
    <x v="1"/>
    <n v="27"/>
    <x v="13"/>
    <x v="0"/>
  </r>
  <r>
    <n v="63938"/>
    <x v="8"/>
    <n v="0"/>
    <x v="1"/>
    <x v="1"/>
    <x v="0"/>
    <x v="4"/>
    <x v="4"/>
    <x v="1"/>
    <n v="27"/>
    <x v="1"/>
    <x v="0"/>
  </r>
  <r>
    <n v="63939"/>
    <x v="8"/>
    <n v="0"/>
    <x v="1"/>
    <x v="1"/>
    <x v="1"/>
    <x v="4"/>
    <x v="4"/>
    <x v="1"/>
    <n v="27"/>
    <x v="2"/>
    <x v="0"/>
  </r>
  <r>
    <n v="63940"/>
    <x v="8"/>
    <n v="0"/>
    <x v="2"/>
    <x v="2"/>
    <x v="1"/>
    <x v="4"/>
    <x v="4"/>
    <x v="1"/>
    <n v="27"/>
    <x v="3"/>
    <x v="0"/>
  </r>
  <r>
    <n v="63941"/>
    <x v="8"/>
    <n v="0"/>
    <x v="3"/>
    <x v="3"/>
    <x v="1"/>
    <x v="4"/>
    <x v="4"/>
    <x v="1"/>
    <n v="27"/>
    <x v="4"/>
    <x v="0"/>
  </r>
  <r>
    <n v="63942"/>
    <x v="8"/>
    <n v="0"/>
    <x v="4"/>
    <x v="4"/>
    <x v="0"/>
    <x v="4"/>
    <x v="4"/>
    <x v="1"/>
    <n v="27"/>
    <x v="15"/>
    <x v="0"/>
  </r>
  <r>
    <n v="63943"/>
    <x v="8"/>
    <n v="0"/>
    <x v="4"/>
    <x v="4"/>
    <x v="1"/>
    <x v="4"/>
    <x v="4"/>
    <x v="1"/>
    <n v="27"/>
    <x v="5"/>
    <x v="0"/>
  </r>
  <r>
    <n v="63944"/>
    <x v="8"/>
    <n v="20000"/>
    <x v="5"/>
    <x v="5"/>
    <x v="2"/>
    <x v="4"/>
    <x v="4"/>
    <x v="1"/>
    <n v="27"/>
    <x v="6"/>
    <x v="0"/>
  </r>
  <r>
    <n v="63945"/>
    <x v="8"/>
    <n v="20000"/>
    <x v="6"/>
    <x v="6"/>
    <x v="2"/>
    <x v="4"/>
    <x v="4"/>
    <x v="1"/>
    <n v="27"/>
    <x v="7"/>
    <x v="0"/>
  </r>
  <r>
    <n v="63946"/>
    <x v="8"/>
    <n v="0"/>
    <x v="12"/>
    <x v="12"/>
    <x v="0"/>
    <x v="4"/>
    <x v="4"/>
    <x v="1"/>
    <n v="27"/>
    <x v="14"/>
    <x v="0"/>
  </r>
  <r>
    <n v="63947"/>
    <x v="8"/>
    <n v="0"/>
    <x v="7"/>
    <x v="7"/>
    <x v="0"/>
    <x v="4"/>
    <x v="4"/>
    <x v="1"/>
    <n v="27"/>
    <x v="8"/>
    <x v="0"/>
  </r>
  <r>
    <n v="63948"/>
    <x v="8"/>
    <n v="0"/>
    <x v="8"/>
    <x v="8"/>
    <x v="1"/>
    <x v="4"/>
    <x v="4"/>
    <x v="1"/>
    <n v="27"/>
    <x v="9"/>
    <x v="0"/>
  </r>
  <r>
    <n v="63949"/>
    <x v="8"/>
    <n v="0"/>
    <x v="11"/>
    <x v="11"/>
    <x v="1"/>
    <x v="4"/>
    <x v="4"/>
    <x v="1"/>
    <n v="27"/>
    <x v="12"/>
    <x v="0"/>
  </r>
  <r>
    <n v="63950"/>
    <x v="8"/>
    <n v="0"/>
    <x v="9"/>
    <x v="9"/>
    <x v="1"/>
    <x v="4"/>
    <x v="4"/>
    <x v="1"/>
    <n v="27"/>
    <x v="10"/>
    <x v="0"/>
  </r>
  <r>
    <n v="63951"/>
    <x v="8"/>
    <n v="0"/>
    <x v="10"/>
    <x v="10"/>
    <x v="1"/>
    <x v="4"/>
    <x v="4"/>
    <x v="1"/>
    <n v="27"/>
    <x v="11"/>
    <x v="0"/>
  </r>
  <r>
    <n v="63955"/>
    <x v="9"/>
    <n v="0"/>
    <x v="0"/>
    <x v="0"/>
    <x v="1"/>
    <x v="4"/>
    <x v="4"/>
    <x v="1"/>
    <n v="28"/>
    <x v="13"/>
    <x v="0"/>
  </r>
  <r>
    <n v="63957"/>
    <x v="9"/>
    <n v="0"/>
    <x v="1"/>
    <x v="1"/>
    <x v="1"/>
    <x v="4"/>
    <x v="4"/>
    <x v="1"/>
    <n v="28"/>
    <x v="2"/>
    <x v="0"/>
  </r>
  <r>
    <n v="63958"/>
    <x v="9"/>
    <n v="0"/>
    <x v="2"/>
    <x v="2"/>
    <x v="1"/>
    <x v="4"/>
    <x v="4"/>
    <x v="1"/>
    <n v="28"/>
    <x v="3"/>
    <x v="0"/>
  </r>
  <r>
    <n v="63959"/>
    <x v="9"/>
    <n v="0"/>
    <x v="3"/>
    <x v="3"/>
    <x v="1"/>
    <x v="4"/>
    <x v="4"/>
    <x v="1"/>
    <n v="28"/>
    <x v="4"/>
    <x v="0"/>
  </r>
  <r>
    <n v="63960"/>
    <x v="9"/>
    <n v="0"/>
    <x v="4"/>
    <x v="4"/>
    <x v="0"/>
    <x v="4"/>
    <x v="4"/>
    <x v="1"/>
    <n v="28"/>
    <x v="15"/>
    <x v="0"/>
  </r>
  <r>
    <n v="63961"/>
    <x v="9"/>
    <n v="0"/>
    <x v="4"/>
    <x v="4"/>
    <x v="1"/>
    <x v="4"/>
    <x v="4"/>
    <x v="1"/>
    <n v="28"/>
    <x v="5"/>
    <x v="0"/>
  </r>
  <r>
    <n v="63962"/>
    <x v="9"/>
    <n v="20000"/>
    <x v="5"/>
    <x v="5"/>
    <x v="2"/>
    <x v="4"/>
    <x v="4"/>
    <x v="1"/>
    <n v="28"/>
    <x v="6"/>
    <x v="0"/>
  </r>
  <r>
    <n v="63963"/>
    <x v="9"/>
    <n v="20000"/>
    <x v="6"/>
    <x v="6"/>
    <x v="2"/>
    <x v="4"/>
    <x v="4"/>
    <x v="1"/>
    <n v="28"/>
    <x v="7"/>
    <x v="0"/>
  </r>
  <r>
    <n v="63964"/>
    <x v="9"/>
    <n v="0"/>
    <x v="12"/>
    <x v="12"/>
    <x v="0"/>
    <x v="4"/>
    <x v="4"/>
    <x v="1"/>
    <n v="28"/>
    <x v="14"/>
    <x v="0"/>
  </r>
  <r>
    <n v="63965"/>
    <x v="9"/>
    <n v="0"/>
    <x v="7"/>
    <x v="7"/>
    <x v="0"/>
    <x v="4"/>
    <x v="4"/>
    <x v="1"/>
    <n v="28"/>
    <x v="8"/>
    <x v="0"/>
  </r>
  <r>
    <n v="63966"/>
    <x v="9"/>
    <n v="0"/>
    <x v="8"/>
    <x v="8"/>
    <x v="1"/>
    <x v="4"/>
    <x v="4"/>
    <x v="1"/>
    <n v="28"/>
    <x v="9"/>
    <x v="0"/>
  </r>
  <r>
    <n v="63967"/>
    <x v="9"/>
    <n v="0"/>
    <x v="11"/>
    <x v="11"/>
    <x v="1"/>
    <x v="4"/>
    <x v="4"/>
    <x v="1"/>
    <n v="28"/>
    <x v="12"/>
    <x v="0"/>
  </r>
  <r>
    <n v="63968"/>
    <x v="9"/>
    <n v="0"/>
    <x v="9"/>
    <x v="9"/>
    <x v="1"/>
    <x v="4"/>
    <x v="4"/>
    <x v="1"/>
    <n v="28"/>
    <x v="10"/>
    <x v="0"/>
  </r>
  <r>
    <n v="63969"/>
    <x v="9"/>
    <n v="0"/>
    <x v="10"/>
    <x v="10"/>
    <x v="1"/>
    <x v="4"/>
    <x v="4"/>
    <x v="1"/>
    <n v="28"/>
    <x v="11"/>
    <x v="0"/>
  </r>
  <r>
    <n v="63935"/>
    <x v="7"/>
    <n v="20000"/>
    <x v="6"/>
    <x v="6"/>
    <x v="3"/>
    <x v="4"/>
    <x v="4"/>
    <x v="1"/>
    <n v="26"/>
    <x v="16"/>
    <x v="0"/>
  </r>
  <r>
    <n v="63924"/>
    <x v="7"/>
    <n v="2343"/>
    <x v="4"/>
    <x v="4"/>
    <x v="0"/>
    <x v="4"/>
    <x v="4"/>
    <x v="1"/>
    <n v="26"/>
    <x v="15"/>
    <x v="0"/>
  </r>
  <r>
    <n v="63970"/>
    <x v="9"/>
    <n v="33242"/>
    <x v="5"/>
    <x v="5"/>
    <x v="3"/>
    <x v="4"/>
    <x v="4"/>
    <x v="1"/>
    <n v="28"/>
    <x v="17"/>
    <x v="0"/>
  </r>
  <r>
    <n v="63956"/>
    <x v="9"/>
    <n v="9888"/>
    <x v="1"/>
    <x v="1"/>
    <x v="0"/>
    <x v="4"/>
    <x v="4"/>
    <x v="1"/>
    <n v="28"/>
    <x v="1"/>
    <x v="0"/>
  </r>
  <r>
    <n v="63954"/>
    <x v="9"/>
    <n v="4354"/>
    <x v="0"/>
    <x v="0"/>
    <x v="0"/>
    <x v="4"/>
    <x v="4"/>
    <x v="1"/>
    <n v="28"/>
    <x v="0"/>
    <x v="0"/>
  </r>
  <r>
    <n v="63952"/>
    <x v="8"/>
    <n v="23453"/>
    <x v="5"/>
    <x v="5"/>
    <x v="3"/>
    <x v="4"/>
    <x v="4"/>
    <x v="1"/>
    <n v="27"/>
    <x v="17"/>
    <x v="0"/>
  </r>
  <r>
    <n v="63953"/>
    <x v="8"/>
    <n v="20000"/>
    <x v="6"/>
    <x v="6"/>
    <x v="3"/>
    <x v="4"/>
    <x v="4"/>
    <x v="1"/>
    <n v="27"/>
    <x v="16"/>
    <x v="0"/>
  </r>
  <r>
    <n v="63936"/>
    <x v="8"/>
    <n v="3453"/>
    <x v="0"/>
    <x v="0"/>
    <x v="0"/>
    <x v="4"/>
    <x v="4"/>
    <x v="1"/>
    <n v="27"/>
    <x v="0"/>
    <x v="0"/>
  </r>
  <r>
    <n v="63971"/>
    <x v="9"/>
    <n v="20000"/>
    <x v="6"/>
    <x v="6"/>
    <x v="3"/>
    <x v="4"/>
    <x v="4"/>
    <x v="1"/>
    <n v="28"/>
    <x v="16"/>
    <x v="0"/>
  </r>
  <r>
    <n v="63972"/>
    <x v="10"/>
    <n v="0"/>
    <x v="0"/>
    <x v="0"/>
    <x v="0"/>
    <x v="4"/>
    <x v="4"/>
    <x v="1"/>
    <n v="29"/>
    <x v="0"/>
    <x v="0"/>
  </r>
  <r>
    <n v="63973"/>
    <x v="10"/>
    <n v="0"/>
    <x v="0"/>
    <x v="0"/>
    <x v="1"/>
    <x v="4"/>
    <x v="4"/>
    <x v="1"/>
    <n v="29"/>
    <x v="13"/>
    <x v="0"/>
  </r>
  <r>
    <n v="63975"/>
    <x v="10"/>
    <n v="0"/>
    <x v="1"/>
    <x v="1"/>
    <x v="1"/>
    <x v="4"/>
    <x v="4"/>
    <x v="1"/>
    <n v="29"/>
    <x v="2"/>
    <x v="0"/>
  </r>
  <r>
    <n v="63976"/>
    <x v="10"/>
    <n v="0"/>
    <x v="2"/>
    <x v="2"/>
    <x v="1"/>
    <x v="4"/>
    <x v="4"/>
    <x v="1"/>
    <n v="29"/>
    <x v="3"/>
    <x v="0"/>
  </r>
  <r>
    <n v="63977"/>
    <x v="10"/>
    <n v="0"/>
    <x v="3"/>
    <x v="3"/>
    <x v="1"/>
    <x v="4"/>
    <x v="4"/>
    <x v="1"/>
    <n v="29"/>
    <x v="4"/>
    <x v="0"/>
  </r>
  <r>
    <n v="63978"/>
    <x v="10"/>
    <n v="0"/>
    <x v="4"/>
    <x v="4"/>
    <x v="0"/>
    <x v="4"/>
    <x v="4"/>
    <x v="1"/>
    <n v="29"/>
    <x v="15"/>
    <x v="0"/>
  </r>
  <r>
    <n v="63979"/>
    <x v="10"/>
    <n v="0"/>
    <x v="4"/>
    <x v="4"/>
    <x v="1"/>
    <x v="4"/>
    <x v="4"/>
    <x v="1"/>
    <n v="29"/>
    <x v="5"/>
    <x v="0"/>
  </r>
  <r>
    <n v="63980"/>
    <x v="10"/>
    <n v="20000"/>
    <x v="5"/>
    <x v="5"/>
    <x v="2"/>
    <x v="4"/>
    <x v="4"/>
    <x v="1"/>
    <n v="29"/>
    <x v="6"/>
    <x v="0"/>
  </r>
  <r>
    <n v="63981"/>
    <x v="10"/>
    <n v="20000"/>
    <x v="6"/>
    <x v="6"/>
    <x v="2"/>
    <x v="4"/>
    <x v="4"/>
    <x v="1"/>
    <n v="29"/>
    <x v="7"/>
    <x v="0"/>
  </r>
  <r>
    <n v="63982"/>
    <x v="10"/>
    <n v="0"/>
    <x v="12"/>
    <x v="12"/>
    <x v="0"/>
    <x v="4"/>
    <x v="4"/>
    <x v="1"/>
    <n v="29"/>
    <x v="14"/>
    <x v="0"/>
  </r>
  <r>
    <n v="63983"/>
    <x v="10"/>
    <n v="0"/>
    <x v="7"/>
    <x v="7"/>
    <x v="0"/>
    <x v="4"/>
    <x v="4"/>
    <x v="1"/>
    <n v="29"/>
    <x v="8"/>
    <x v="0"/>
  </r>
  <r>
    <n v="63984"/>
    <x v="10"/>
    <n v="0"/>
    <x v="8"/>
    <x v="8"/>
    <x v="1"/>
    <x v="4"/>
    <x v="4"/>
    <x v="1"/>
    <n v="29"/>
    <x v="9"/>
    <x v="0"/>
  </r>
  <r>
    <n v="63985"/>
    <x v="10"/>
    <n v="0"/>
    <x v="11"/>
    <x v="11"/>
    <x v="1"/>
    <x v="4"/>
    <x v="4"/>
    <x v="1"/>
    <n v="29"/>
    <x v="12"/>
    <x v="0"/>
  </r>
  <r>
    <n v="63986"/>
    <x v="10"/>
    <n v="0"/>
    <x v="9"/>
    <x v="9"/>
    <x v="1"/>
    <x v="4"/>
    <x v="4"/>
    <x v="1"/>
    <n v="29"/>
    <x v="10"/>
    <x v="0"/>
  </r>
  <r>
    <n v="63987"/>
    <x v="10"/>
    <n v="0"/>
    <x v="10"/>
    <x v="10"/>
    <x v="1"/>
    <x v="4"/>
    <x v="4"/>
    <x v="1"/>
    <n v="29"/>
    <x v="11"/>
    <x v="0"/>
  </r>
  <r>
    <n v="63990"/>
    <x v="11"/>
    <n v="0"/>
    <x v="0"/>
    <x v="0"/>
    <x v="0"/>
    <x v="4"/>
    <x v="4"/>
    <x v="1"/>
    <n v="30"/>
    <x v="0"/>
    <x v="0"/>
  </r>
  <r>
    <n v="63991"/>
    <x v="11"/>
    <n v="0"/>
    <x v="0"/>
    <x v="0"/>
    <x v="1"/>
    <x v="4"/>
    <x v="4"/>
    <x v="1"/>
    <n v="30"/>
    <x v="13"/>
    <x v="0"/>
  </r>
  <r>
    <n v="63993"/>
    <x v="11"/>
    <n v="0"/>
    <x v="1"/>
    <x v="1"/>
    <x v="1"/>
    <x v="4"/>
    <x v="4"/>
    <x v="1"/>
    <n v="30"/>
    <x v="2"/>
    <x v="0"/>
  </r>
  <r>
    <n v="63994"/>
    <x v="11"/>
    <n v="0"/>
    <x v="2"/>
    <x v="2"/>
    <x v="1"/>
    <x v="4"/>
    <x v="4"/>
    <x v="1"/>
    <n v="30"/>
    <x v="3"/>
    <x v="0"/>
  </r>
  <r>
    <n v="63995"/>
    <x v="11"/>
    <n v="0"/>
    <x v="3"/>
    <x v="3"/>
    <x v="1"/>
    <x v="4"/>
    <x v="4"/>
    <x v="1"/>
    <n v="30"/>
    <x v="4"/>
    <x v="0"/>
  </r>
  <r>
    <n v="63996"/>
    <x v="11"/>
    <n v="0"/>
    <x v="4"/>
    <x v="4"/>
    <x v="0"/>
    <x v="4"/>
    <x v="4"/>
    <x v="1"/>
    <n v="30"/>
    <x v="15"/>
    <x v="0"/>
  </r>
  <r>
    <n v="63997"/>
    <x v="11"/>
    <n v="0"/>
    <x v="4"/>
    <x v="4"/>
    <x v="1"/>
    <x v="4"/>
    <x v="4"/>
    <x v="1"/>
    <n v="30"/>
    <x v="5"/>
    <x v="0"/>
  </r>
  <r>
    <n v="63998"/>
    <x v="11"/>
    <n v="20000"/>
    <x v="5"/>
    <x v="5"/>
    <x v="2"/>
    <x v="4"/>
    <x v="4"/>
    <x v="1"/>
    <n v="30"/>
    <x v="6"/>
    <x v="0"/>
  </r>
  <r>
    <n v="63999"/>
    <x v="11"/>
    <n v="20000"/>
    <x v="6"/>
    <x v="6"/>
    <x v="2"/>
    <x v="4"/>
    <x v="4"/>
    <x v="1"/>
    <n v="30"/>
    <x v="7"/>
    <x v="0"/>
  </r>
  <r>
    <n v="64000"/>
    <x v="11"/>
    <n v="0"/>
    <x v="12"/>
    <x v="12"/>
    <x v="0"/>
    <x v="4"/>
    <x v="4"/>
    <x v="1"/>
    <n v="30"/>
    <x v="14"/>
    <x v="0"/>
  </r>
  <r>
    <n v="64001"/>
    <x v="11"/>
    <n v="0"/>
    <x v="7"/>
    <x v="7"/>
    <x v="0"/>
    <x v="4"/>
    <x v="4"/>
    <x v="1"/>
    <n v="30"/>
    <x v="8"/>
    <x v="0"/>
  </r>
  <r>
    <n v="64002"/>
    <x v="11"/>
    <n v="0"/>
    <x v="8"/>
    <x v="8"/>
    <x v="1"/>
    <x v="4"/>
    <x v="4"/>
    <x v="1"/>
    <n v="30"/>
    <x v="9"/>
    <x v="0"/>
  </r>
  <r>
    <n v="64003"/>
    <x v="11"/>
    <n v="0"/>
    <x v="11"/>
    <x v="11"/>
    <x v="1"/>
    <x v="4"/>
    <x v="4"/>
    <x v="1"/>
    <n v="30"/>
    <x v="12"/>
    <x v="0"/>
  </r>
  <r>
    <n v="64004"/>
    <x v="11"/>
    <n v="0"/>
    <x v="9"/>
    <x v="9"/>
    <x v="1"/>
    <x v="4"/>
    <x v="4"/>
    <x v="1"/>
    <n v="30"/>
    <x v="10"/>
    <x v="0"/>
  </r>
  <r>
    <n v="64005"/>
    <x v="11"/>
    <n v="0"/>
    <x v="10"/>
    <x v="10"/>
    <x v="1"/>
    <x v="4"/>
    <x v="4"/>
    <x v="1"/>
    <n v="30"/>
    <x v="11"/>
    <x v="0"/>
  </r>
  <r>
    <n v="64009"/>
    <x v="12"/>
    <n v="0"/>
    <x v="0"/>
    <x v="0"/>
    <x v="1"/>
    <x v="4"/>
    <x v="4"/>
    <x v="1"/>
    <n v="31"/>
    <x v="13"/>
    <x v="0"/>
  </r>
  <r>
    <n v="64010"/>
    <x v="12"/>
    <n v="0"/>
    <x v="1"/>
    <x v="1"/>
    <x v="0"/>
    <x v="4"/>
    <x v="4"/>
    <x v="1"/>
    <n v="31"/>
    <x v="1"/>
    <x v="0"/>
  </r>
  <r>
    <n v="64011"/>
    <x v="12"/>
    <n v="0"/>
    <x v="1"/>
    <x v="1"/>
    <x v="1"/>
    <x v="4"/>
    <x v="4"/>
    <x v="1"/>
    <n v="31"/>
    <x v="2"/>
    <x v="0"/>
  </r>
  <r>
    <n v="64012"/>
    <x v="12"/>
    <n v="0"/>
    <x v="2"/>
    <x v="2"/>
    <x v="1"/>
    <x v="4"/>
    <x v="4"/>
    <x v="1"/>
    <n v="31"/>
    <x v="3"/>
    <x v="0"/>
  </r>
  <r>
    <n v="64013"/>
    <x v="12"/>
    <n v="0"/>
    <x v="3"/>
    <x v="3"/>
    <x v="1"/>
    <x v="4"/>
    <x v="4"/>
    <x v="1"/>
    <n v="31"/>
    <x v="4"/>
    <x v="0"/>
  </r>
  <r>
    <n v="64014"/>
    <x v="12"/>
    <n v="0"/>
    <x v="4"/>
    <x v="4"/>
    <x v="0"/>
    <x v="4"/>
    <x v="4"/>
    <x v="1"/>
    <n v="31"/>
    <x v="15"/>
    <x v="0"/>
  </r>
  <r>
    <n v="64015"/>
    <x v="12"/>
    <n v="0"/>
    <x v="4"/>
    <x v="4"/>
    <x v="1"/>
    <x v="4"/>
    <x v="4"/>
    <x v="1"/>
    <n v="31"/>
    <x v="5"/>
    <x v="0"/>
  </r>
  <r>
    <n v="64016"/>
    <x v="12"/>
    <n v="20000"/>
    <x v="5"/>
    <x v="5"/>
    <x v="2"/>
    <x v="4"/>
    <x v="4"/>
    <x v="1"/>
    <n v="31"/>
    <x v="6"/>
    <x v="0"/>
  </r>
  <r>
    <n v="64017"/>
    <x v="12"/>
    <n v="20000"/>
    <x v="6"/>
    <x v="6"/>
    <x v="2"/>
    <x v="4"/>
    <x v="4"/>
    <x v="1"/>
    <n v="31"/>
    <x v="7"/>
    <x v="0"/>
  </r>
  <r>
    <n v="64018"/>
    <x v="12"/>
    <n v="0"/>
    <x v="12"/>
    <x v="12"/>
    <x v="0"/>
    <x v="4"/>
    <x v="4"/>
    <x v="1"/>
    <n v="31"/>
    <x v="14"/>
    <x v="0"/>
  </r>
  <r>
    <n v="64019"/>
    <x v="12"/>
    <n v="0"/>
    <x v="7"/>
    <x v="7"/>
    <x v="0"/>
    <x v="4"/>
    <x v="4"/>
    <x v="1"/>
    <n v="31"/>
    <x v="8"/>
    <x v="0"/>
  </r>
  <r>
    <n v="64020"/>
    <x v="12"/>
    <n v="0"/>
    <x v="8"/>
    <x v="8"/>
    <x v="1"/>
    <x v="4"/>
    <x v="4"/>
    <x v="1"/>
    <n v="31"/>
    <x v="9"/>
    <x v="0"/>
  </r>
  <r>
    <n v="64021"/>
    <x v="12"/>
    <n v="0"/>
    <x v="11"/>
    <x v="11"/>
    <x v="1"/>
    <x v="4"/>
    <x v="4"/>
    <x v="1"/>
    <n v="31"/>
    <x v="12"/>
    <x v="0"/>
  </r>
  <r>
    <n v="64022"/>
    <x v="12"/>
    <n v="0"/>
    <x v="9"/>
    <x v="9"/>
    <x v="1"/>
    <x v="4"/>
    <x v="4"/>
    <x v="1"/>
    <n v="31"/>
    <x v="10"/>
    <x v="0"/>
  </r>
  <r>
    <n v="64023"/>
    <x v="12"/>
    <n v="0"/>
    <x v="10"/>
    <x v="10"/>
    <x v="1"/>
    <x v="4"/>
    <x v="4"/>
    <x v="1"/>
    <n v="31"/>
    <x v="11"/>
    <x v="0"/>
  </r>
  <r>
    <n v="63974"/>
    <x v="10"/>
    <n v="2342"/>
    <x v="1"/>
    <x v="1"/>
    <x v="0"/>
    <x v="4"/>
    <x v="4"/>
    <x v="1"/>
    <n v="29"/>
    <x v="1"/>
    <x v="0"/>
  </r>
  <r>
    <n v="64006"/>
    <x v="11"/>
    <n v="22322"/>
    <x v="5"/>
    <x v="5"/>
    <x v="3"/>
    <x v="4"/>
    <x v="4"/>
    <x v="1"/>
    <n v="30"/>
    <x v="17"/>
    <x v="0"/>
  </r>
  <r>
    <n v="64007"/>
    <x v="11"/>
    <n v="20000"/>
    <x v="6"/>
    <x v="6"/>
    <x v="3"/>
    <x v="4"/>
    <x v="4"/>
    <x v="1"/>
    <n v="30"/>
    <x v="16"/>
    <x v="0"/>
  </r>
  <r>
    <n v="63992"/>
    <x v="11"/>
    <n v="2322"/>
    <x v="1"/>
    <x v="1"/>
    <x v="0"/>
    <x v="4"/>
    <x v="4"/>
    <x v="1"/>
    <n v="30"/>
    <x v="1"/>
    <x v="0"/>
  </r>
  <r>
    <n v="64024"/>
    <x v="12"/>
    <n v="23433"/>
    <x v="5"/>
    <x v="5"/>
    <x v="3"/>
    <x v="4"/>
    <x v="4"/>
    <x v="1"/>
    <n v="31"/>
    <x v="17"/>
    <x v="0"/>
  </r>
  <r>
    <n v="64008"/>
    <x v="12"/>
    <n v="3433"/>
    <x v="0"/>
    <x v="0"/>
    <x v="0"/>
    <x v="4"/>
    <x v="4"/>
    <x v="1"/>
    <n v="31"/>
    <x v="0"/>
    <x v="0"/>
  </r>
  <r>
    <n v="63989"/>
    <x v="10"/>
    <n v="20000"/>
    <x v="6"/>
    <x v="6"/>
    <x v="3"/>
    <x v="4"/>
    <x v="4"/>
    <x v="1"/>
    <n v="29"/>
    <x v="16"/>
    <x v="0"/>
  </r>
  <r>
    <n v="64027"/>
    <x v="13"/>
    <n v="0"/>
    <x v="0"/>
    <x v="0"/>
    <x v="1"/>
    <x v="4"/>
    <x v="4"/>
    <x v="1"/>
    <n v="32"/>
    <x v="13"/>
    <x v="0"/>
  </r>
  <r>
    <n v="64028"/>
    <x v="13"/>
    <n v="0"/>
    <x v="1"/>
    <x v="1"/>
    <x v="0"/>
    <x v="4"/>
    <x v="4"/>
    <x v="1"/>
    <n v="32"/>
    <x v="1"/>
    <x v="0"/>
  </r>
  <r>
    <n v="64029"/>
    <x v="13"/>
    <n v="0"/>
    <x v="1"/>
    <x v="1"/>
    <x v="1"/>
    <x v="4"/>
    <x v="4"/>
    <x v="1"/>
    <n v="32"/>
    <x v="2"/>
    <x v="0"/>
  </r>
  <r>
    <n v="64030"/>
    <x v="13"/>
    <n v="0"/>
    <x v="2"/>
    <x v="2"/>
    <x v="1"/>
    <x v="4"/>
    <x v="4"/>
    <x v="1"/>
    <n v="32"/>
    <x v="3"/>
    <x v="0"/>
  </r>
  <r>
    <n v="64031"/>
    <x v="13"/>
    <n v="0"/>
    <x v="3"/>
    <x v="3"/>
    <x v="1"/>
    <x v="4"/>
    <x v="4"/>
    <x v="1"/>
    <n v="32"/>
    <x v="4"/>
    <x v="0"/>
  </r>
  <r>
    <n v="64032"/>
    <x v="13"/>
    <n v="0"/>
    <x v="4"/>
    <x v="4"/>
    <x v="0"/>
    <x v="4"/>
    <x v="4"/>
    <x v="1"/>
    <n v="32"/>
    <x v="15"/>
    <x v="0"/>
  </r>
  <r>
    <n v="64033"/>
    <x v="13"/>
    <n v="0"/>
    <x v="4"/>
    <x v="4"/>
    <x v="1"/>
    <x v="4"/>
    <x v="4"/>
    <x v="1"/>
    <n v="32"/>
    <x v="5"/>
    <x v="0"/>
  </r>
  <r>
    <n v="64034"/>
    <x v="13"/>
    <n v="20000"/>
    <x v="5"/>
    <x v="5"/>
    <x v="2"/>
    <x v="4"/>
    <x v="4"/>
    <x v="1"/>
    <n v="32"/>
    <x v="6"/>
    <x v="0"/>
  </r>
  <r>
    <n v="64035"/>
    <x v="13"/>
    <n v="20000"/>
    <x v="6"/>
    <x v="6"/>
    <x v="2"/>
    <x v="4"/>
    <x v="4"/>
    <x v="1"/>
    <n v="32"/>
    <x v="7"/>
    <x v="0"/>
  </r>
  <r>
    <n v="64036"/>
    <x v="13"/>
    <n v="0"/>
    <x v="12"/>
    <x v="12"/>
    <x v="0"/>
    <x v="4"/>
    <x v="4"/>
    <x v="1"/>
    <n v="32"/>
    <x v="14"/>
    <x v="0"/>
  </r>
  <r>
    <n v="64037"/>
    <x v="13"/>
    <n v="0"/>
    <x v="7"/>
    <x v="7"/>
    <x v="0"/>
    <x v="4"/>
    <x v="4"/>
    <x v="1"/>
    <n v="32"/>
    <x v="8"/>
    <x v="0"/>
  </r>
  <r>
    <n v="64038"/>
    <x v="13"/>
    <n v="0"/>
    <x v="8"/>
    <x v="8"/>
    <x v="1"/>
    <x v="4"/>
    <x v="4"/>
    <x v="1"/>
    <n v="32"/>
    <x v="9"/>
    <x v="0"/>
  </r>
  <r>
    <n v="64039"/>
    <x v="13"/>
    <n v="0"/>
    <x v="11"/>
    <x v="11"/>
    <x v="1"/>
    <x v="4"/>
    <x v="4"/>
    <x v="1"/>
    <n v="32"/>
    <x v="12"/>
    <x v="0"/>
  </r>
  <r>
    <n v="64040"/>
    <x v="13"/>
    <n v="0"/>
    <x v="9"/>
    <x v="9"/>
    <x v="1"/>
    <x v="4"/>
    <x v="4"/>
    <x v="1"/>
    <n v="32"/>
    <x v="10"/>
    <x v="0"/>
  </r>
  <r>
    <n v="64041"/>
    <x v="13"/>
    <n v="0"/>
    <x v="10"/>
    <x v="10"/>
    <x v="1"/>
    <x v="4"/>
    <x v="4"/>
    <x v="1"/>
    <n v="32"/>
    <x v="11"/>
    <x v="0"/>
  </r>
  <r>
    <n v="64044"/>
    <x v="14"/>
    <n v="0"/>
    <x v="0"/>
    <x v="0"/>
    <x v="0"/>
    <x v="4"/>
    <x v="4"/>
    <x v="1"/>
    <n v="33"/>
    <x v="0"/>
    <x v="0"/>
  </r>
  <r>
    <n v="64045"/>
    <x v="14"/>
    <n v="0"/>
    <x v="0"/>
    <x v="0"/>
    <x v="1"/>
    <x v="4"/>
    <x v="4"/>
    <x v="1"/>
    <n v="33"/>
    <x v="13"/>
    <x v="0"/>
  </r>
  <r>
    <n v="64046"/>
    <x v="14"/>
    <n v="0"/>
    <x v="1"/>
    <x v="1"/>
    <x v="0"/>
    <x v="4"/>
    <x v="4"/>
    <x v="1"/>
    <n v="33"/>
    <x v="1"/>
    <x v="0"/>
  </r>
  <r>
    <n v="64047"/>
    <x v="14"/>
    <n v="0"/>
    <x v="1"/>
    <x v="1"/>
    <x v="1"/>
    <x v="4"/>
    <x v="4"/>
    <x v="1"/>
    <n v="33"/>
    <x v="2"/>
    <x v="0"/>
  </r>
  <r>
    <n v="64048"/>
    <x v="14"/>
    <n v="0"/>
    <x v="2"/>
    <x v="2"/>
    <x v="1"/>
    <x v="4"/>
    <x v="4"/>
    <x v="1"/>
    <n v="33"/>
    <x v="3"/>
    <x v="0"/>
  </r>
  <r>
    <n v="64049"/>
    <x v="14"/>
    <n v="0"/>
    <x v="3"/>
    <x v="3"/>
    <x v="1"/>
    <x v="4"/>
    <x v="4"/>
    <x v="1"/>
    <n v="33"/>
    <x v="4"/>
    <x v="0"/>
  </r>
  <r>
    <n v="64050"/>
    <x v="14"/>
    <n v="0"/>
    <x v="4"/>
    <x v="4"/>
    <x v="0"/>
    <x v="4"/>
    <x v="4"/>
    <x v="1"/>
    <n v="33"/>
    <x v="15"/>
    <x v="0"/>
  </r>
  <r>
    <n v="64051"/>
    <x v="14"/>
    <n v="0"/>
    <x v="4"/>
    <x v="4"/>
    <x v="1"/>
    <x v="4"/>
    <x v="4"/>
    <x v="1"/>
    <n v="33"/>
    <x v="5"/>
    <x v="0"/>
  </r>
  <r>
    <n v="64052"/>
    <x v="14"/>
    <n v="20000"/>
    <x v="5"/>
    <x v="5"/>
    <x v="2"/>
    <x v="4"/>
    <x v="4"/>
    <x v="1"/>
    <n v="33"/>
    <x v="6"/>
    <x v="0"/>
  </r>
  <r>
    <n v="64053"/>
    <x v="14"/>
    <n v="20000"/>
    <x v="6"/>
    <x v="6"/>
    <x v="2"/>
    <x v="4"/>
    <x v="4"/>
    <x v="1"/>
    <n v="33"/>
    <x v="7"/>
    <x v="0"/>
  </r>
  <r>
    <n v="64054"/>
    <x v="14"/>
    <n v="0"/>
    <x v="12"/>
    <x v="12"/>
    <x v="0"/>
    <x v="4"/>
    <x v="4"/>
    <x v="1"/>
    <n v="33"/>
    <x v="14"/>
    <x v="0"/>
  </r>
  <r>
    <n v="64055"/>
    <x v="14"/>
    <n v="0"/>
    <x v="7"/>
    <x v="7"/>
    <x v="0"/>
    <x v="4"/>
    <x v="4"/>
    <x v="1"/>
    <n v="33"/>
    <x v="8"/>
    <x v="0"/>
  </r>
  <r>
    <n v="64056"/>
    <x v="14"/>
    <n v="0"/>
    <x v="8"/>
    <x v="8"/>
    <x v="1"/>
    <x v="4"/>
    <x v="4"/>
    <x v="1"/>
    <n v="33"/>
    <x v="9"/>
    <x v="0"/>
  </r>
  <r>
    <n v="64057"/>
    <x v="14"/>
    <n v="0"/>
    <x v="11"/>
    <x v="11"/>
    <x v="1"/>
    <x v="4"/>
    <x v="4"/>
    <x v="1"/>
    <n v="33"/>
    <x v="12"/>
    <x v="0"/>
  </r>
  <r>
    <n v="64058"/>
    <x v="14"/>
    <n v="0"/>
    <x v="9"/>
    <x v="9"/>
    <x v="1"/>
    <x v="4"/>
    <x v="4"/>
    <x v="1"/>
    <n v="33"/>
    <x v="10"/>
    <x v="0"/>
  </r>
  <r>
    <n v="64059"/>
    <x v="14"/>
    <n v="0"/>
    <x v="10"/>
    <x v="10"/>
    <x v="1"/>
    <x v="4"/>
    <x v="4"/>
    <x v="1"/>
    <n v="33"/>
    <x v="11"/>
    <x v="0"/>
  </r>
  <r>
    <n v="64060"/>
    <x v="14"/>
    <n v="20000"/>
    <x v="5"/>
    <x v="5"/>
    <x v="3"/>
    <x v="4"/>
    <x v="4"/>
    <x v="1"/>
    <n v="33"/>
    <x v="17"/>
    <x v="0"/>
  </r>
  <r>
    <n v="64061"/>
    <x v="14"/>
    <n v="20000"/>
    <x v="6"/>
    <x v="6"/>
    <x v="3"/>
    <x v="4"/>
    <x v="4"/>
    <x v="1"/>
    <n v="33"/>
    <x v="16"/>
    <x v="0"/>
  </r>
  <r>
    <n v="64062"/>
    <x v="15"/>
    <n v="0"/>
    <x v="0"/>
    <x v="0"/>
    <x v="0"/>
    <x v="4"/>
    <x v="4"/>
    <x v="1"/>
    <n v="34"/>
    <x v="0"/>
    <x v="0"/>
  </r>
  <r>
    <n v="64063"/>
    <x v="15"/>
    <n v="0"/>
    <x v="0"/>
    <x v="0"/>
    <x v="1"/>
    <x v="4"/>
    <x v="4"/>
    <x v="1"/>
    <n v="34"/>
    <x v="13"/>
    <x v="0"/>
  </r>
  <r>
    <n v="64064"/>
    <x v="15"/>
    <n v="0"/>
    <x v="1"/>
    <x v="1"/>
    <x v="0"/>
    <x v="4"/>
    <x v="4"/>
    <x v="1"/>
    <n v="34"/>
    <x v="1"/>
    <x v="0"/>
  </r>
  <r>
    <n v="64065"/>
    <x v="15"/>
    <n v="0"/>
    <x v="1"/>
    <x v="1"/>
    <x v="1"/>
    <x v="4"/>
    <x v="4"/>
    <x v="1"/>
    <n v="34"/>
    <x v="2"/>
    <x v="0"/>
  </r>
  <r>
    <n v="64066"/>
    <x v="15"/>
    <n v="0"/>
    <x v="2"/>
    <x v="2"/>
    <x v="1"/>
    <x v="4"/>
    <x v="4"/>
    <x v="1"/>
    <n v="34"/>
    <x v="3"/>
    <x v="0"/>
  </r>
  <r>
    <n v="64067"/>
    <x v="15"/>
    <n v="0"/>
    <x v="3"/>
    <x v="3"/>
    <x v="1"/>
    <x v="4"/>
    <x v="4"/>
    <x v="1"/>
    <n v="34"/>
    <x v="4"/>
    <x v="0"/>
  </r>
  <r>
    <n v="64068"/>
    <x v="15"/>
    <n v="0"/>
    <x v="4"/>
    <x v="4"/>
    <x v="0"/>
    <x v="4"/>
    <x v="4"/>
    <x v="1"/>
    <n v="34"/>
    <x v="15"/>
    <x v="0"/>
  </r>
  <r>
    <n v="64069"/>
    <x v="15"/>
    <n v="0"/>
    <x v="4"/>
    <x v="4"/>
    <x v="1"/>
    <x v="4"/>
    <x v="4"/>
    <x v="1"/>
    <n v="34"/>
    <x v="5"/>
    <x v="0"/>
  </r>
  <r>
    <n v="64070"/>
    <x v="15"/>
    <n v="20000"/>
    <x v="5"/>
    <x v="5"/>
    <x v="2"/>
    <x v="4"/>
    <x v="4"/>
    <x v="1"/>
    <n v="34"/>
    <x v="6"/>
    <x v="0"/>
  </r>
  <r>
    <n v="64071"/>
    <x v="15"/>
    <n v="20000"/>
    <x v="6"/>
    <x v="6"/>
    <x v="2"/>
    <x v="4"/>
    <x v="4"/>
    <x v="1"/>
    <n v="34"/>
    <x v="7"/>
    <x v="0"/>
  </r>
  <r>
    <n v="64072"/>
    <x v="15"/>
    <n v="0"/>
    <x v="12"/>
    <x v="12"/>
    <x v="0"/>
    <x v="4"/>
    <x v="4"/>
    <x v="1"/>
    <n v="34"/>
    <x v="14"/>
    <x v="0"/>
  </r>
  <r>
    <n v="64073"/>
    <x v="15"/>
    <n v="0"/>
    <x v="7"/>
    <x v="7"/>
    <x v="0"/>
    <x v="4"/>
    <x v="4"/>
    <x v="1"/>
    <n v="34"/>
    <x v="8"/>
    <x v="0"/>
  </r>
  <r>
    <n v="64074"/>
    <x v="15"/>
    <n v="0"/>
    <x v="8"/>
    <x v="8"/>
    <x v="1"/>
    <x v="4"/>
    <x v="4"/>
    <x v="1"/>
    <n v="34"/>
    <x v="9"/>
    <x v="0"/>
  </r>
  <r>
    <n v="64075"/>
    <x v="15"/>
    <n v="0"/>
    <x v="11"/>
    <x v="11"/>
    <x v="1"/>
    <x v="4"/>
    <x v="4"/>
    <x v="1"/>
    <n v="34"/>
    <x v="12"/>
    <x v="0"/>
  </r>
  <r>
    <n v="64076"/>
    <x v="15"/>
    <n v="0"/>
    <x v="9"/>
    <x v="9"/>
    <x v="1"/>
    <x v="4"/>
    <x v="4"/>
    <x v="1"/>
    <n v="34"/>
    <x v="10"/>
    <x v="0"/>
  </r>
  <r>
    <n v="64043"/>
    <x v="13"/>
    <n v="20000"/>
    <x v="6"/>
    <x v="6"/>
    <x v="3"/>
    <x v="4"/>
    <x v="4"/>
    <x v="1"/>
    <n v="32"/>
    <x v="16"/>
    <x v="0"/>
  </r>
  <r>
    <n v="64026"/>
    <x v="13"/>
    <n v="9389"/>
    <x v="0"/>
    <x v="0"/>
    <x v="0"/>
    <x v="4"/>
    <x v="4"/>
    <x v="1"/>
    <n v="32"/>
    <x v="0"/>
    <x v="0"/>
  </r>
  <r>
    <n v="64077"/>
    <x v="15"/>
    <n v="0"/>
    <x v="10"/>
    <x v="10"/>
    <x v="1"/>
    <x v="4"/>
    <x v="4"/>
    <x v="1"/>
    <n v="34"/>
    <x v="11"/>
    <x v="0"/>
  </r>
  <r>
    <n v="64078"/>
    <x v="15"/>
    <n v="20000"/>
    <x v="5"/>
    <x v="5"/>
    <x v="3"/>
    <x v="4"/>
    <x v="4"/>
    <x v="1"/>
    <n v="34"/>
    <x v="17"/>
    <x v="0"/>
  </r>
  <r>
    <n v="64079"/>
    <x v="15"/>
    <n v="20000"/>
    <x v="6"/>
    <x v="6"/>
    <x v="3"/>
    <x v="4"/>
    <x v="4"/>
    <x v="1"/>
    <n v="34"/>
    <x v="16"/>
    <x v="0"/>
  </r>
  <r>
    <n v="64080"/>
    <x v="16"/>
    <n v="0"/>
    <x v="0"/>
    <x v="0"/>
    <x v="0"/>
    <x v="5"/>
    <x v="4"/>
    <x v="1"/>
    <n v="35"/>
    <x v="0"/>
    <x v="0"/>
  </r>
  <r>
    <n v="64081"/>
    <x v="16"/>
    <n v="0"/>
    <x v="0"/>
    <x v="0"/>
    <x v="1"/>
    <x v="5"/>
    <x v="4"/>
    <x v="1"/>
    <n v="35"/>
    <x v="13"/>
    <x v="0"/>
  </r>
  <r>
    <n v="64082"/>
    <x v="16"/>
    <n v="0"/>
    <x v="1"/>
    <x v="1"/>
    <x v="0"/>
    <x v="5"/>
    <x v="4"/>
    <x v="1"/>
    <n v="35"/>
    <x v="1"/>
    <x v="0"/>
  </r>
  <r>
    <n v="64083"/>
    <x v="16"/>
    <n v="0"/>
    <x v="1"/>
    <x v="1"/>
    <x v="1"/>
    <x v="5"/>
    <x v="4"/>
    <x v="1"/>
    <n v="35"/>
    <x v="2"/>
    <x v="0"/>
  </r>
  <r>
    <n v="64084"/>
    <x v="16"/>
    <n v="0"/>
    <x v="2"/>
    <x v="2"/>
    <x v="1"/>
    <x v="5"/>
    <x v="4"/>
    <x v="1"/>
    <n v="35"/>
    <x v="3"/>
    <x v="0"/>
  </r>
  <r>
    <n v="64085"/>
    <x v="16"/>
    <n v="0"/>
    <x v="3"/>
    <x v="3"/>
    <x v="1"/>
    <x v="5"/>
    <x v="4"/>
    <x v="1"/>
    <n v="35"/>
    <x v="4"/>
    <x v="0"/>
  </r>
  <r>
    <n v="64086"/>
    <x v="16"/>
    <n v="0"/>
    <x v="4"/>
    <x v="4"/>
    <x v="0"/>
    <x v="5"/>
    <x v="4"/>
    <x v="1"/>
    <n v="35"/>
    <x v="15"/>
    <x v="0"/>
  </r>
  <r>
    <n v="64087"/>
    <x v="16"/>
    <n v="0"/>
    <x v="4"/>
    <x v="4"/>
    <x v="1"/>
    <x v="5"/>
    <x v="4"/>
    <x v="1"/>
    <n v="35"/>
    <x v="5"/>
    <x v="0"/>
  </r>
  <r>
    <n v="64088"/>
    <x v="16"/>
    <n v="20000"/>
    <x v="5"/>
    <x v="5"/>
    <x v="2"/>
    <x v="5"/>
    <x v="4"/>
    <x v="1"/>
    <n v="35"/>
    <x v="6"/>
    <x v="0"/>
  </r>
  <r>
    <n v="64089"/>
    <x v="16"/>
    <n v="20000"/>
    <x v="6"/>
    <x v="6"/>
    <x v="2"/>
    <x v="5"/>
    <x v="4"/>
    <x v="1"/>
    <n v="35"/>
    <x v="7"/>
    <x v="0"/>
  </r>
  <r>
    <n v="64090"/>
    <x v="16"/>
    <n v="0"/>
    <x v="12"/>
    <x v="12"/>
    <x v="0"/>
    <x v="5"/>
    <x v="4"/>
    <x v="1"/>
    <n v="35"/>
    <x v="14"/>
    <x v="0"/>
  </r>
  <r>
    <n v="64091"/>
    <x v="16"/>
    <n v="0"/>
    <x v="7"/>
    <x v="7"/>
    <x v="0"/>
    <x v="5"/>
    <x v="4"/>
    <x v="1"/>
    <n v="35"/>
    <x v="8"/>
    <x v="0"/>
  </r>
  <r>
    <n v="64092"/>
    <x v="16"/>
    <n v="0"/>
    <x v="8"/>
    <x v="8"/>
    <x v="1"/>
    <x v="5"/>
    <x v="4"/>
    <x v="1"/>
    <n v="35"/>
    <x v="9"/>
    <x v="0"/>
  </r>
  <r>
    <n v="64093"/>
    <x v="16"/>
    <n v="0"/>
    <x v="11"/>
    <x v="11"/>
    <x v="1"/>
    <x v="5"/>
    <x v="4"/>
    <x v="1"/>
    <n v="35"/>
    <x v="12"/>
    <x v="0"/>
  </r>
  <r>
    <n v="64094"/>
    <x v="16"/>
    <n v="0"/>
    <x v="9"/>
    <x v="9"/>
    <x v="1"/>
    <x v="5"/>
    <x v="4"/>
    <x v="1"/>
    <n v="35"/>
    <x v="10"/>
    <x v="0"/>
  </r>
  <r>
    <n v="64095"/>
    <x v="16"/>
    <n v="0"/>
    <x v="10"/>
    <x v="10"/>
    <x v="1"/>
    <x v="5"/>
    <x v="4"/>
    <x v="1"/>
    <n v="35"/>
    <x v="11"/>
    <x v="0"/>
  </r>
  <r>
    <n v="64096"/>
    <x v="16"/>
    <n v="20000"/>
    <x v="5"/>
    <x v="5"/>
    <x v="3"/>
    <x v="5"/>
    <x v="4"/>
    <x v="1"/>
    <n v="35"/>
    <x v="17"/>
    <x v="0"/>
  </r>
  <r>
    <n v="64097"/>
    <x v="16"/>
    <n v="20000"/>
    <x v="6"/>
    <x v="6"/>
    <x v="3"/>
    <x v="5"/>
    <x v="4"/>
    <x v="1"/>
    <n v="35"/>
    <x v="16"/>
    <x v="0"/>
  </r>
  <r>
    <n v="64098"/>
    <x v="17"/>
    <n v="0"/>
    <x v="0"/>
    <x v="0"/>
    <x v="0"/>
    <x v="5"/>
    <x v="4"/>
    <x v="1"/>
    <n v="39"/>
    <x v="0"/>
    <x v="0"/>
  </r>
  <r>
    <n v="64099"/>
    <x v="17"/>
    <n v="0"/>
    <x v="0"/>
    <x v="0"/>
    <x v="1"/>
    <x v="5"/>
    <x v="4"/>
    <x v="1"/>
    <n v="39"/>
    <x v="13"/>
    <x v="0"/>
  </r>
  <r>
    <n v="64100"/>
    <x v="17"/>
    <n v="0"/>
    <x v="1"/>
    <x v="1"/>
    <x v="0"/>
    <x v="5"/>
    <x v="4"/>
    <x v="1"/>
    <n v="39"/>
    <x v="1"/>
    <x v="0"/>
  </r>
  <r>
    <n v="64101"/>
    <x v="17"/>
    <n v="0"/>
    <x v="1"/>
    <x v="1"/>
    <x v="1"/>
    <x v="5"/>
    <x v="4"/>
    <x v="1"/>
    <n v="39"/>
    <x v="2"/>
    <x v="0"/>
  </r>
  <r>
    <n v="64102"/>
    <x v="17"/>
    <n v="0"/>
    <x v="2"/>
    <x v="2"/>
    <x v="1"/>
    <x v="5"/>
    <x v="4"/>
    <x v="1"/>
    <n v="39"/>
    <x v="3"/>
    <x v="0"/>
  </r>
  <r>
    <n v="64103"/>
    <x v="17"/>
    <n v="0"/>
    <x v="3"/>
    <x v="3"/>
    <x v="1"/>
    <x v="5"/>
    <x v="4"/>
    <x v="1"/>
    <n v="39"/>
    <x v="4"/>
    <x v="0"/>
  </r>
  <r>
    <n v="64104"/>
    <x v="17"/>
    <n v="0"/>
    <x v="4"/>
    <x v="4"/>
    <x v="0"/>
    <x v="5"/>
    <x v="4"/>
    <x v="1"/>
    <n v="39"/>
    <x v="15"/>
    <x v="0"/>
  </r>
  <r>
    <n v="64105"/>
    <x v="17"/>
    <n v="0"/>
    <x v="4"/>
    <x v="4"/>
    <x v="1"/>
    <x v="5"/>
    <x v="4"/>
    <x v="1"/>
    <n v="39"/>
    <x v="5"/>
    <x v="0"/>
  </r>
  <r>
    <n v="64106"/>
    <x v="17"/>
    <n v="20000"/>
    <x v="5"/>
    <x v="5"/>
    <x v="2"/>
    <x v="5"/>
    <x v="4"/>
    <x v="1"/>
    <n v="39"/>
    <x v="6"/>
    <x v="0"/>
  </r>
  <r>
    <n v="64107"/>
    <x v="17"/>
    <n v="20000"/>
    <x v="6"/>
    <x v="6"/>
    <x v="2"/>
    <x v="5"/>
    <x v="4"/>
    <x v="1"/>
    <n v="39"/>
    <x v="7"/>
    <x v="0"/>
  </r>
  <r>
    <n v="64108"/>
    <x v="17"/>
    <n v="0"/>
    <x v="12"/>
    <x v="12"/>
    <x v="0"/>
    <x v="5"/>
    <x v="4"/>
    <x v="1"/>
    <n v="39"/>
    <x v="14"/>
    <x v="0"/>
  </r>
  <r>
    <n v="64109"/>
    <x v="17"/>
    <n v="0"/>
    <x v="7"/>
    <x v="7"/>
    <x v="0"/>
    <x v="5"/>
    <x v="4"/>
    <x v="1"/>
    <n v="39"/>
    <x v="8"/>
    <x v="0"/>
  </r>
  <r>
    <n v="64110"/>
    <x v="17"/>
    <n v="0"/>
    <x v="8"/>
    <x v="8"/>
    <x v="1"/>
    <x v="5"/>
    <x v="4"/>
    <x v="1"/>
    <n v="39"/>
    <x v="9"/>
    <x v="0"/>
  </r>
  <r>
    <n v="64111"/>
    <x v="17"/>
    <n v="0"/>
    <x v="11"/>
    <x v="11"/>
    <x v="1"/>
    <x v="5"/>
    <x v="4"/>
    <x v="1"/>
    <n v="39"/>
    <x v="12"/>
    <x v="0"/>
  </r>
  <r>
    <n v="64112"/>
    <x v="17"/>
    <n v="0"/>
    <x v="9"/>
    <x v="9"/>
    <x v="1"/>
    <x v="5"/>
    <x v="4"/>
    <x v="1"/>
    <n v="39"/>
    <x v="10"/>
    <x v="0"/>
  </r>
  <r>
    <n v="64113"/>
    <x v="17"/>
    <n v="0"/>
    <x v="10"/>
    <x v="10"/>
    <x v="1"/>
    <x v="5"/>
    <x v="4"/>
    <x v="1"/>
    <n v="39"/>
    <x v="11"/>
    <x v="0"/>
  </r>
  <r>
    <n v="64114"/>
    <x v="17"/>
    <n v="20000"/>
    <x v="5"/>
    <x v="5"/>
    <x v="3"/>
    <x v="5"/>
    <x v="4"/>
    <x v="1"/>
    <n v="39"/>
    <x v="17"/>
    <x v="0"/>
  </r>
  <r>
    <n v="64115"/>
    <x v="17"/>
    <n v="20000"/>
    <x v="6"/>
    <x v="6"/>
    <x v="3"/>
    <x v="5"/>
    <x v="4"/>
    <x v="1"/>
    <n v="39"/>
    <x v="16"/>
    <x v="0"/>
  </r>
  <r>
    <n v="64116"/>
    <x v="18"/>
    <n v="0"/>
    <x v="0"/>
    <x v="0"/>
    <x v="0"/>
    <x v="5"/>
    <x v="4"/>
    <x v="1"/>
    <n v="40"/>
    <x v="0"/>
    <x v="0"/>
  </r>
  <r>
    <n v="64117"/>
    <x v="18"/>
    <n v="0"/>
    <x v="0"/>
    <x v="0"/>
    <x v="1"/>
    <x v="5"/>
    <x v="4"/>
    <x v="1"/>
    <n v="40"/>
    <x v="13"/>
    <x v="0"/>
  </r>
  <r>
    <n v="64118"/>
    <x v="18"/>
    <n v="0"/>
    <x v="1"/>
    <x v="1"/>
    <x v="0"/>
    <x v="5"/>
    <x v="4"/>
    <x v="1"/>
    <n v="40"/>
    <x v="1"/>
    <x v="0"/>
  </r>
  <r>
    <n v="64119"/>
    <x v="18"/>
    <n v="0"/>
    <x v="1"/>
    <x v="1"/>
    <x v="1"/>
    <x v="5"/>
    <x v="4"/>
    <x v="1"/>
    <n v="40"/>
    <x v="2"/>
    <x v="0"/>
  </r>
  <r>
    <n v="64120"/>
    <x v="18"/>
    <n v="0"/>
    <x v="2"/>
    <x v="2"/>
    <x v="1"/>
    <x v="5"/>
    <x v="4"/>
    <x v="1"/>
    <n v="40"/>
    <x v="3"/>
    <x v="0"/>
  </r>
  <r>
    <n v="64121"/>
    <x v="18"/>
    <n v="0"/>
    <x v="3"/>
    <x v="3"/>
    <x v="1"/>
    <x v="5"/>
    <x v="4"/>
    <x v="1"/>
    <n v="40"/>
    <x v="4"/>
    <x v="0"/>
  </r>
  <r>
    <n v="64122"/>
    <x v="18"/>
    <n v="0"/>
    <x v="4"/>
    <x v="4"/>
    <x v="0"/>
    <x v="5"/>
    <x v="4"/>
    <x v="1"/>
    <n v="40"/>
    <x v="15"/>
    <x v="0"/>
  </r>
  <r>
    <n v="64123"/>
    <x v="18"/>
    <n v="0"/>
    <x v="4"/>
    <x v="4"/>
    <x v="1"/>
    <x v="5"/>
    <x v="4"/>
    <x v="1"/>
    <n v="40"/>
    <x v="5"/>
    <x v="0"/>
  </r>
  <r>
    <n v="64124"/>
    <x v="18"/>
    <n v="20000"/>
    <x v="5"/>
    <x v="5"/>
    <x v="2"/>
    <x v="5"/>
    <x v="4"/>
    <x v="1"/>
    <n v="40"/>
    <x v="6"/>
    <x v="0"/>
  </r>
  <r>
    <n v="64125"/>
    <x v="18"/>
    <n v="20000"/>
    <x v="6"/>
    <x v="6"/>
    <x v="2"/>
    <x v="5"/>
    <x v="4"/>
    <x v="1"/>
    <n v="40"/>
    <x v="7"/>
    <x v="0"/>
  </r>
  <r>
    <n v="64126"/>
    <x v="18"/>
    <n v="0"/>
    <x v="12"/>
    <x v="12"/>
    <x v="0"/>
    <x v="5"/>
    <x v="4"/>
    <x v="1"/>
    <n v="40"/>
    <x v="14"/>
    <x v="0"/>
  </r>
  <r>
    <n v="64127"/>
    <x v="18"/>
    <n v="0"/>
    <x v="7"/>
    <x v="7"/>
    <x v="0"/>
    <x v="5"/>
    <x v="4"/>
    <x v="1"/>
    <n v="40"/>
    <x v="8"/>
    <x v="0"/>
  </r>
  <r>
    <n v="64128"/>
    <x v="18"/>
    <n v="0"/>
    <x v="8"/>
    <x v="8"/>
    <x v="1"/>
    <x v="5"/>
    <x v="4"/>
    <x v="1"/>
    <n v="40"/>
    <x v="9"/>
    <x v="0"/>
  </r>
  <r>
    <n v="64129"/>
    <x v="18"/>
    <n v="0"/>
    <x v="11"/>
    <x v="11"/>
    <x v="1"/>
    <x v="5"/>
    <x v="4"/>
    <x v="1"/>
    <n v="40"/>
    <x v="12"/>
    <x v="0"/>
  </r>
  <r>
    <n v="64130"/>
    <x v="18"/>
    <n v="0"/>
    <x v="9"/>
    <x v="9"/>
    <x v="1"/>
    <x v="5"/>
    <x v="4"/>
    <x v="1"/>
    <n v="40"/>
    <x v="10"/>
    <x v="0"/>
  </r>
  <r>
    <n v="64131"/>
    <x v="18"/>
    <n v="0"/>
    <x v="10"/>
    <x v="10"/>
    <x v="1"/>
    <x v="5"/>
    <x v="4"/>
    <x v="1"/>
    <n v="40"/>
    <x v="11"/>
    <x v="0"/>
  </r>
  <r>
    <n v="64132"/>
    <x v="18"/>
    <n v="20000"/>
    <x v="5"/>
    <x v="5"/>
    <x v="3"/>
    <x v="5"/>
    <x v="4"/>
    <x v="1"/>
    <n v="40"/>
    <x v="17"/>
    <x v="0"/>
  </r>
  <r>
    <n v="64133"/>
    <x v="18"/>
    <n v="20000"/>
    <x v="6"/>
    <x v="6"/>
    <x v="3"/>
    <x v="5"/>
    <x v="4"/>
    <x v="1"/>
    <n v="40"/>
    <x v="16"/>
    <x v="0"/>
  </r>
  <r>
    <n v="64134"/>
    <x v="19"/>
    <n v="0"/>
    <x v="0"/>
    <x v="0"/>
    <x v="0"/>
    <x v="5"/>
    <x v="4"/>
    <x v="1"/>
    <n v="41"/>
    <x v="0"/>
    <x v="0"/>
  </r>
  <r>
    <n v="64135"/>
    <x v="19"/>
    <n v="0"/>
    <x v="0"/>
    <x v="0"/>
    <x v="1"/>
    <x v="5"/>
    <x v="4"/>
    <x v="1"/>
    <n v="41"/>
    <x v="13"/>
    <x v="0"/>
  </r>
  <r>
    <n v="64136"/>
    <x v="19"/>
    <n v="0"/>
    <x v="1"/>
    <x v="1"/>
    <x v="0"/>
    <x v="5"/>
    <x v="4"/>
    <x v="1"/>
    <n v="41"/>
    <x v="1"/>
    <x v="0"/>
  </r>
  <r>
    <n v="64137"/>
    <x v="19"/>
    <n v="0"/>
    <x v="1"/>
    <x v="1"/>
    <x v="1"/>
    <x v="5"/>
    <x v="4"/>
    <x v="1"/>
    <n v="41"/>
    <x v="2"/>
    <x v="0"/>
  </r>
  <r>
    <n v="64138"/>
    <x v="19"/>
    <n v="0"/>
    <x v="2"/>
    <x v="2"/>
    <x v="1"/>
    <x v="5"/>
    <x v="4"/>
    <x v="1"/>
    <n v="41"/>
    <x v="3"/>
    <x v="0"/>
  </r>
  <r>
    <n v="64139"/>
    <x v="19"/>
    <n v="0"/>
    <x v="3"/>
    <x v="3"/>
    <x v="1"/>
    <x v="5"/>
    <x v="4"/>
    <x v="1"/>
    <n v="41"/>
    <x v="4"/>
    <x v="0"/>
  </r>
  <r>
    <n v="64140"/>
    <x v="19"/>
    <n v="0"/>
    <x v="4"/>
    <x v="4"/>
    <x v="0"/>
    <x v="5"/>
    <x v="4"/>
    <x v="1"/>
    <n v="41"/>
    <x v="15"/>
    <x v="0"/>
  </r>
  <r>
    <n v="64141"/>
    <x v="19"/>
    <n v="0"/>
    <x v="4"/>
    <x v="4"/>
    <x v="1"/>
    <x v="5"/>
    <x v="4"/>
    <x v="1"/>
    <n v="41"/>
    <x v="5"/>
    <x v="0"/>
  </r>
  <r>
    <n v="64142"/>
    <x v="19"/>
    <n v="20000"/>
    <x v="5"/>
    <x v="5"/>
    <x v="2"/>
    <x v="5"/>
    <x v="4"/>
    <x v="1"/>
    <n v="41"/>
    <x v="6"/>
    <x v="0"/>
  </r>
  <r>
    <n v="64143"/>
    <x v="19"/>
    <n v="20000"/>
    <x v="6"/>
    <x v="6"/>
    <x v="2"/>
    <x v="5"/>
    <x v="4"/>
    <x v="1"/>
    <n v="41"/>
    <x v="7"/>
    <x v="0"/>
  </r>
  <r>
    <n v="64144"/>
    <x v="19"/>
    <n v="0"/>
    <x v="12"/>
    <x v="12"/>
    <x v="0"/>
    <x v="5"/>
    <x v="4"/>
    <x v="1"/>
    <n v="41"/>
    <x v="14"/>
    <x v="0"/>
  </r>
  <r>
    <n v="64145"/>
    <x v="19"/>
    <n v="0"/>
    <x v="7"/>
    <x v="7"/>
    <x v="0"/>
    <x v="5"/>
    <x v="4"/>
    <x v="1"/>
    <n v="41"/>
    <x v="8"/>
    <x v="0"/>
  </r>
  <r>
    <n v="64146"/>
    <x v="19"/>
    <n v="0"/>
    <x v="8"/>
    <x v="8"/>
    <x v="1"/>
    <x v="5"/>
    <x v="4"/>
    <x v="1"/>
    <n v="41"/>
    <x v="9"/>
    <x v="0"/>
  </r>
  <r>
    <n v="64147"/>
    <x v="19"/>
    <n v="0"/>
    <x v="11"/>
    <x v="11"/>
    <x v="1"/>
    <x v="5"/>
    <x v="4"/>
    <x v="1"/>
    <n v="41"/>
    <x v="12"/>
    <x v="0"/>
  </r>
  <r>
    <n v="64148"/>
    <x v="19"/>
    <n v="0"/>
    <x v="9"/>
    <x v="9"/>
    <x v="1"/>
    <x v="5"/>
    <x v="4"/>
    <x v="1"/>
    <n v="41"/>
    <x v="10"/>
    <x v="0"/>
  </r>
  <r>
    <n v="64149"/>
    <x v="19"/>
    <n v="0"/>
    <x v="10"/>
    <x v="10"/>
    <x v="1"/>
    <x v="5"/>
    <x v="4"/>
    <x v="1"/>
    <n v="41"/>
    <x v="11"/>
    <x v="0"/>
  </r>
  <r>
    <n v="64150"/>
    <x v="19"/>
    <n v="20000"/>
    <x v="5"/>
    <x v="5"/>
    <x v="3"/>
    <x v="5"/>
    <x v="4"/>
    <x v="1"/>
    <n v="41"/>
    <x v="17"/>
    <x v="0"/>
  </r>
  <r>
    <n v="64151"/>
    <x v="19"/>
    <n v="20000"/>
    <x v="6"/>
    <x v="6"/>
    <x v="3"/>
    <x v="5"/>
    <x v="4"/>
    <x v="1"/>
    <n v="41"/>
    <x v="16"/>
    <x v="0"/>
  </r>
  <r>
    <n v="64152"/>
    <x v="20"/>
    <n v="0"/>
    <x v="0"/>
    <x v="0"/>
    <x v="0"/>
    <x v="5"/>
    <x v="4"/>
    <x v="1"/>
    <n v="42"/>
    <x v="0"/>
    <x v="0"/>
  </r>
  <r>
    <n v="64153"/>
    <x v="20"/>
    <n v="0"/>
    <x v="0"/>
    <x v="0"/>
    <x v="1"/>
    <x v="5"/>
    <x v="4"/>
    <x v="1"/>
    <n v="42"/>
    <x v="13"/>
    <x v="0"/>
  </r>
  <r>
    <n v="64154"/>
    <x v="20"/>
    <n v="0"/>
    <x v="1"/>
    <x v="1"/>
    <x v="0"/>
    <x v="5"/>
    <x v="4"/>
    <x v="1"/>
    <n v="42"/>
    <x v="1"/>
    <x v="0"/>
  </r>
  <r>
    <n v="64155"/>
    <x v="20"/>
    <n v="0"/>
    <x v="1"/>
    <x v="1"/>
    <x v="1"/>
    <x v="5"/>
    <x v="4"/>
    <x v="1"/>
    <n v="42"/>
    <x v="2"/>
    <x v="0"/>
  </r>
  <r>
    <n v="64156"/>
    <x v="20"/>
    <n v="0"/>
    <x v="2"/>
    <x v="2"/>
    <x v="1"/>
    <x v="5"/>
    <x v="4"/>
    <x v="1"/>
    <n v="42"/>
    <x v="3"/>
    <x v="0"/>
  </r>
  <r>
    <n v="64157"/>
    <x v="20"/>
    <n v="0"/>
    <x v="3"/>
    <x v="3"/>
    <x v="1"/>
    <x v="5"/>
    <x v="4"/>
    <x v="1"/>
    <n v="42"/>
    <x v="4"/>
    <x v="0"/>
  </r>
  <r>
    <n v="64158"/>
    <x v="20"/>
    <n v="0"/>
    <x v="4"/>
    <x v="4"/>
    <x v="0"/>
    <x v="5"/>
    <x v="4"/>
    <x v="1"/>
    <n v="42"/>
    <x v="15"/>
    <x v="0"/>
  </r>
  <r>
    <n v="64159"/>
    <x v="20"/>
    <n v="0"/>
    <x v="4"/>
    <x v="4"/>
    <x v="1"/>
    <x v="5"/>
    <x v="4"/>
    <x v="1"/>
    <n v="42"/>
    <x v="5"/>
    <x v="0"/>
  </r>
  <r>
    <n v="64160"/>
    <x v="20"/>
    <n v="20000"/>
    <x v="5"/>
    <x v="5"/>
    <x v="2"/>
    <x v="5"/>
    <x v="4"/>
    <x v="1"/>
    <n v="42"/>
    <x v="6"/>
    <x v="0"/>
  </r>
  <r>
    <n v="64161"/>
    <x v="20"/>
    <n v="20000"/>
    <x v="6"/>
    <x v="6"/>
    <x v="2"/>
    <x v="5"/>
    <x v="4"/>
    <x v="1"/>
    <n v="42"/>
    <x v="7"/>
    <x v="0"/>
  </r>
  <r>
    <n v="64162"/>
    <x v="20"/>
    <n v="0"/>
    <x v="12"/>
    <x v="12"/>
    <x v="0"/>
    <x v="5"/>
    <x v="4"/>
    <x v="1"/>
    <n v="42"/>
    <x v="14"/>
    <x v="0"/>
  </r>
  <r>
    <n v="64163"/>
    <x v="20"/>
    <n v="0"/>
    <x v="7"/>
    <x v="7"/>
    <x v="0"/>
    <x v="5"/>
    <x v="4"/>
    <x v="1"/>
    <n v="42"/>
    <x v="8"/>
    <x v="0"/>
  </r>
  <r>
    <n v="64164"/>
    <x v="20"/>
    <n v="0"/>
    <x v="8"/>
    <x v="8"/>
    <x v="1"/>
    <x v="5"/>
    <x v="4"/>
    <x v="1"/>
    <n v="42"/>
    <x v="9"/>
    <x v="0"/>
  </r>
  <r>
    <n v="64165"/>
    <x v="20"/>
    <n v="0"/>
    <x v="11"/>
    <x v="11"/>
    <x v="1"/>
    <x v="5"/>
    <x v="4"/>
    <x v="1"/>
    <n v="42"/>
    <x v="12"/>
    <x v="0"/>
  </r>
  <r>
    <n v="64166"/>
    <x v="20"/>
    <n v="0"/>
    <x v="9"/>
    <x v="9"/>
    <x v="1"/>
    <x v="5"/>
    <x v="4"/>
    <x v="1"/>
    <n v="42"/>
    <x v="10"/>
    <x v="0"/>
  </r>
  <r>
    <n v="64167"/>
    <x v="20"/>
    <n v="0"/>
    <x v="10"/>
    <x v="10"/>
    <x v="1"/>
    <x v="5"/>
    <x v="4"/>
    <x v="1"/>
    <n v="42"/>
    <x v="11"/>
    <x v="0"/>
  </r>
  <r>
    <n v="64168"/>
    <x v="20"/>
    <n v="20000"/>
    <x v="5"/>
    <x v="5"/>
    <x v="3"/>
    <x v="5"/>
    <x v="4"/>
    <x v="1"/>
    <n v="42"/>
    <x v="17"/>
    <x v="0"/>
  </r>
  <r>
    <n v="64169"/>
    <x v="20"/>
    <n v="20000"/>
    <x v="6"/>
    <x v="6"/>
    <x v="3"/>
    <x v="5"/>
    <x v="4"/>
    <x v="1"/>
    <n v="42"/>
    <x v="16"/>
    <x v="0"/>
  </r>
  <r>
    <n v="64170"/>
    <x v="21"/>
    <n v="0"/>
    <x v="0"/>
    <x v="0"/>
    <x v="0"/>
    <x v="6"/>
    <x v="4"/>
    <x v="1"/>
    <n v="43"/>
    <x v="0"/>
    <x v="0"/>
  </r>
  <r>
    <n v="64171"/>
    <x v="21"/>
    <n v="0"/>
    <x v="0"/>
    <x v="0"/>
    <x v="1"/>
    <x v="6"/>
    <x v="4"/>
    <x v="1"/>
    <n v="43"/>
    <x v="13"/>
    <x v="0"/>
  </r>
  <r>
    <n v="64172"/>
    <x v="21"/>
    <n v="0"/>
    <x v="1"/>
    <x v="1"/>
    <x v="0"/>
    <x v="6"/>
    <x v="4"/>
    <x v="1"/>
    <n v="43"/>
    <x v="1"/>
    <x v="0"/>
  </r>
  <r>
    <n v="64173"/>
    <x v="21"/>
    <n v="0"/>
    <x v="1"/>
    <x v="1"/>
    <x v="1"/>
    <x v="6"/>
    <x v="4"/>
    <x v="1"/>
    <n v="43"/>
    <x v="2"/>
    <x v="0"/>
  </r>
  <r>
    <n v="64174"/>
    <x v="21"/>
    <n v="0"/>
    <x v="2"/>
    <x v="2"/>
    <x v="1"/>
    <x v="6"/>
    <x v="4"/>
    <x v="1"/>
    <n v="43"/>
    <x v="3"/>
    <x v="0"/>
  </r>
  <r>
    <n v="64175"/>
    <x v="21"/>
    <n v="0"/>
    <x v="3"/>
    <x v="3"/>
    <x v="1"/>
    <x v="6"/>
    <x v="4"/>
    <x v="1"/>
    <n v="43"/>
    <x v="4"/>
    <x v="0"/>
  </r>
  <r>
    <n v="64176"/>
    <x v="21"/>
    <n v="0"/>
    <x v="4"/>
    <x v="4"/>
    <x v="0"/>
    <x v="6"/>
    <x v="4"/>
    <x v="1"/>
    <n v="43"/>
    <x v="15"/>
    <x v="0"/>
  </r>
  <r>
    <n v="64177"/>
    <x v="21"/>
    <n v="0"/>
    <x v="4"/>
    <x v="4"/>
    <x v="1"/>
    <x v="6"/>
    <x v="4"/>
    <x v="1"/>
    <n v="43"/>
    <x v="5"/>
    <x v="0"/>
  </r>
  <r>
    <n v="64178"/>
    <x v="21"/>
    <n v="20000"/>
    <x v="5"/>
    <x v="5"/>
    <x v="2"/>
    <x v="6"/>
    <x v="4"/>
    <x v="1"/>
    <n v="43"/>
    <x v="6"/>
    <x v="0"/>
  </r>
  <r>
    <n v="64179"/>
    <x v="21"/>
    <n v="20000"/>
    <x v="6"/>
    <x v="6"/>
    <x v="2"/>
    <x v="6"/>
    <x v="4"/>
    <x v="1"/>
    <n v="43"/>
    <x v="7"/>
    <x v="0"/>
  </r>
  <r>
    <n v="64180"/>
    <x v="21"/>
    <n v="0"/>
    <x v="12"/>
    <x v="12"/>
    <x v="0"/>
    <x v="6"/>
    <x v="4"/>
    <x v="1"/>
    <n v="43"/>
    <x v="14"/>
    <x v="0"/>
  </r>
  <r>
    <n v="64181"/>
    <x v="21"/>
    <n v="0"/>
    <x v="7"/>
    <x v="7"/>
    <x v="0"/>
    <x v="6"/>
    <x v="4"/>
    <x v="1"/>
    <n v="43"/>
    <x v="8"/>
    <x v="0"/>
  </r>
  <r>
    <n v="64182"/>
    <x v="21"/>
    <n v="0"/>
    <x v="8"/>
    <x v="8"/>
    <x v="1"/>
    <x v="6"/>
    <x v="4"/>
    <x v="1"/>
    <n v="43"/>
    <x v="9"/>
    <x v="0"/>
  </r>
  <r>
    <n v="64183"/>
    <x v="21"/>
    <n v="0"/>
    <x v="11"/>
    <x v="11"/>
    <x v="1"/>
    <x v="6"/>
    <x v="4"/>
    <x v="1"/>
    <n v="43"/>
    <x v="12"/>
    <x v="0"/>
  </r>
  <r>
    <n v="64184"/>
    <x v="21"/>
    <n v="0"/>
    <x v="9"/>
    <x v="9"/>
    <x v="1"/>
    <x v="6"/>
    <x v="4"/>
    <x v="1"/>
    <n v="43"/>
    <x v="10"/>
    <x v="0"/>
  </r>
  <r>
    <n v="64185"/>
    <x v="21"/>
    <n v="0"/>
    <x v="10"/>
    <x v="10"/>
    <x v="1"/>
    <x v="6"/>
    <x v="4"/>
    <x v="1"/>
    <n v="43"/>
    <x v="11"/>
    <x v="0"/>
  </r>
  <r>
    <n v="64186"/>
    <x v="21"/>
    <n v="20000"/>
    <x v="5"/>
    <x v="5"/>
    <x v="3"/>
    <x v="6"/>
    <x v="4"/>
    <x v="1"/>
    <n v="43"/>
    <x v="17"/>
    <x v="0"/>
  </r>
  <r>
    <n v="64187"/>
    <x v="21"/>
    <n v="20000"/>
    <x v="6"/>
    <x v="6"/>
    <x v="3"/>
    <x v="6"/>
    <x v="4"/>
    <x v="1"/>
    <n v="43"/>
    <x v="16"/>
    <x v="0"/>
  </r>
  <r>
    <n v="64188"/>
    <x v="22"/>
    <n v="0"/>
    <x v="0"/>
    <x v="0"/>
    <x v="0"/>
    <x v="6"/>
    <x v="4"/>
    <x v="1"/>
    <n v="44"/>
    <x v="0"/>
    <x v="0"/>
  </r>
  <r>
    <n v="64189"/>
    <x v="22"/>
    <n v="0"/>
    <x v="0"/>
    <x v="0"/>
    <x v="1"/>
    <x v="6"/>
    <x v="4"/>
    <x v="1"/>
    <n v="44"/>
    <x v="13"/>
    <x v="0"/>
  </r>
  <r>
    <n v="64190"/>
    <x v="22"/>
    <n v="0"/>
    <x v="1"/>
    <x v="1"/>
    <x v="0"/>
    <x v="6"/>
    <x v="4"/>
    <x v="1"/>
    <n v="44"/>
    <x v="1"/>
    <x v="0"/>
  </r>
  <r>
    <n v="64191"/>
    <x v="22"/>
    <n v="0"/>
    <x v="1"/>
    <x v="1"/>
    <x v="1"/>
    <x v="6"/>
    <x v="4"/>
    <x v="1"/>
    <n v="44"/>
    <x v="2"/>
    <x v="0"/>
  </r>
  <r>
    <n v="64192"/>
    <x v="22"/>
    <n v="0"/>
    <x v="2"/>
    <x v="2"/>
    <x v="1"/>
    <x v="6"/>
    <x v="4"/>
    <x v="1"/>
    <n v="44"/>
    <x v="3"/>
    <x v="0"/>
  </r>
  <r>
    <n v="64193"/>
    <x v="22"/>
    <n v="0"/>
    <x v="3"/>
    <x v="3"/>
    <x v="1"/>
    <x v="6"/>
    <x v="4"/>
    <x v="1"/>
    <n v="44"/>
    <x v="4"/>
    <x v="0"/>
  </r>
  <r>
    <n v="64194"/>
    <x v="22"/>
    <n v="0"/>
    <x v="4"/>
    <x v="4"/>
    <x v="0"/>
    <x v="6"/>
    <x v="4"/>
    <x v="1"/>
    <n v="44"/>
    <x v="15"/>
    <x v="0"/>
  </r>
  <r>
    <n v="64195"/>
    <x v="22"/>
    <n v="0"/>
    <x v="4"/>
    <x v="4"/>
    <x v="1"/>
    <x v="6"/>
    <x v="4"/>
    <x v="1"/>
    <n v="44"/>
    <x v="5"/>
    <x v="0"/>
  </r>
  <r>
    <n v="64196"/>
    <x v="22"/>
    <n v="20000"/>
    <x v="5"/>
    <x v="5"/>
    <x v="2"/>
    <x v="6"/>
    <x v="4"/>
    <x v="1"/>
    <n v="44"/>
    <x v="6"/>
    <x v="0"/>
  </r>
  <r>
    <n v="64197"/>
    <x v="22"/>
    <n v="20000"/>
    <x v="6"/>
    <x v="6"/>
    <x v="2"/>
    <x v="6"/>
    <x v="4"/>
    <x v="1"/>
    <n v="44"/>
    <x v="7"/>
    <x v="0"/>
  </r>
  <r>
    <n v="64198"/>
    <x v="22"/>
    <n v="0"/>
    <x v="12"/>
    <x v="12"/>
    <x v="0"/>
    <x v="6"/>
    <x v="4"/>
    <x v="1"/>
    <n v="44"/>
    <x v="14"/>
    <x v="0"/>
  </r>
  <r>
    <n v="64199"/>
    <x v="22"/>
    <n v="0"/>
    <x v="7"/>
    <x v="7"/>
    <x v="0"/>
    <x v="6"/>
    <x v="4"/>
    <x v="1"/>
    <n v="44"/>
    <x v="8"/>
    <x v="0"/>
  </r>
  <r>
    <n v="64200"/>
    <x v="22"/>
    <n v="0"/>
    <x v="8"/>
    <x v="8"/>
    <x v="1"/>
    <x v="6"/>
    <x v="4"/>
    <x v="1"/>
    <n v="44"/>
    <x v="9"/>
    <x v="0"/>
  </r>
  <r>
    <n v="64201"/>
    <x v="22"/>
    <n v="0"/>
    <x v="11"/>
    <x v="11"/>
    <x v="1"/>
    <x v="6"/>
    <x v="4"/>
    <x v="1"/>
    <n v="44"/>
    <x v="12"/>
    <x v="0"/>
  </r>
  <r>
    <n v="64202"/>
    <x v="22"/>
    <n v="0"/>
    <x v="9"/>
    <x v="9"/>
    <x v="1"/>
    <x v="6"/>
    <x v="4"/>
    <x v="1"/>
    <n v="44"/>
    <x v="10"/>
    <x v="0"/>
  </r>
  <r>
    <n v="64203"/>
    <x v="22"/>
    <n v="0"/>
    <x v="10"/>
    <x v="10"/>
    <x v="1"/>
    <x v="6"/>
    <x v="4"/>
    <x v="1"/>
    <n v="44"/>
    <x v="11"/>
    <x v="0"/>
  </r>
  <r>
    <n v="64204"/>
    <x v="22"/>
    <n v="20000"/>
    <x v="5"/>
    <x v="5"/>
    <x v="3"/>
    <x v="6"/>
    <x v="4"/>
    <x v="1"/>
    <n v="44"/>
    <x v="17"/>
    <x v="0"/>
  </r>
  <r>
    <n v="64205"/>
    <x v="22"/>
    <n v="20000"/>
    <x v="6"/>
    <x v="6"/>
    <x v="3"/>
    <x v="6"/>
    <x v="4"/>
    <x v="1"/>
    <n v="44"/>
    <x v="16"/>
    <x v="0"/>
  </r>
  <r>
    <n v="64206"/>
    <x v="23"/>
    <n v="0"/>
    <x v="0"/>
    <x v="0"/>
    <x v="0"/>
    <x v="7"/>
    <x v="4"/>
    <x v="1"/>
    <n v="45"/>
    <x v="0"/>
    <x v="0"/>
  </r>
  <r>
    <n v="64207"/>
    <x v="23"/>
    <n v="0"/>
    <x v="0"/>
    <x v="0"/>
    <x v="1"/>
    <x v="7"/>
    <x v="4"/>
    <x v="1"/>
    <n v="45"/>
    <x v="13"/>
    <x v="0"/>
  </r>
  <r>
    <n v="64208"/>
    <x v="23"/>
    <n v="0"/>
    <x v="1"/>
    <x v="1"/>
    <x v="0"/>
    <x v="7"/>
    <x v="4"/>
    <x v="1"/>
    <n v="45"/>
    <x v="1"/>
    <x v="0"/>
  </r>
  <r>
    <n v="64209"/>
    <x v="23"/>
    <n v="0"/>
    <x v="1"/>
    <x v="1"/>
    <x v="1"/>
    <x v="7"/>
    <x v="4"/>
    <x v="1"/>
    <n v="45"/>
    <x v="2"/>
    <x v="0"/>
  </r>
  <r>
    <n v="64210"/>
    <x v="23"/>
    <n v="0"/>
    <x v="2"/>
    <x v="2"/>
    <x v="1"/>
    <x v="7"/>
    <x v="4"/>
    <x v="1"/>
    <n v="45"/>
    <x v="3"/>
    <x v="0"/>
  </r>
  <r>
    <n v="64211"/>
    <x v="23"/>
    <n v="0"/>
    <x v="3"/>
    <x v="3"/>
    <x v="1"/>
    <x v="7"/>
    <x v="4"/>
    <x v="1"/>
    <n v="45"/>
    <x v="4"/>
    <x v="0"/>
  </r>
  <r>
    <n v="64212"/>
    <x v="23"/>
    <n v="0"/>
    <x v="4"/>
    <x v="4"/>
    <x v="0"/>
    <x v="7"/>
    <x v="4"/>
    <x v="1"/>
    <n v="45"/>
    <x v="15"/>
    <x v="0"/>
  </r>
  <r>
    <n v="64213"/>
    <x v="23"/>
    <n v="0"/>
    <x v="4"/>
    <x v="4"/>
    <x v="1"/>
    <x v="7"/>
    <x v="4"/>
    <x v="1"/>
    <n v="45"/>
    <x v="5"/>
    <x v="0"/>
  </r>
  <r>
    <n v="64214"/>
    <x v="23"/>
    <n v="20000"/>
    <x v="5"/>
    <x v="5"/>
    <x v="2"/>
    <x v="7"/>
    <x v="4"/>
    <x v="1"/>
    <n v="45"/>
    <x v="6"/>
    <x v="0"/>
  </r>
  <r>
    <n v="64215"/>
    <x v="23"/>
    <n v="20000"/>
    <x v="6"/>
    <x v="6"/>
    <x v="2"/>
    <x v="7"/>
    <x v="4"/>
    <x v="1"/>
    <n v="45"/>
    <x v="7"/>
    <x v="0"/>
  </r>
  <r>
    <n v="64216"/>
    <x v="23"/>
    <n v="0"/>
    <x v="12"/>
    <x v="12"/>
    <x v="0"/>
    <x v="7"/>
    <x v="4"/>
    <x v="1"/>
    <n v="45"/>
    <x v="14"/>
    <x v="0"/>
  </r>
  <r>
    <n v="64217"/>
    <x v="23"/>
    <n v="0"/>
    <x v="7"/>
    <x v="7"/>
    <x v="0"/>
    <x v="7"/>
    <x v="4"/>
    <x v="1"/>
    <n v="45"/>
    <x v="8"/>
    <x v="0"/>
  </r>
  <r>
    <n v="64218"/>
    <x v="23"/>
    <n v="0"/>
    <x v="8"/>
    <x v="8"/>
    <x v="1"/>
    <x v="7"/>
    <x v="4"/>
    <x v="1"/>
    <n v="45"/>
    <x v="9"/>
    <x v="0"/>
  </r>
  <r>
    <n v="64219"/>
    <x v="23"/>
    <n v="0"/>
    <x v="11"/>
    <x v="11"/>
    <x v="1"/>
    <x v="7"/>
    <x v="4"/>
    <x v="1"/>
    <n v="45"/>
    <x v="12"/>
    <x v="0"/>
  </r>
  <r>
    <n v="64220"/>
    <x v="23"/>
    <n v="0"/>
    <x v="9"/>
    <x v="9"/>
    <x v="1"/>
    <x v="7"/>
    <x v="4"/>
    <x v="1"/>
    <n v="45"/>
    <x v="10"/>
    <x v="0"/>
  </r>
  <r>
    <n v="64221"/>
    <x v="23"/>
    <n v="0"/>
    <x v="10"/>
    <x v="10"/>
    <x v="1"/>
    <x v="7"/>
    <x v="4"/>
    <x v="1"/>
    <n v="45"/>
    <x v="11"/>
    <x v="0"/>
  </r>
  <r>
    <n v="64222"/>
    <x v="23"/>
    <n v="20000"/>
    <x v="5"/>
    <x v="5"/>
    <x v="3"/>
    <x v="7"/>
    <x v="4"/>
    <x v="1"/>
    <n v="45"/>
    <x v="17"/>
    <x v="0"/>
  </r>
  <r>
    <n v="64223"/>
    <x v="23"/>
    <n v="20000"/>
    <x v="6"/>
    <x v="6"/>
    <x v="3"/>
    <x v="7"/>
    <x v="4"/>
    <x v="1"/>
    <n v="45"/>
    <x v="16"/>
    <x v="0"/>
  </r>
  <r>
    <n v="64224"/>
    <x v="24"/>
    <n v="0"/>
    <x v="0"/>
    <x v="0"/>
    <x v="0"/>
    <x v="7"/>
    <x v="4"/>
    <x v="1"/>
    <n v="46"/>
    <x v="0"/>
    <x v="0"/>
  </r>
  <r>
    <n v="64225"/>
    <x v="24"/>
    <n v="0"/>
    <x v="0"/>
    <x v="0"/>
    <x v="1"/>
    <x v="7"/>
    <x v="4"/>
    <x v="1"/>
    <n v="46"/>
    <x v="13"/>
    <x v="0"/>
  </r>
  <r>
    <n v="64226"/>
    <x v="24"/>
    <n v="0"/>
    <x v="1"/>
    <x v="1"/>
    <x v="0"/>
    <x v="7"/>
    <x v="4"/>
    <x v="1"/>
    <n v="46"/>
    <x v="1"/>
    <x v="0"/>
  </r>
  <r>
    <n v="64227"/>
    <x v="24"/>
    <n v="0"/>
    <x v="1"/>
    <x v="1"/>
    <x v="1"/>
    <x v="7"/>
    <x v="4"/>
    <x v="1"/>
    <n v="46"/>
    <x v="2"/>
    <x v="0"/>
  </r>
  <r>
    <n v="64228"/>
    <x v="24"/>
    <n v="0"/>
    <x v="2"/>
    <x v="2"/>
    <x v="1"/>
    <x v="7"/>
    <x v="4"/>
    <x v="1"/>
    <n v="46"/>
    <x v="3"/>
    <x v="0"/>
  </r>
  <r>
    <n v="64229"/>
    <x v="24"/>
    <n v="0"/>
    <x v="3"/>
    <x v="3"/>
    <x v="1"/>
    <x v="7"/>
    <x v="4"/>
    <x v="1"/>
    <n v="46"/>
    <x v="4"/>
    <x v="0"/>
  </r>
  <r>
    <n v="64230"/>
    <x v="24"/>
    <n v="0"/>
    <x v="4"/>
    <x v="4"/>
    <x v="0"/>
    <x v="7"/>
    <x v="4"/>
    <x v="1"/>
    <n v="46"/>
    <x v="15"/>
    <x v="0"/>
  </r>
  <r>
    <n v="64231"/>
    <x v="24"/>
    <n v="0"/>
    <x v="4"/>
    <x v="4"/>
    <x v="1"/>
    <x v="7"/>
    <x v="4"/>
    <x v="1"/>
    <n v="46"/>
    <x v="5"/>
    <x v="0"/>
  </r>
  <r>
    <n v="64232"/>
    <x v="24"/>
    <n v="20000"/>
    <x v="5"/>
    <x v="5"/>
    <x v="2"/>
    <x v="7"/>
    <x v="4"/>
    <x v="1"/>
    <n v="46"/>
    <x v="6"/>
    <x v="0"/>
  </r>
  <r>
    <n v="64233"/>
    <x v="24"/>
    <n v="20000"/>
    <x v="6"/>
    <x v="6"/>
    <x v="2"/>
    <x v="7"/>
    <x v="4"/>
    <x v="1"/>
    <n v="46"/>
    <x v="7"/>
    <x v="0"/>
  </r>
  <r>
    <n v="64234"/>
    <x v="24"/>
    <n v="0"/>
    <x v="12"/>
    <x v="12"/>
    <x v="0"/>
    <x v="7"/>
    <x v="4"/>
    <x v="1"/>
    <n v="46"/>
    <x v="14"/>
    <x v="0"/>
  </r>
  <r>
    <n v="64235"/>
    <x v="24"/>
    <n v="0"/>
    <x v="7"/>
    <x v="7"/>
    <x v="0"/>
    <x v="7"/>
    <x v="4"/>
    <x v="1"/>
    <n v="46"/>
    <x v="8"/>
    <x v="0"/>
  </r>
  <r>
    <n v="64236"/>
    <x v="24"/>
    <n v="0"/>
    <x v="8"/>
    <x v="8"/>
    <x v="1"/>
    <x v="7"/>
    <x v="4"/>
    <x v="1"/>
    <n v="46"/>
    <x v="9"/>
    <x v="0"/>
  </r>
  <r>
    <n v="64237"/>
    <x v="24"/>
    <n v="0"/>
    <x v="11"/>
    <x v="11"/>
    <x v="1"/>
    <x v="7"/>
    <x v="4"/>
    <x v="1"/>
    <n v="46"/>
    <x v="12"/>
    <x v="0"/>
  </r>
  <r>
    <n v="64238"/>
    <x v="24"/>
    <n v="0"/>
    <x v="9"/>
    <x v="9"/>
    <x v="1"/>
    <x v="7"/>
    <x v="4"/>
    <x v="1"/>
    <n v="46"/>
    <x v="10"/>
    <x v="0"/>
  </r>
  <r>
    <n v="64239"/>
    <x v="24"/>
    <n v="0"/>
    <x v="10"/>
    <x v="10"/>
    <x v="1"/>
    <x v="7"/>
    <x v="4"/>
    <x v="1"/>
    <n v="46"/>
    <x v="11"/>
    <x v="0"/>
  </r>
  <r>
    <n v="64240"/>
    <x v="24"/>
    <n v="20000"/>
    <x v="5"/>
    <x v="5"/>
    <x v="3"/>
    <x v="7"/>
    <x v="4"/>
    <x v="1"/>
    <n v="46"/>
    <x v="17"/>
    <x v="0"/>
  </r>
  <r>
    <n v="64241"/>
    <x v="24"/>
    <n v="20000"/>
    <x v="6"/>
    <x v="6"/>
    <x v="3"/>
    <x v="7"/>
    <x v="4"/>
    <x v="1"/>
    <n v="46"/>
    <x v="16"/>
    <x v="0"/>
  </r>
  <r>
    <n v="64242"/>
    <x v="25"/>
    <n v="0"/>
    <x v="0"/>
    <x v="0"/>
    <x v="0"/>
    <x v="7"/>
    <x v="4"/>
    <x v="1"/>
    <n v="47"/>
    <x v="0"/>
    <x v="0"/>
  </r>
  <r>
    <n v="64243"/>
    <x v="25"/>
    <n v="0"/>
    <x v="0"/>
    <x v="0"/>
    <x v="1"/>
    <x v="7"/>
    <x v="4"/>
    <x v="1"/>
    <n v="47"/>
    <x v="13"/>
    <x v="0"/>
  </r>
  <r>
    <n v="64244"/>
    <x v="25"/>
    <n v="0"/>
    <x v="1"/>
    <x v="1"/>
    <x v="0"/>
    <x v="7"/>
    <x v="4"/>
    <x v="1"/>
    <n v="47"/>
    <x v="1"/>
    <x v="0"/>
  </r>
  <r>
    <n v="64245"/>
    <x v="25"/>
    <n v="0"/>
    <x v="1"/>
    <x v="1"/>
    <x v="1"/>
    <x v="7"/>
    <x v="4"/>
    <x v="1"/>
    <n v="47"/>
    <x v="2"/>
    <x v="0"/>
  </r>
  <r>
    <n v="64246"/>
    <x v="25"/>
    <n v="0"/>
    <x v="2"/>
    <x v="2"/>
    <x v="1"/>
    <x v="7"/>
    <x v="4"/>
    <x v="1"/>
    <n v="47"/>
    <x v="3"/>
    <x v="0"/>
  </r>
  <r>
    <n v="64247"/>
    <x v="25"/>
    <n v="0"/>
    <x v="3"/>
    <x v="3"/>
    <x v="1"/>
    <x v="7"/>
    <x v="4"/>
    <x v="1"/>
    <n v="47"/>
    <x v="4"/>
    <x v="0"/>
  </r>
  <r>
    <n v="64248"/>
    <x v="25"/>
    <n v="0"/>
    <x v="4"/>
    <x v="4"/>
    <x v="0"/>
    <x v="7"/>
    <x v="4"/>
    <x v="1"/>
    <n v="47"/>
    <x v="15"/>
    <x v="0"/>
  </r>
  <r>
    <n v="64249"/>
    <x v="25"/>
    <n v="0"/>
    <x v="4"/>
    <x v="4"/>
    <x v="1"/>
    <x v="7"/>
    <x v="4"/>
    <x v="1"/>
    <n v="47"/>
    <x v="5"/>
    <x v="0"/>
  </r>
  <r>
    <n v="64250"/>
    <x v="25"/>
    <n v="20000"/>
    <x v="5"/>
    <x v="5"/>
    <x v="2"/>
    <x v="7"/>
    <x v="4"/>
    <x v="1"/>
    <n v="47"/>
    <x v="6"/>
    <x v="0"/>
  </r>
  <r>
    <n v="64251"/>
    <x v="25"/>
    <n v="20000"/>
    <x v="6"/>
    <x v="6"/>
    <x v="2"/>
    <x v="7"/>
    <x v="4"/>
    <x v="1"/>
    <n v="47"/>
    <x v="7"/>
    <x v="0"/>
  </r>
  <r>
    <n v="64252"/>
    <x v="25"/>
    <n v="0"/>
    <x v="12"/>
    <x v="12"/>
    <x v="0"/>
    <x v="7"/>
    <x v="4"/>
    <x v="1"/>
    <n v="47"/>
    <x v="14"/>
    <x v="0"/>
  </r>
  <r>
    <n v="64253"/>
    <x v="25"/>
    <n v="0"/>
    <x v="7"/>
    <x v="7"/>
    <x v="0"/>
    <x v="7"/>
    <x v="4"/>
    <x v="1"/>
    <n v="47"/>
    <x v="8"/>
    <x v="0"/>
  </r>
  <r>
    <n v="64254"/>
    <x v="25"/>
    <n v="0"/>
    <x v="8"/>
    <x v="8"/>
    <x v="1"/>
    <x v="7"/>
    <x v="4"/>
    <x v="1"/>
    <n v="47"/>
    <x v="9"/>
    <x v="0"/>
  </r>
  <r>
    <n v="64255"/>
    <x v="25"/>
    <n v="0"/>
    <x v="11"/>
    <x v="11"/>
    <x v="1"/>
    <x v="7"/>
    <x v="4"/>
    <x v="1"/>
    <n v="47"/>
    <x v="12"/>
    <x v="0"/>
  </r>
  <r>
    <n v="64256"/>
    <x v="25"/>
    <n v="0"/>
    <x v="9"/>
    <x v="9"/>
    <x v="1"/>
    <x v="7"/>
    <x v="4"/>
    <x v="1"/>
    <n v="47"/>
    <x v="10"/>
    <x v="0"/>
  </r>
  <r>
    <n v="64257"/>
    <x v="25"/>
    <n v="0"/>
    <x v="10"/>
    <x v="10"/>
    <x v="1"/>
    <x v="7"/>
    <x v="4"/>
    <x v="1"/>
    <n v="47"/>
    <x v="11"/>
    <x v="0"/>
  </r>
  <r>
    <n v="64258"/>
    <x v="25"/>
    <n v="20000"/>
    <x v="5"/>
    <x v="5"/>
    <x v="3"/>
    <x v="7"/>
    <x v="4"/>
    <x v="1"/>
    <n v="47"/>
    <x v="17"/>
    <x v="0"/>
  </r>
  <r>
    <n v="64259"/>
    <x v="25"/>
    <n v="20000"/>
    <x v="6"/>
    <x v="6"/>
    <x v="3"/>
    <x v="7"/>
    <x v="4"/>
    <x v="1"/>
    <n v="47"/>
    <x v="16"/>
    <x v="0"/>
  </r>
  <r>
    <n v="64260"/>
    <x v="26"/>
    <n v="0"/>
    <x v="0"/>
    <x v="0"/>
    <x v="0"/>
    <x v="7"/>
    <x v="4"/>
    <x v="1"/>
    <n v="48"/>
    <x v="0"/>
    <x v="0"/>
  </r>
  <r>
    <n v="64261"/>
    <x v="26"/>
    <n v="0"/>
    <x v="0"/>
    <x v="0"/>
    <x v="1"/>
    <x v="7"/>
    <x v="4"/>
    <x v="1"/>
    <n v="48"/>
    <x v="13"/>
    <x v="0"/>
  </r>
  <r>
    <n v="64262"/>
    <x v="26"/>
    <n v="0"/>
    <x v="1"/>
    <x v="1"/>
    <x v="0"/>
    <x v="7"/>
    <x v="4"/>
    <x v="1"/>
    <n v="48"/>
    <x v="1"/>
    <x v="0"/>
  </r>
  <r>
    <n v="64263"/>
    <x v="26"/>
    <n v="0"/>
    <x v="1"/>
    <x v="1"/>
    <x v="1"/>
    <x v="7"/>
    <x v="4"/>
    <x v="1"/>
    <n v="48"/>
    <x v="2"/>
    <x v="0"/>
  </r>
  <r>
    <n v="64264"/>
    <x v="26"/>
    <n v="0"/>
    <x v="2"/>
    <x v="2"/>
    <x v="1"/>
    <x v="7"/>
    <x v="4"/>
    <x v="1"/>
    <n v="48"/>
    <x v="3"/>
    <x v="0"/>
  </r>
  <r>
    <n v="64265"/>
    <x v="26"/>
    <n v="0"/>
    <x v="3"/>
    <x v="3"/>
    <x v="1"/>
    <x v="7"/>
    <x v="4"/>
    <x v="1"/>
    <n v="48"/>
    <x v="4"/>
    <x v="0"/>
  </r>
  <r>
    <n v="64266"/>
    <x v="26"/>
    <n v="0"/>
    <x v="4"/>
    <x v="4"/>
    <x v="0"/>
    <x v="7"/>
    <x v="4"/>
    <x v="1"/>
    <n v="48"/>
    <x v="15"/>
    <x v="0"/>
  </r>
  <r>
    <n v="64267"/>
    <x v="26"/>
    <n v="0"/>
    <x v="4"/>
    <x v="4"/>
    <x v="1"/>
    <x v="7"/>
    <x v="4"/>
    <x v="1"/>
    <n v="48"/>
    <x v="5"/>
    <x v="0"/>
  </r>
  <r>
    <n v="64268"/>
    <x v="26"/>
    <n v="20000"/>
    <x v="5"/>
    <x v="5"/>
    <x v="2"/>
    <x v="7"/>
    <x v="4"/>
    <x v="1"/>
    <n v="48"/>
    <x v="6"/>
    <x v="0"/>
  </r>
  <r>
    <n v="64269"/>
    <x v="26"/>
    <n v="20000"/>
    <x v="6"/>
    <x v="6"/>
    <x v="2"/>
    <x v="7"/>
    <x v="4"/>
    <x v="1"/>
    <n v="48"/>
    <x v="7"/>
    <x v="0"/>
  </r>
  <r>
    <n v="64270"/>
    <x v="26"/>
    <n v="0"/>
    <x v="12"/>
    <x v="12"/>
    <x v="0"/>
    <x v="7"/>
    <x v="4"/>
    <x v="1"/>
    <n v="48"/>
    <x v="14"/>
    <x v="0"/>
  </r>
  <r>
    <n v="64271"/>
    <x v="26"/>
    <n v="0"/>
    <x v="7"/>
    <x v="7"/>
    <x v="0"/>
    <x v="7"/>
    <x v="4"/>
    <x v="1"/>
    <n v="48"/>
    <x v="8"/>
    <x v="0"/>
  </r>
  <r>
    <n v="64272"/>
    <x v="26"/>
    <n v="0"/>
    <x v="8"/>
    <x v="8"/>
    <x v="1"/>
    <x v="7"/>
    <x v="4"/>
    <x v="1"/>
    <n v="48"/>
    <x v="9"/>
    <x v="0"/>
  </r>
  <r>
    <n v="64273"/>
    <x v="26"/>
    <n v="0"/>
    <x v="11"/>
    <x v="11"/>
    <x v="1"/>
    <x v="7"/>
    <x v="4"/>
    <x v="1"/>
    <n v="48"/>
    <x v="12"/>
    <x v="0"/>
  </r>
  <r>
    <n v="64274"/>
    <x v="26"/>
    <n v="0"/>
    <x v="9"/>
    <x v="9"/>
    <x v="1"/>
    <x v="7"/>
    <x v="4"/>
    <x v="1"/>
    <n v="48"/>
    <x v="10"/>
    <x v="0"/>
  </r>
  <r>
    <n v="64275"/>
    <x v="26"/>
    <n v="0"/>
    <x v="10"/>
    <x v="10"/>
    <x v="1"/>
    <x v="7"/>
    <x v="4"/>
    <x v="1"/>
    <n v="48"/>
    <x v="11"/>
    <x v="0"/>
  </r>
  <r>
    <n v="64276"/>
    <x v="26"/>
    <n v="20000"/>
    <x v="5"/>
    <x v="5"/>
    <x v="3"/>
    <x v="7"/>
    <x v="4"/>
    <x v="1"/>
    <n v="48"/>
    <x v="17"/>
    <x v="0"/>
  </r>
  <r>
    <n v="64277"/>
    <x v="26"/>
    <n v="20000"/>
    <x v="6"/>
    <x v="6"/>
    <x v="3"/>
    <x v="7"/>
    <x v="4"/>
    <x v="1"/>
    <n v="48"/>
    <x v="16"/>
    <x v="0"/>
  </r>
  <r>
    <n v="64278"/>
    <x v="27"/>
    <n v="0"/>
    <x v="0"/>
    <x v="0"/>
    <x v="0"/>
    <x v="7"/>
    <x v="4"/>
    <x v="1"/>
    <n v="49"/>
    <x v="0"/>
    <x v="0"/>
  </r>
  <r>
    <n v="64279"/>
    <x v="27"/>
    <n v="0"/>
    <x v="0"/>
    <x v="0"/>
    <x v="1"/>
    <x v="7"/>
    <x v="4"/>
    <x v="1"/>
    <n v="49"/>
    <x v="13"/>
    <x v="0"/>
  </r>
  <r>
    <n v="64280"/>
    <x v="27"/>
    <n v="0"/>
    <x v="1"/>
    <x v="1"/>
    <x v="0"/>
    <x v="7"/>
    <x v="4"/>
    <x v="1"/>
    <n v="49"/>
    <x v="1"/>
    <x v="0"/>
  </r>
  <r>
    <n v="64281"/>
    <x v="27"/>
    <n v="0"/>
    <x v="1"/>
    <x v="1"/>
    <x v="1"/>
    <x v="7"/>
    <x v="4"/>
    <x v="1"/>
    <n v="49"/>
    <x v="2"/>
    <x v="0"/>
  </r>
  <r>
    <n v="64282"/>
    <x v="27"/>
    <n v="0"/>
    <x v="2"/>
    <x v="2"/>
    <x v="1"/>
    <x v="7"/>
    <x v="4"/>
    <x v="1"/>
    <n v="49"/>
    <x v="3"/>
    <x v="0"/>
  </r>
  <r>
    <n v="64283"/>
    <x v="27"/>
    <n v="0"/>
    <x v="3"/>
    <x v="3"/>
    <x v="1"/>
    <x v="7"/>
    <x v="4"/>
    <x v="1"/>
    <n v="49"/>
    <x v="4"/>
    <x v="0"/>
  </r>
  <r>
    <n v="64284"/>
    <x v="27"/>
    <n v="0"/>
    <x v="4"/>
    <x v="4"/>
    <x v="0"/>
    <x v="7"/>
    <x v="4"/>
    <x v="1"/>
    <n v="49"/>
    <x v="15"/>
    <x v="0"/>
  </r>
  <r>
    <n v="64285"/>
    <x v="27"/>
    <n v="0"/>
    <x v="4"/>
    <x v="4"/>
    <x v="1"/>
    <x v="7"/>
    <x v="4"/>
    <x v="1"/>
    <n v="49"/>
    <x v="5"/>
    <x v="0"/>
  </r>
  <r>
    <n v="64339"/>
    <x v="28"/>
    <n v="0"/>
    <x v="4"/>
    <x v="4"/>
    <x v="1"/>
    <x v="8"/>
    <x v="5"/>
    <x v="1"/>
    <n v="52"/>
    <x v="5"/>
    <x v="0"/>
  </r>
  <r>
    <n v="64286"/>
    <x v="27"/>
    <n v="20000"/>
    <x v="5"/>
    <x v="5"/>
    <x v="2"/>
    <x v="7"/>
    <x v="4"/>
    <x v="1"/>
    <n v="49"/>
    <x v="6"/>
    <x v="0"/>
  </r>
  <r>
    <n v="64287"/>
    <x v="27"/>
    <n v="20000"/>
    <x v="6"/>
    <x v="6"/>
    <x v="2"/>
    <x v="7"/>
    <x v="4"/>
    <x v="1"/>
    <n v="49"/>
    <x v="7"/>
    <x v="0"/>
  </r>
  <r>
    <n v="64288"/>
    <x v="27"/>
    <n v="0"/>
    <x v="12"/>
    <x v="12"/>
    <x v="0"/>
    <x v="7"/>
    <x v="4"/>
    <x v="1"/>
    <n v="49"/>
    <x v="14"/>
    <x v="0"/>
  </r>
  <r>
    <n v="64289"/>
    <x v="27"/>
    <n v="0"/>
    <x v="7"/>
    <x v="7"/>
    <x v="0"/>
    <x v="7"/>
    <x v="4"/>
    <x v="1"/>
    <n v="49"/>
    <x v="8"/>
    <x v="0"/>
  </r>
  <r>
    <n v="64290"/>
    <x v="27"/>
    <n v="0"/>
    <x v="8"/>
    <x v="8"/>
    <x v="1"/>
    <x v="7"/>
    <x v="4"/>
    <x v="1"/>
    <n v="49"/>
    <x v="9"/>
    <x v="0"/>
  </r>
  <r>
    <n v="64291"/>
    <x v="27"/>
    <n v="0"/>
    <x v="11"/>
    <x v="11"/>
    <x v="1"/>
    <x v="7"/>
    <x v="4"/>
    <x v="1"/>
    <n v="49"/>
    <x v="12"/>
    <x v="0"/>
  </r>
  <r>
    <n v="64292"/>
    <x v="27"/>
    <n v="0"/>
    <x v="9"/>
    <x v="9"/>
    <x v="1"/>
    <x v="7"/>
    <x v="4"/>
    <x v="1"/>
    <n v="49"/>
    <x v="10"/>
    <x v="0"/>
  </r>
  <r>
    <n v="64293"/>
    <x v="27"/>
    <n v="0"/>
    <x v="10"/>
    <x v="10"/>
    <x v="1"/>
    <x v="7"/>
    <x v="4"/>
    <x v="1"/>
    <n v="49"/>
    <x v="11"/>
    <x v="0"/>
  </r>
  <r>
    <n v="64294"/>
    <x v="27"/>
    <n v="20000"/>
    <x v="5"/>
    <x v="5"/>
    <x v="3"/>
    <x v="7"/>
    <x v="4"/>
    <x v="1"/>
    <n v="49"/>
    <x v="17"/>
    <x v="0"/>
  </r>
  <r>
    <n v="64295"/>
    <x v="27"/>
    <n v="20000"/>
    <x v="6"/>
    <x v="6"/>
    <x v="3"/>
    <x v="7"/>
    <x v="4"/>
    <x v="1"/>
    <n v="49"/>
    <x v="16"/>
    <x v="0"/>
  </r>
  <r>
    <n v="64296"/>
    <x v="29"/>
    <n v="0"/>
    <x v="0"/>
    <x v="0"/>
    <x v="0"/>
    <x v="7"/>
    <x v="4"/>
    <x v="1"/>
    <n v="50"/>
    <x v="0"/>
    <x v="0"/>
  </r>
  <r>
    <n v="64297"/>
    <x v="29"/>
    <n v="0"/>
    <x v="0"/>
    <x v="0"/>
    <x v="1"/>
    <x v="7"/>
    <x v="4"/>
    <x v="1"/>
    <n v="50"/>
    <x v="13"/>
    <x v="0"/>
  </r>
  <r>
    <n v="64298"/>
    <x v="29"/>
    <n v="0"/>
    <x v="1"/>
    <x v="1"/>
    <x v="0"/>
    <x v="7"/>
    <x v="4"/>
    <x v="1"/>
    <n v="50"/>
    <x v="1"/>
    <x v="0"/>
  </r>
  <r>
    <n v="64299"/>
    <x v="29"/>
    <n v="0"/>
    <x v="1"/>
    <x v="1"/>
    <x v="1"/>
    <x v="7"/>
    <x v="4"/>
    <x v="1"/>
    <n v="50"/>
    <x v="2"/>
    <x v="0"/>
  </r>
  <r>
    <n v="64300"/>
    <x v="29"/>
    <n v="0"/>
    <x v="2"/>
    <x v="2"/>
    <x v="1"/>
    <x v="7"/>
    <x v="4"/>
    <x v="1"/>
    <n v="50"/>
    <x v="3"/>
    <x v="0"/>
  </r>
  <r>
    <n v="64301"/>
    <x v="29"/>
    <n v="0"/>
    <x v="3"/>
    <x v="3"/>
    <x v="1"/>
    <x v="7"/>
    <x v="4"/>
    <x v="1"/>
    <n v="50"/>
    <x v="4"/>
    <x v="0"/>
  </r>
  <r>
    <n v="64302"/>
    <x v="29"/>
    <n v="0"/>
    <x v="4"/>
    <x v="4"/>
    <x v="0"/>
    <x v="7"/>
    <x v="4"/>
    <x v="1"/>
    <n v="50"/>
    <x v="15"/>
    <x v="0"/>
  </r>
  <r>
    <n v="64303"/>
    <x v="29"/>
    <n v="0"/>
    <x v="4"/>
    <x v="4"/>
    <x v="1"/>
    <x v="7"/>
    <x v="4"/>
    <x v="1"/>
    <n v="50"/>
    <x v="5"/>
    <x v="0"/>
  </r>
  <r>
    <n v="64304"/>
    <x v="29"/>
    <n v="20000"/>
    <x v="5"/>
    <x v="5"/>
    <x v="2"/>
    <x v="7"/>
    <x v="4"/>
    <x v="1"/>
    <n v="50"/>
    <x v="6"/>
    <x v="0"/>
  </r>
  <r>
    <n v="64305"/>
    <x v="29"/>
    <n v="20000"/>
    <x v="6"/>
    <x v="6"/>
    <x v="2"/>
    <x v="7"/>
    <x v="4"/>
    <x v="1"/>
    <n v="50"/>
    <x v="7"/>
    <x v="0"/>
  </r>
  <r>
    <n v="64306"/>
    <x v="29"/>
    <n v="0"/>
    <x v="12"/>
    <x v="12"/>
    <x v="0"/>
    <x v="7"/>
    <x v="4"/>
    <x v="1"/>
    <n v="50"/>
    <x v="14"/>
    <x v="0"/>
  </r>
  <r>
    <n v="64307"/>
    <x v="29"/>
    <n v="0"/>
    <x v="7"/>
    <x v="7"/>
    <x v="0"/>
    <x v="7"/>
    <x v="4"/>
    <x v="1"/>
    <n v="50"/>
    <x v="8"/>
    <x v="0"/>
  </r>
  <r>
    <n v="64308"/>
    <x v="29"/>
    <n v="0"/>
    <x v="8"/>
    <x v="8"/>
    <x v="1"/>
    <x v="7"/>
    <x v="4"/>
    <x v="1"/>
    <n v="50"/>
    <x v="9"/>
    <x v="0"/>
  </r>
  <r>
    <n v="64309"/>
    <x v="29"/>
    <n v="0"/>
    <x v="11"/>
    <x v="11"/>
    <x v="1"/>
    <x v="7"/>
    <x v="4"/>
    <x v="1"/>
    <n v="50"/>
    <x v="12"/>
    <x v="0"/>
  </r>
  <r>
    <n v="64310"/>
    <x v="29"/>
    <n v="0"/>
    <x v="9"/>
    <x v="9"/>
    <x v="1"/>
    <x v="7"/>
    <x v="4"/>
    <x v="1"/>
    <n v="50"/>
    <x v="10"/>
    <x v="0"/>
  </r>
  <r>
    <n v="64311"/>
    <x v="29"/>
    <n v="0"/>
    <x v="10"/>
    <x v="10"/>
    <x v="1"/>
    <x v="7"/>
    <x v="4"/>
    <x v="1"/>
    <n v="50"/>
    <x v="11"/>
    <x v="0"/>
  </r>
  <r>
    <n v="64312"/>
    <x v="29"/>
    <n v="20000"/>
    <x v="5"/>
    <x v="5"/>
    <x v="3"/>
    <x v="7"/>
    <x v="4"/>
    <x v="1"/>
    <n v="50"/>
    <x v="17"/>
    <x v="0"/>
  </r>
  <r>
    <n v="64313"/>
    <x v="29"/>
    <n v="20000"/>
    <x v="6"/>
    <x v="6"/>
    <x v="3"/>
    <x v="7"/>
    <x v="4"/>
    <x v="1"/>
    <n v="50"/>
    <x v="16"/>
    <x v="0"/>
  </r>
  <r>
    <n v="64314"/>
    <x v="30"/>
    <n v="0"/>
    <x v="0"/>
    <x v="0"/>
    <x v="0"/>
    <x v="8"/>
    <x v="5"/>
    <x v="1"/>
    <n v="51"/>
    <x v="0"/>
    <x v="0"/>
  </r>
  <r>
    <n v="64315"/>
    <x v="30"/>
    <n v="0"/>
    <x v="0"/>
    <x v="0"/>
    <x v="1"/>
    <x v="8"/>
    <x v="5"/>
    <x v="1"/>
    <n v="51"/>
    <x v="13"/>
    <x v="0"/>
  </r>
  <r>
    <n v="64316"/>
    <x v="30"/>
    <n v="0"/>
    <x v="1"/>
    <x v="1"/>
    <x v="0"/>
    <x v="8"/>
    <x v="5"/>
    <x v="1"/>
    <n v="51"/>
    <x v="1"/>
    <x v="0"/>
  </r>
  <r>
    <n v="64317"/>
    <x v="30"/>
    <n v="0"/>
    <x v="1"/>
    <x v="1"/>
    <x v="1"/>
    <x v="8"/>
    <x v="5"/>
    <x v="1"/>
    <n v="51"/>
    <x v="2"/>
    <x v="0"/>
  </r>
  <r>
    <n v="64318"/>
    <x v="30"/>
    <n v="0"/>
    <x v="2"/>
    <x v="2"/>
    <x v="1"/>
    <x v="8"/>
    <x v="5"/>
    <x v="1"/>
    <n v="51"/>
    <x v="3"/>
    <x v="0"/>
  </r>
  <r>
    <n v="64319"/>
    <x v="30"/>
    <n v="0"/>
    <x v="3"/>
    <x v="3"/>
    <x v="1"/>
    <x v="8"/>
    <x v="5"/>
    <x v="1"/>
    <n v="51"/>
    <x v="4"/>
    <x v="0"/>
  </r>
  <r>
    <n v="64320"/>
    <x v="30"/>
    <n v="0"/>
    <x v="4"/>
    <x v="4"/>
    <x v="0"/>
    <x v="8"/>
    <x v="5"/>
    <x v="1"/>
    <n v="51"/>
    <x v="15"/>
    <x v="0"/>
  </r>
  <r>
    <n v="64321"/>
    <x v="30"/>
    <n v="0"/>
    <x v="4"/>
    <x v="4"/>
    <x v="1"/>
    <x v="8"/>
    <x v="5"/>
    <x v="1"/>
    <n v="51"/>
    <x v="5"/>
    <x v="0"/>
  </r>
  <r>
    <n v="64322"/>
    <x v="30"/>
    <n v="20000"/>
    <x v="5"/>
    <x v="5"/>
    <x v="2"/>
    <x v="8"/>
    <x v="5"/>
    <x v="1"/>
    <n v="51"/>
    <x v="6"/>
    <x v="0"/>
  </r>
  <r>
    <n v="64323"/>
    <x v="30"/>
    <n v="20000"/>
    <x v="6"/>
    <x v="6"/>
    <x v="2"/>
    <x v="8"/>
    <x v="5"/>
    <x v="1"/>
    <n v="51"/>
    <x v="7"/>
    <x v="0"/>
  </r>
  <r>
    <n v="64324"/>
    <x v="30"/>
    <n v="0"/>
    <x v="12"/>
    <x v="12"/>
    <x v="0"/>
    <x v="8"/>
    <x v="5"/>
    <x v="1"/>
    <n v="51"/>
    <x v="14"/>
    <x v="0"/>
  </r>
  <r>
    <n v="64325"/>
    <x v="30"/>
    <n v="0"/>
    <x v="7"/>
    <x v="7"/>
    <x v="0"/>
    <x v="8"/>
    <x v="5"/>
    <x v="1"/>
    <n v="51"/>
    <x v="8"/>
    <x v="0"/>
  </r>
  <r>
    <n v="64326"/>
    <x v="30"/>
    <n v="0"/>
    <x v="8"/>
    <x v="8"/>
    <x v="1"/>
    <x v="8"/>
    <x v="5"/>
    <x v="1"/>
    <n v="51"/>
    <x v="9"/>
    <x v="0"/>
  </r>
  <r>
    <n v="64327"/>
    <x v="30"/>
    <n v="0"/>
    <x v="11"/>
    <x v="11"/>
    <x v="1"/>
    <x v="8"/>
    <x v="5"/>
    <x v="1"/>
    <n v="51"/>
    <x v="12"/>
    <x v="0"/>
  </r>
  <r>
    <n v="64328"/>
    <x v="30"/>
    <n v="0"/>
    <x v="9"/>
    <x v="9"/>
    <x v="1"/>
    <x v="8"/>
    <x v="5"/>
    <x v="1"/>
    <n v="51"/>
    <x v="10"/>
    <x v="0"/>
  </r>
  <r>
    <n v="64329"/>
    <x v="30"/>
    <n v="0"/>
    <x v="10"/>
    <x v="10"/>
    <x v="1"/>
    <x v="8"/>
    <x v="5"/>
    <x v="1"/>
    <n v="51"/>
    <x v="11"/>
    <x v="0"/>
  </r>
  <r>
    <n v="64330"/>
    <x v="30"/>
    <n v="20000"/>
    <x v="5"/>
    <x v="5"/>
    <x v="3"/>
    <x v="8"/>
    <x v="5"/>
    <x v="1"/>
    <n v="51"/>
    <x v="17"/>
    <x v="0"/>
  </r>
  <r>
    <n v="64331"/>
    <x v="30"/>
    <n v="20000"/>
    <x v="6"/>
    <x v="6"/>
    <x v="3"/>
    <x v="8"/>
    <x v="5"/>
    <x v="1"/>
    <n v="51"/>
    <x v="16"/>
    <x v="0"/>
  </r>
  <r>
    <n v="64332"/>
    <x v="28"/>
    <n v="0"/>
    <x v="0"/>
    <x v="0"/>
    <x v="0"/>
    <x v="8"/>
    <x v="5"/>
    <x v="1"/>
    <n v="52"/>
    <x v="0"/>
    <x v="0"/>
  </r>
  <r>
    <n v="64333"/>
    <x v="28"/>
    <n v="0"/>
    <x v="0"/>
    <x v="0"/>
    <x v="1"/>
    <x v="8"/>
    <x v="5"/>
    <x v="1"/>
    <n v="52"/>
    <x v="13"/>
    <x v="0"/>
  </r>
  <r>
    <n v="64334"/>
    <x v="28"/>
    <n v="0"/>
    <x v="1"/>
    <x v="1"/>
    <x v="0"/>
    <x v="8"/>
    <x v="5"/>
    <x v="1"/>
    <n v="52"/>
    <x v="1"/>
    <x v="0"/>
  </r>
  <r>
    <n v="64335"/>
    <x v="28"/>
    <n v="0"/>
    <x v="1"/>
    <x v="1"/>
    <x v="1"/>
    <x v="8"/>
    <x v="5"/>
    <x v="1"/>
    <n v="52"/>
    <x v="2"/>
    <x v="0"/>
  </r>
  <r>
    <n v="64336"/>
    <x v="28"/>
    <n v="0"/>
    <x v="2"/>
    <x v="2"/>
    <x v="1"/>
    <x v="8"/>
    <x v="5"/>
    <x v="1"/>
    <n v="52"/>
    <x v="3"/>
    <x v="0"/>
  </r>
  <r>
    <n v="64337"/>
    <x v="28"/>
    <n v="0"/>
    <x v="3"/>
    <x v="3"/>
    <x v="1"/>
    <x v="8"/>
    <x v="5"/>
    <x v="1"/>
    <n v="52"/>
    <x v="4"/>
    <x v="0"/>
  </r>
  <r>
    <n v="64338"/>
    <x v="28"/>
    <n v="0"/>
    <x v="4"/>
    <x v="4"/>
    <x v="0"/>
    <x v="8"/>
    <x v="5"/>
    <x v="1"/>
    <n v="52"/>
    <x v="15"/>
    <x v="0"/>
  </r>
  <r>
    <n v="64340"/>
    <x v="28"/>
    <n v="20000"/>
    <x v="5"/>
    <x v="5"/>
    <x v="2"/>
    <x v="8"/>
    <x v="5"/>
    <x v="1"/>
    <n v="52"/>
    <x v="6"/>
    <x v="0"/>
  </r>
  <r>
    <n v="64341"/>
    <x v="28"/>
    <n v="20000"/>
    <x v="6"/>
    <x v="6"/>
    <x v="2"/>
    <x v="8"/>
    <x v="5"/>
    <x v="1"/>
    <n v="52"/>
    <x v="7"/>
    <x v="0"/>
  </r>
  <r>
    <n v="64342"/>
    <x v="28"/>
    <n v="0"/>
    <x v="12"/>
    <x v="12"/>
    <x v="0"/>
    <x v="8"/>
    <x v="5"/>
    <x v="1"/>
    <n v="52"/>
    <x v="14"/>
    <x v="0"/>
  </r>
  <r>
    <n v="64343"/>
    <x v="28"/>
    <n v="0"/>
    <x v="7"/>
    <x v="7"/>
    <x v="0"/>
    <x v="8"/>
    <x v="5"/>
    <x v="1"/>
    <n v="52"/>
    <x v="8"/>
    <x v="0"/>
  </r>
  <r>
    <n v="64344"/>
    <x v="28"/>
    <n v="0"/>
    <x v="8"/>
    <x v="8"/>
    <x v="1"/>
    <x v="8"/>
    <x v="5"/>
    <x v="1"/>
    <n v="52"/>
    <x v="9"/>
    <x v="0"/>
  </r>
  <r>
    <n v="64345"/>
    <x v="28"/>
    <n v="0"/>
    <x v="11"/>
    <x v="11"/>
    <x v="1"/>
    <x v="8"/>
    <x v="5"/>
    <x v="1"/>
    <n v="52"/>
    <x v="12"/>
    <x v="0"/>
  </r>
  <r>
    <n v="64346"/>
    <x v="28"/>
    <n v="0"/>
    <x v="9"/>
    <x v="9"/>
    <x v="1"/>
    <x v="8"/>
    <x v="5"/>
    <x v="1"/>
    <n v="52"/>
    <x v="10"/>
    <x v="0"/>
  </r>
  <r>
    <n v="64347"/>
    <x v="28"/>
    <n v="0"/>
    <x v="10"/>
    <x v="10"/>
    <x v="1"/>
    <x v="8"/>
    <x v="5"/>
    <x v="1"/>
    <n v="52"/>
    <x v="11"/>
    <x v="0"/>
  </r>
  <r>
    <n v="64348"/>
    <x v="28"/>
    <n v="20000"/>
    <x v="5"/>
    <x v="5"/>
    <x v="3"/>
    <x v="8"/>
    <x v="5"/>
    <x v="1"/>
    <n v="52"/>
    <x v="17"/>
    <x v="0"/>
  </r>
  <r>
    <n v="64349"/>
    <x v="28"/>
    <n v="20000"/>
    <x v="6"/>
    <x v="6"/>
    <x v="3"/>
    <x v="8"/>
    <x v="5"/>
    <x v="1"/>
    <n v="52"/>
    <x v="16"/>
    <x v="0"/>
  </r>
  <r>
    <n v="64350"/>
    <x v="31"/>
    <n v="0"/>
    <x v="0"/>
    <x v="0"/>
    <x v="0"/>
    <x v="8"/>
    <x v="5"/>
    <x v="1"/>
    <n v="53"/>
    <x v="0"/>
    <x v="0"/>
  </r>
  <r>
    <n v="64351"/>
    <x v="31"/>
    <n v="0"/>
    <x v="0"/>
    <x v="0"/>
    <x v="1"/>
    <x v="8"/>
    <x v="5"/>
    <x v="1"/>
    <n v="53"/>
    <x v="13"/>
    <x v="0"/>
  </r>
  <r>
    <n v="64352"/>
    <x v="31"/>
    <n v="0"/>
    <x v="1"/>
    <x v="1"/>
    <x v="0"/>
    <x v="8"/>
    <x v="5"/>
    <x v="1"/>
    <n v="53"/>
    <x v="1"/>
    <x v="0"/>
  </r>
  <r>
    <n v="64353"/>
    <x v="31"/>
    <n v="0"/>
    <x v="1"/>
    <x v="1"/>
    <x v="1"/>
    <x v="8"/>
    <x v="5"/>
    <x v="1"/>
    <n v="53"/>
    <x v="2"/>
    <x v="0"/>
  </r>
  <r>
    <n v="64354"/>
    <x v="31"/>
    <n v="0"/>
    <x v="2"/>
    <x v="2"/>
    <x v="1"/>
    <x v="8"/>
    <x v="5"/>
    <x v="1"/>
    <n v="53"/>
    <x v="3"/>
    <x v="0"/>
  </r>
  <r>
    <n v="64355"/>
    <x v="31"/>
    <n v="0"/>
    <x v="3"/>
    <x v="3"/>
    <x v="1"/>
    <x v="8"/>
    <x v="5"/>
    <x v="1"/>
    <n v="53"/>
    <x v="4"/>
    <x v="0"/>
  </r>
  <r>
    <n v="64356"/>
    <x v="31"/>
    <n v="0"/>
    <x v="4"/>
    <x v="4"/>
    <x v="0"/>
    <x v="8"/>
    <x v="5"/>
    <x v="1"/>
    <n v="53"/>
    <x v="15"/>
    <x v="0"/>
  </r>
  <r>
    <n v="64357"/>
    <x v="31"/>
    <n v="0"/>
    <x v="4"/>
    <x v="4"/>
    <x v="1"/>
    <x v="8"/>
    <x v="5"/>
    <x v="1"/>
    <n v="53"/>
    <x v="5"/>
    <x v="0"/>
  </r>
  <r>
    <n v="64358"/>
    <x v="31"/>
    <n v="20000"/>
    <x v="5"/>
    <x v="5"/>
    <x v="2"/>
    <x v="8"/>
    <x v="5"/>
    <x v="1"/>
    <n v="53"/>
    <x v="6"/>
    <x v="0"/>
  </r>
  <r>
    <n v="64359"/>
    <x v="31"/>
    <n v="20000"/>
    <x v="6"/>
    <x v="6"/>
    <x v="2"/>
    <x v="8"/>
    <x v="5"/>
    <x v="1"/>
    <n v="53"/>
    <x v="7"/>
    <x v="0"/>
  </r>
  <r>
    <n v="64360"/>
    <x v="31"/>
    <n v="0"/>
    <x v="12"/>
    <x v="12"/>
    <x v="0"/>
    <x v="8"/>
    <x v="5"/>
    <x v="1"/>
    <n v="53"/>
    <x v="14"/>
    <x v="0"/>
  </r>
  <r>
    <n v="64361"/>
    <x v="31"/>
    <n v="0"/>
    <x v="7"/>
    <x v="7"/>
    <x v="0"/>
    <x v="8"/>
    <x v="5"/>
    <x v="1"/>
    <n v="53"/>
    <x v="8"/>
    <x v="0"/>
  </r>
  <r>
    <n v="64362"/>
    <x v="31"/>
    <n v="0"/>
    <x v="8"/>
    <x v="8"/>
    <x v="1"/>
    <x v="8"/>
    <x v="5"/>
    <x v="1"/>
    <n v="53"/>
    <x v="9"/>
    <x v="0"/>
  </r>
  <r>
    <n v="64363"/>
    <x v="31"/>
    <n v="0"/>
    <x v="11"/>
    <x v="11"/>
    <x v="1"/>
    <x v="8"/>
    <x v="5"/>
    <x v="1"/>
    <n v="53"/>
    <x v="12"/>
    <x v="0"/>
  </r>
  <r>
    <n v="64364"/>
    <x v="31"/>
    <n v="0"/>
    <x v="9"/>
    <x v="9"/>
    <x v="1"/>
    <x v="8"/>
    <x v="5"/>
    <x v="1"/>
    <n v="53"/>
    <x v="10"/>
    <x v="0"/>
  </r>
  <r>
    <n v="64365"/>
    <x v="31"/>
    <n v="0"/>
    <x v="10"/>
    <x v="10"/>
    <x v="1"/>
    <x v="8"/>
    <x v="5"/>
    <x v="1"/>
    <n v="53"/>
    <x v="11"/>
    <x v="0"/>
  </r>
  <r>
    <n v="64366"/>
    <x v="31"/>
    <n v="20000"/>
    <x v="5"/>
    <x v="5"/>
    <x v="3"/>
    <x v="8"/>
    <x v="5"/>
    <x v="1"/>
    <n v="53"/>
    <x v="17"/>
    <x v="0"/>
  </r>
  <r>
    <n v="64367"/>
    <x v="31"/>
    <n v="20000"/>
    <x v="6"/>
    <x v="6"/>
    <x v="3"/>
    <x v="8"/>
    <x v="5"/>
    <x v="1"/>
    <n v="53"/>
    <x v="16"/>
    <x v="0"/>
  </r>
  <r>
    <n v="64368"/>
    <x v="32"/>
    <n v="0"/>
    <x v="0"/>
    <x v="0"/>
    <x v="0"/>
    <x v="8"/>
    <x v="5"/>
    <x v="1"/>
    <n v="54"/>
    <x v="0"/>
    <x v="0"/>
  </r>
  <r>
    <n v="64369"/>
    <x v="32"/>
    <n v="0"/>
    <x v="0"/>
    <x v="0"/>
    <x v="1"/>
    <x v="8"/>
    <x v="5"/>
    <x v="1"/>
    <n v="54"/>
    <x v="13"/>
    <x v="0"/>
  </r>
  <r>
    <n v="64370"/>
    <x v="32"/>
    <n v="0"/>
    <x v="1"/>
    <x v="1"/>
    <x v="0"/>
    <x v="8"/>
    <x v="5"/>
    <x v="1"/>
    <n v="54"/>
    <x v="1"/>
    <x v="0"/>
  </r>
  <r>
    <n v="64371"/>
    <x v="32"/>
    <n v="0"/>
    <x v="1"/>
    <x v="1"/>
    <x v="1"/>
    <x v="8"/>
    <x v="5"/>
    <x v="1"/>
    <n v="54"/>
    <x v="2"/>
    <x v="0"/>
  </r>
  <r>
    <n v="64372"/>
    <x v="32"/>
    <n v="0"/>
    <x v="2"/>
    <x v="2"/>
    <x v="1"/>
    <x v="8"/>
    <x v="5"/>
    <x v="1"/>
    <n v="54"/>
    <x v="3"/>
    <x v="0"/>
  </r>
  <r>
    <n v="64373"/>
    <x v="32"/>
    <n v="0"/>
    <x v="3"/>
    <x v="3"/>
    <x v="1"/>
    <x v="8"/>
    <x v="5"/>
    <x v="1"/>
    <n v="54"/>
    <x v="4"/>
    <x v="0"/>
  </r>
  <r>
    <n v="64374"/>
    <x v="32"/>
    <n v="0"/>
    <x v="4"/>
    <x v="4"/>
    <x v="0"/>
    <x v="8"/>
    <x v="5"/>
    <x v="1"/>
    <n v="54"/>
    <x v="15"/>
    <x v="0"/>
  </r>
  <r>
    <n v="64375"/>
    <x v="32"/>
    <n v="0"/>
    <x v="4"/>
    <x v="4"/>
    <x v="1"/>
    <x v="8"/>
    <x v="5"/>
    <x v="1"/>
    <n v="54"/>
    <x v="5"/>
    <x v="0"/>
  </r>
  <r>
    <n v="64376"/>
    <x v="32"/>
    <n v="20000"/>
    <x v="5"/>
    <x v="5"/>
    <x v="2"/>
    <x v="8"/>
    <x v="5"/>
    <x v="1"/>
    <n v="54"/>
    <x v="6"/>
    <x v="0"/>
  </r>
  <r>
    <n v="64377"/>
    <x v="32"/>
    <n v="20000"/>
    <x v="6"/>
    <x v="6"/>
    <x v="2"/>
    <x v="8"/>
    <x v="5"/>
    <x v="1"/>
    <n v="54"/>
    <x v="7"/>
    <x v="0"/>
  </r>
  <r>
    <n v="64378"/>
    <x v="32"/>
    <n v="0"/>
    <x v="12"/>
    <x v="12"/>
    <x v="0"/>
    <x v="8"/>
    <x v="5"/>
    <x v="1"/>
    <n v="54"/>
    <x v="14"/>
    <x v="0"/>
  </r>
  <r>
    <n v="64379"/>
    <x v="32"/>
    <n v="0"/>
    <x v="7"/>
    <x v="7"/>
    <x v="0"/>
    <x v="8"/>
    <x v="5"/>
    <x v="1"/>
    <n v="54"/>
    <x v="8"/>
    <x v="0"/>
  </r>
  <r>
    <n v="64380"/>
    <x v="32"/>
    <n v="0"/>
    <x v="8"/>
    <x v="8"/>
    <x v="1"/>
    <x v="8"/>
    <x v="5"/>
    <x v="1"/>
    <n v="54"/>
    <x v="9"/>
    <x v="0"/>
  </r>
  <r>
    <n v="64381"/>
    <x v="32"/>
    <n v="0"/>
    <x v="11"/>
    <x v="11"/>
    <x v="1"/>
    <x v="8"/>
    <x v="5"/>
    <x v="1"/>
    <n v="54"/>
    <x v="12"/>
    <x v="0"/>
  </r>
  <r>
    <n v="64382"/>
    <x v="32"/>
    <n v="0"/>
    <x v="9"/>
    <x v="9"/>
    <x v="1"/>
    <x v="8"/>
    <x v="5"/>
    <x v="1"/>
    <n v="54"/>
    <x v="10"/>
    <x v="0"/>
  </r>
  <r>
    <n v="64383"/>
    <x v="32"/>
    <n v="0"/>
    <x v="10"/>
    <x v="10"/>
    <x v="1"/>
    <x v="8"/>
    <x v="5"/>
    <x v="1"/>
    <n v="54"/>
    <x v="11"/>
    <x v="0"/>
  </r>
  <r>
    <n v="64384"/>
    <x v="32"/>
    <n v="20000"/>
    <x v="5"/>
    <x v="5"/>
    <x v="3"/>
    <x v="8"/>
    <x v="5"/>
    <x v="1"/>
    <n v="54"/>
    <x v="17"/>
    <x v="0"/>
  </r>
  <r>
    <n v="64385"/>
    <x v="32"/>
    <n v="20000"/>
    <x v="6"/>
    <x v="6"/>
    <x v="3"/>
    <x v="8"/>
    <x v="5"/>
    <x v="1"/>
    <n v="54"/>
    <x v="16"/>
    <x v="0"/>
  </r>
  <r>
    <n v="64386"/>
    <x v="33"/>
    <n v="0"/>
    <x v="0"/>
    <x v="0"/>
    <x v="0"/>
    <x v="8"/>
    <x v="5"/>
    <x v="1"/>
    <n v="55"/>
    <x v="0"/>
    <x v="0"/>
  </r>
  <r>
    <n v="64387"/>
    <x v="33"/>
    <n v="0"/>
    <x v="0"/>
    <x v="0"/>
    <x v="1"/>
    <x v="8"/>
    <x v="5"/>
    <x v="1"/>
    <n v="55"/>
    <x v="13"/>
    <x v="0"/>
  </r>
  <r>
    <n v="64388"/>
    <x v="33"/>
    <n v="0"/>
    <x v="1"/>
    <x v="1"/>
    <x v="0"/>
    <x v="8"/>
    <x v="5"/>
    <x v="1"/>
    <n v="55"/>
    <x v="1"/>
    <x v="0"/>
  </r>
  <r>
    <n v="64389"/>
    <x v="33"/>
    <n v="0"/>
    <x v="1"/>
    <x v="1"/>
    <x v="1"/>
    <x v="8"/>
    <x v="5"/>
    <x v="1"/>
    <n v="55"/>
    <x v="2"/>
    <x v="0"/>
  </r>
  <r>
    <n v="64390"/>
    <x v="33"/>
    <n v="0"/>
    <x v="2"/>
    <x v="2"/>
    <x v="1"/>
    <x v="8"/>
    <x v="5"/>
    <x v="1"/>
    <n v="55"/>
    <x v="3"/>
    <x v="0"/>
  </r>
  <r>
    <n v="64391"/>
    <x v="33"/>
    <n v="0"/>
    <x v="3"/>
    <x v="3"/>
    <x v="1"/>
    <x v="8"/>
    <x v="5"/>
    <x v="1"/>
    <n v="55"/>
    <x v="4"/>
    <x v="0"/>
  </r>
  <r>
    <n v="64392"/>
    <x v="33"/>
    <n v="0"/>
    <x v="4"/>
    <x v="4"/>
    <x v="0"/>
    <x v="8"/>
    <x v="5"/>
    <x v="1"/>
    <n v="55"/>
    <x v="15"/>
    <x v="0"/>
  </r>
  <r>
    <n v="64393"/>
    <x v="33"/>
    <n v="0"/>
    <x v="4"/>
    <x v="4"/>
    <x v="1"/>
    <x v="8"/>
    <x v="5"/>
    <x v="1"/>
    <n v="55"/>
    <x v="5"/>
    <x v="0"/>
  </r>
  <r>
    <n v="64394"/>
    <x v="33"/>
    <n v="20000"/>
    <x v="5"/>
    <x v="5"/>
    <x v="2"/>
    <x v="8"/>
    <x v="5"/>
    <x v="1"/>
    <n v="55"/>
    <x v="6"/>
    <x v="0"/>
  </r>
  <r>
    <n v="64395"/>
    <x v="33"/>
    <n v="20000"/>
    <x v="6"/>
    <x v="6"/>
    <x v="2"/>
    <x v="8"/>
    <x v="5"/>
    <x v="1"/>
    <n v="55"/>
    <x v="7"/>
    <x v="0"/>
  </r>
  <r>
    <n v="64396"/>
    <x v="33"/>
    <n v="0"/>
    <x v="12"/>
    <x v="12"/>
    <x v="0"/>
    <x v="8"/>
    <x v="5"/>
    <x v="1"/>
    <n v="55"/>
    <x v="14"/>
    <x v="0"/>
  </r>
  <r>
    <n v="64397"/>
    <x v="33"/>
    <n v="0"/>
    <x v="7"/>
    <x v="7"/>
    <x v="0"/>
    <x v="8"/>
    <x v="5"/>
    <x v="1"/>
    <n v="55"/>
    <x v="8"/>
    <x v="0"/>
  </r>
  <r>
    <n v="64398"/>
    <x v="33"/>
    <n v="0"/>
    <x v="8"/>
    <x v="8"/>
    <x v="1"/>
    <x v="8"/>
    <x v="5"/>
    <x v="1"/>
    <n v="55"/>
    <x v="9"/>
    <x v="0"/>
  </r>
  <r>
    <n v="64399"/>
    <x v="33"/>
    <n v="0"/>
    <x v="11"/>
    <x v="11"/>
    <x v="1"/>
    <x v="8"/>
    <x v="5"/>
    <x v="1"/>
    <n v="55"/>
    <x v="12"/>
    <x v="0"/>
  </r>
  <r>
    <n v="64400"/>
    <x v="33"/>
    <n v="0"/>
    <x v="9"/>
    <x v="9"/>
    <x v="1"/>
    <x v="8"/>
    <x v="5"/>
    <x v="1"/>
    <n v="55"/>
    <x v="10"/>
    <x v="0"/>
  </r>
  <r>
    <n v="64401"/>
    <x v="33"/>
    <n v="0"/>
    <x v="10"/>
    <x v="10"/>
    <x v="1"/>
    <x v="8"/>
    <x v="5"/>
    <x v="1"/>
    <n v="55"/>
    <x v="11"/>
    <x v="0"/>
  </r>
  <r>
    <n v="64402"/>
    <x v="33"/>
    <n v="20000"/>
    <x v="5"/>
    <x v="5"/>
    <x v="3"/>
    <x v="8"/>
    <x v="5"/>
    <x v="1"/>
    <n v="55"/>
    <x v="17"/>
    <x v="0"/>
  </r>
  <r>
    <n v="64403"/>
    <x v="33"/>
    <n v="20000"/>
    <x v="6"/>
    <x v="6"/>
    <x v="3"/>
    <x v="8"/>
    <x v="5"/>
    <x v="1"/>
    <n v="55"/>
    <x v="16"/>
    <x v="0"/>
  </r>
  <r>
    <n v="64404"/>
    <x v="34"/>
    <n v="0"/>
    <x v="0"/>
    <x v="0"/>
    <x v="0"/>
    <x v="9"/>
    <x v="5"/>
    <x v="1"/>
    <n v="56"/>
    <x v="0"/>
    <x v="0"/>
  </r>
  <r>
    <n v="64405"/>
    <x v="34"/>
    <n v="0"/>
    <x v="0"/>
    <x v="0"/>
    <x v="1"/>
    <x v="9"/>
    <x v="5"/>
    <x v="1"/>
    <n v="56"/>
    <x v="13"/>
    <x v="0"/>
  </r>
  <r>
    <n v="64406"/>
    <x v="34"/>
    <n v="0"/>
    <x v="1"/>
    <x v="1"/>
    <x v="0"/>
    <x v="9"/>
    <x v="5"/>
    <x v="1"/>
    <n v="56"/>
    <x v="1"/>
    <x v="0"/>
  </r>
  <r>
    <n v="64407"/>
    <x v="34"/>
    <n v="0"/>
    <x v="1"/>
    <x v="1"/>
    <x v="1"/>
    <x v="9"/>
    <x v="5"/>
    <x v="1"/>
    <n v="56"/>
    <x v="2"/>
    <x v="0"/>
  </r>
  <r>
    <n v="64408"/>
    <x v="34"/>
    <n v="0"/>
    <x v="2"/>
    <x v="2"/>
    <x v="1"/>
    <x v="9"/>
    <x v="5"/>
    <x v="1"/>
    <n v="56"/>
    <x v="3"/>
    <x v="0"/>
  </r>
  <r>
    <n v="64409"/>
    <x v="34"/>
    <n v="0"/>
    <x v="3"/>
    <x v="3"/>
    <x v="1"/>
    <x v="9"/>
    <x v="5"/>
    <x v="1"/>
    <n v="56"/>
    <x v="4"/>
    <x v="0"/>
  </r>
  <r>
    <n v="64410"/>
    <x v="34"/>
    <n v="0"/>
    <x v="4"/>
    <x v="4"/>
    <x v="0"/>
    <x v="9"/>
    <x v="5"/>
    <x v="1"/>
    <n v="56"/>
    <x v="15"/>
    <x v="0"/>
  </r>
  <r>
    <n v="64411"/>
    <x v="34"/>
    <n v="0"/>
    <x v="4"/>
    <x v="4"/>
    <x v="1"/>
    <x v="9"/>
    <x v="5"/>
    <x v="1"/>
    <n v="56"/>
    <x v="5"/>
    <x v="0"/>
  </r>
  <r>
    <n v="64412"/>
    <x v="34"/>
    <n v="20000"/>
    <x v="5"/>
    <x v="5"/>
    <x v="2"/>
    <x v="9"/>
    <x v="5"/>
    <x v="1"/>
    <n v="56"/>
    <x v="6"/>
    <x v="0"/>
  </r>
  <r>
    <n v="64413"/>
    <x v="34"/>
    <n v="20000"/>
    <x v="6"/>
    <x v="6"/>
    <x v="2"/>
    <x v="9"/>
    <x v="5"/>
    <x v="1"/>
    <n v="56"/>
    <x v="7"/>
    <x v="0"/>
  </r>
  <r>
    <n v="64414"/>
    <x v="34"/>
    <n v="0"/>
    <x v="12"/>
    <x v="12"/>
    <x v="0"/>
    <x v="9"/>
    <x v="5"/>
    <x v="1"/>
    <n v="56"/>
    <x v="14"/>
    <x v="0"/>
  </r>
  <r>
    <n v="64415"/>
    <x v="34"/>
    <n v="0"/>
    <x v="7"/>
    <x v="7"/>
    <x v="0"/>
    <x v="9"/>
    <x v="5"/>
    <x v="1"/>
    <n v="56"/>
    <x v="8"/>
    <x v="0"/>
  </r>
  <r>
    <n v="64416"/>
    <x v="34"/>
    <n v="0"/>
    <x v="8"/>
    <x v="8"/>
    <x v="1"/>
    <x v="9"/>
    <x v="5"/>
    <x v="1"/>
    <n v="56"/>
    <x v="9"/>
    <x v="0"/>
  </r>
  <r>
    <n v="64417"/>
    <x v="34"/>
    <n v="0"/>
    <x v="11"/>
    <x v="11"/>
    <x v="1"/>
    <x v="9"/>
    <x v="5"/>
    <x v="1"/>
    <n v="56"/>
    <x v="12"/>
    <x v="0"/>
  </r>
  <r>
    <n v="64418"/>
    <x v="34"/>
    <n v="0"/>
    <x v="9"/>
    <x v="9"/>
    <x v="1"/>
    <x v="9"/>
    <x v="5"/>
    <x v="1"/>
    <n v="56"/>
    <x v="10"/>
    <x v="0"/>
  </r>
  <r>
    <n v="64419"/>
    <x v="34"/>
    <n v="0"/>
    <x v="10"/>
    <x v="10"/>
    <x v="1"/>
    <x v="9"/>
    <x v="5"/>
    <x v="1"/>
    <n v="56"/>
    <x v="11"/>
    <x v="0"/>
  </r>
  <r>
    <n v="64420"/>
    <x v="34"/>
    <n v="20000"/>
    <x v="5"/>
    <x v="5"/>
    <x v="3"/>
    <x v="9"/>
    <x v="5"/>
    <x v="1"/>
    <n v="56"/>
    <x v="17"/>
    <x v="0"/>
  </r>
  <r>
    <n v="64421"/>
    <x v="34"/>
    <n v="20000"/>
    <x v="6"/>
    <x v="6"/>
    <x v="3"/>
    <x v="9"/>
    <x v="5"/>
    <x v="1"/>
    <n v="56"/>
    <x v="16"/>
    <x v="0"/>
  </r>
  <r>
    <n v="64422"/>
    <x v="35"/>
    <n v="0"/>
    <x v="0"/>
    <x v="0"/>
    <x v="0"/>
    <x v="6"/>
    <x v="5"/>
    <x v="1"/>
    <n v="57"/>
    <x v="0"/>
    <x v="0"/>
  </r>
  <r>
    <n v="64423"/>
    <x v="35"/>
    <n v="0"/>
    <x v="0"/>
    <x v="0"/>
    <x v="1"/>
    <x v="6"/>
    <x v="5"/>
    <x v="1"/>
    <n v="57"/>
    <x v="13"/>
    <x v="0"/>
  </r>
  <r>
    <n v="64424"/>
    <x v="35"/>
    <n v="0"/>
    <x v="1"/>
    <x v="1"/>
    <x v="0"/>
    <x v="6"/>
    <x v="5"/>
    <x v="1"/>
    <n v="57"/>
    <x v="1"/>
    <x v="0"/>
  </r>
  <r>
    <n v="64425"/>
    <x v="35"/>
    <n v="0"/>
    <x v="1"/>
    <x v="1"/>
    <x v="1"/>
    <x v="6"/>
    <x v="5"/>
    <x v="1"/>
    <n v="57"/>
    <x v="2"/>
    <x v="0"/>
  </r>
  <r>
    <n v="64426"/>
    <x v="35"/>
    <n v="0"/>
    <x v="2"/>
    <x v="2"/>
    <x v="1"/>
    <x v="6"/>
    <x v="5"/>
    <x v="1"/>
    <n v="57"/>
    <x v="3"/>
    <x v="0"/>
  </r>
  <r>
    <n v="64427"/>
    <x v="35"/>
    <n v="0"/>
    <x v="3"/>
    <x v="3"/>
    <x v="1"/>
    <x v="6"/>
    <x v="5"/>
    <x v="1"/>
    <n v="57"/>
    <x v="4"/>
    <x v="0"/>
  </r>
  <r>
    <n v="64428"/>
    <x v="35"/>
    <n v="0"/>
    <x v="4"/>
    <x v="4"/>
    <x v="0"/>
    <x v="6"/>
    <x v="5"/>
    <x v="1"/>
    <n v="57"/>
    <x v="15"/>
    <x v="0"/>
  </r>
  <r>
    <n v="64429"/>
    <x v="35"/>
    <n v="0"/>
    <x v="4"/>
    <x v="4"/>
    <x v="1"/>
    <x v="6"/>
    <x v="5"/>
    <x v="1"/>
    <n v="57"/>
    <x v="5"/>
    <x v="0"/>
  </r>
  <r>
    <n v="64430"/>
    <x v="35"/>
    <n v="20000"/>
    <x v="5"/>
    <x v="5"/>
    <x v="2"/>
    <x v="6"/>
    <x v="5"/>
    <x v="1"/>
    <n v="57"/>
    <x v="6"/>
    <x v="0"/>
  </r>
  <r>
    <n v="64431"/>
    <x v="35"/>
    <n v="20000"/>
    <x v="6"/>
    <x v="6"/>
    <x v="2"/>
    <x v="6"/>
    <x v="5"/>
    <x v="1"/>
    <n v="57"/>
    <x v="7"/>
    <x v="0"/>
  </r>
  <r>
    <n v="64432"/>
    <x v="35"/>
    <n v="0"/>
    <x v="12"/>
    <x v="12"/>
    <x v="0"/>
    <x v="6"/>
    <x v="5"/>
    <x v="1"/>
    <n v="57"/>
    <x v="14"/>
    <x v="0"/>
  </r>
  <r>
    <n v="64433"/>
    <x v="35"/>
    <n v="0"/>
    <x v="7"/>
    <x v="7"/>
    <x v="0"/>
    <x v="6"/>
    <x v="5"/>
    <x v="1"/>
    <n v="57"/>
    <x v="8"/>
    <x v="0"/>
  </r>
  <r>
    <n v="64434"/>
    <x v="35"/>
    <n v="0"/>
    <x v="8"/>
    <x v="8"/>
    <x v="1"/>
    <x v="6"/>
    <x v="5"/>
    <x v="1"/>
    <n v="57"/>
    <x v="9"/>
    <x v="0"/>
  </r>
  <r>
    <n v="64435"/>
    <x v="35"/>
    <n v="0"/>
    <x v="11"/>
    <x v="11"/>
    <x v="1"/>
    <x v="6"/>
    <x v="5"/>
    <x v="1"/>
    <n v="57"/>
    <x v="12"/>
    <x v="0"/>
  </r>
  <r>
    <n v="64436"/>
    <x v="35"/>
    <n v="0"/>
    <x v="9"/>
    <x v="9"/>
    <x v="1"/>
    <x v="6"/>
    <x v="5"/>
    <x v="1"/>
    <n v="57"/>
    <x v="10"/>
    <x v="0"/>
  </r>
  <r>
    <n v="64437"/>
    <x v="35"/>
    <n v="0"/>
    <x v="10"/>
    <x v="10"/>
    <x v="1"/>
    <x v="6"/>
    <x v="5"/>
    <x v="1"/>
    <n v="57"/>
    <x v="11"/>
    <x v="0"/>
  </r>
  <r>
    <n v="64438"/>
    <x v="35"/>
    <n v="20000"/>
    <x v="5"/>
    <x v="5"/>
    <x v="3"/>
    <x v="6"/>
    <x v="5"/>
    <x v="1"/>
    <n v="57"/>
    <x v="17"/>
    <x v="0"/>
  </r>
  <r>
    <n v="64439"/>
    <x v="35"/>
    <n v="20000"/>
    <x v="6"/>
    <x v="6"/>
    <x v="3"/>
    <x v="6"/>
    <x v="5"/>
    <x v="1"/>
    <n v="57"/>
    <x v="16"/>
    <x v="0"/>
  </r>
  <r>
    <n v="64440"/>
    <x v="36"/>
    <n v="0"/>
    <x v="0"/>
    <x v="0"/>
    <x v="0"/>
    <x v="6"/>
    <x v="5"/>
    <x v="1"/>
    <n v="58"/>
    <x v="0"/>
    <x v="0"/>
  </r>
  <r>
    <n v="64441"/>
    <x v="36"/>
    <n v="0"/>
    <x v="0"/>
    <x v="0"/>
    <x v="1"/>
    <x v="6"/>
    <x v="5"/>
    <x v="1"/>
    <n v="58"/>
    <x v="13"/>
    <x v="0"/>
  </r>
  <r>
    <n v="64442"/>
    <x v="36"/>
    <n v="0"/>
    <x v="1"/>
    <x v="1"/>
    <x v="0"/>
    <x v="6"/>
    <x v="5"/>
    <x v="1"/>
    <n v="58"/>
    <x v="1"/>
    <x v="0"/>
  </r>
  <r>
    <n v="64443"/>
    <x v="36"/>
    <n v="0"/>
    <x v="1"/>
    <x v="1"/>
    <x v="1"/>
    <x v="6"/>
    <x v="5"/>
    <x v="1"/>
    <n v="58"/>
    <x v="2"/>
    <x v="0"/>
  </r>
  <r>
    <n v="64444"/>
    <x v="36"/>
    <n v="0"/>
    <x v="2"/>
    <x v="2"/>
    <x v="1"/>
    <x v="6"/>
    <x v="5"/>
    <x v="1"/>
    <n v="58"/>
    <x v="3"/>
    <x v="0"/>
  </r>
  <r>
    <n v="64550"/>
    <x v="37"/>
    <n v="0"/>
    <x v="1"/>
    <x v="1"/>
    <x v="0"/>
    <x v="6"/>
    <x v="5"/>
    <x v="1"/>
    <n v="64"/>
    <x v="1"/>
    <x v="0"/>
  </r>
  <r>
    <n v="64445"/>
    <x v="36"/>
    <n v="0"/>
    <x v="3"/>
    <x v="3"/>
    <x v="1"/>
    <x v="6"/>
    <x v="5"/>
    <x v="1"/>
    <n v="58"/>
    <x v="4"/>
    <x v="0"/>
  </r>
  <r>
    <n v="64446"/>
    <x v="36"/>
    <n v="0"/>
    <x v="4"/>
    <x v="4"/>
    <x v="0"/>
    <x v="6"/>
    <x v="5"/>
    <x v="1"/>
    <n v="58"/>
    <x v="15"/>
    <x v="0"/>
  </r>
  <r>
    <n v="64447"/>
    <x v="36"/>
    <n v="0"/>
    <x v="4"/>
    <x v="4"/>
    <x v="1"/>
    <x v="6"/>
    <x v="5"/>
    <x v="1"/>
    <n v="58"/>
    <x v="5"/>
    <x v="0"/>
  </r>
  <r>
    <n v="64448"/>
    <x v="36"/>
    <n v="20000"/>
    <x v="5"/>
    <x v="5"/>
    <x v="2"/>
    <x v="6"/>
    <x v="5"/>
    <x v="1"/>
    <n v="58"/>
    <x v="6"/>
    <x v="0"/>
  </r>
  <r>
    <n v="64449"/>
    <x v="36"/>
    <n v="20000"/>
    <x v="6"/>
    <x v="6"/>
    <x v="2"/>
    <x v="6"/>
    <x v="5"/>
    <x v="1"/>
    <n v="58"/>
    <x v="7"/>
    <x v="0"/>
  </r>
  <r>
    <n v="64450"/>
    <x v="36"/>
    <n v="0"/>
    <x v="12"/>
    <x v="12"/>
    <x v="0"/>
    <x v="6"/>
    <x v="5"/>
    <x v="1"/>
    <n v="58"/>
    <x v="14"/>
    <x v="0"/>
  </r>
  <r>
    <n v="64451"/>
    <x v="36"/>
    <n v="0"/>
    <x v="7"/>
    <x v="7"/>
    <x v="0"/>
    <x v="6"/>
    <x v="5"/>
    <x v="1"/>
    <n v="58"/>
    <x v="8"/>
    <x v="0"/>
  </r>
  <r>
    <n v="64452"/>
    <x v="36"/>
    <n v="0"/>
    <x v="8"/>
    <x v="8"/>
    <x v="1"/>
    <x v="6"/>
    <x v="5"/>
    <x v="1"/>
    <n v="58"/>
    <x v="9"/>
    <x v="0"/>
  </r>
  <r>
    <n v="64453"/>
    <x v="36"/>
    <n v="0"/>
    <x v="11"/>
    <x v="11"/>
    <x v="1"/>
    <x v="6"/>
    <x v="5"/>
    <x v="1"/>
    <n v="58"/>
    <x v="12"/>
    <x v="0"/>
  </r>
  <r>
    <n v="64454"/>
    <x v="36"/>
    <n v="0"/>
    <x v="9"/>
    <x v="9"/>
    <x v="1"/>
    <x v="6"/>
    <x v="5"/>
    <x v="1"/>
    <n v="58"/>
    <x v="10"/>
    <x v="0"/>
  </r>
  <r>
    <n v="64455"/>
    <x v="36"/>
    <n v="0"/>
    <x v="10"/>
    <x v="10"/>
    <x v="1"/>
    <x v="6"/>
    <x v="5"/>
    <x v="1"/>
    <n v="58"/>
    <x v="11"/>
    <x v="0"/>
  </r>
  <r>
    <n v="64456"/>
    <x v="36"/>
    <n v="20000"/>
    <x v="5"/>
    <x v="5"/>
    <x v="3"/>
    <x v="6"/>
    <x v="5"/>
    <x v="1"/>
    <n v="58"/>
    <x v="17"/>
    <x v="0"/>
  </r>
  <r>
    <n v="64457"/>
    <x v="36"/>
    <n v="20000"/>
    <x v="6"/>
    <x v="6"/>
    <x v="3"/>
    <x v="6"/>
    <x v="5"/>
    <x v="1"/>
    <n v="58"/>
    <x v="16"/>
    <x v="0"/>
  </r>
  <r>
    <n v="64458"/>
    <x v="38"/>
    <n v="0"/>
    <x v="0"/>
    <x v="0"/>
    <x v="0"/>
    <x v="6"/>
    <x v="5"/>
    <x v="1"/>
    <n v="59"/>
    <x v="0"/>
    <x v="0"/>
  </r>
  <r>
    <n v="64459"/>
    <x v="38"/>
    <n v="0"/>
    <x v="0"/>
    <x v="0"/>
    <x v="1"/>
    <x v="6"/>
    <x v="5"/>
    <x v="1"/>
    <n v="59"/>
    <x v="13"/>
    <x v="0"/>
  </r>
  <r>
    <n v="64460"/>
    <x v="38"/>
    <n v="0"/>
    <x v="1"/>
    <x v="1"/>
    <x v="0"/>
    <x v="6"/>
    <x v="5"/>
    <x v="1"/>
    <n v="59"/>
    <x v="1"/>
    <x v="0"/>
  </r>
  <r>
    <n v="64461"/>
    <x v="38"/>
    <n v="0"/>
    <x v="1"/>
    <x v="1"/>
    <x v="1"/>
    <x v="6"/>
    <x v="5"/>
    <x v="1"/>
    <n v="59"/>
    <x v="2"/>
    <x v="0"/>
  </r>
  <r>
    <n v="64462"/>
    <x v="38"/>
    <n v="0"/>
    <x v="2"/>
    <x v="2"/>
    <x v="1"/>
    <x v="6"/>
    <x v="5"/>
    <x v="1"/>
    <n v="59"/>
    <x v="3"/>
    <x v="0"/>
  </r>
  <r>
    <n v="64463"/>
    <x v="38"/>
    <n v="0"/>
    <x v="3"/>
    <x v="3"/>
    <x v="1"/>
    <x v="6"/>
    <x v="5"/>
    <x v="1"/>
    <n v="59"/>
    <x v="4"/>
    <x v="0"/>
  </r>
  <r>
    <n v="64464"/>
    <x v="38"/>
    <n v="0"/>
    <x v="4"/>
    <x v="4"/>
    <x v="0"/>
    <x v="6"/>
    <x v="5"/>
    <x v="1"/>
    <n v="59"/>
    <x v="15"/>
    <x v="0"/>
  </r>
  <r>
    <n v="64465"/>
    <x v="38"/>
    <n v="0"/>
    <x v="4"/>
    <x v="4"/>
    <x v="1"/>
    <x v="6"/>
    <x v="5"/>
    <x v="1"/>
    <n v="59"/>
    <x v="5"/>
    <x v="0"/>
  </r>
  <r>
    <n v="64466"/>
    <x v="38"/>
    <n v="20000"/>
    <x v="5"/>
    <x v="5"/>
    <x v="2"/>
    <x v="6"/>
    <x v="5"/>
    <x v="1"/>
    <n v="59"/>
    <x v="6"/>
    <x v="0"/>
  </r>
  <r>
    <n v="64467"/>
    <x v="38"/>
    <n v="20000"/>
    <x v="6"/>
    <x v="6"/>
    <x v="2"/>
    <x v="6"/>
    <x v="5"/>
    <x v="1"/>
    <n v="59"/>
    <x v="7"/>
    <x v="0"/>
  </r>
  <r>
    <n v="64468"/>
    <x v="38"/>
    <n v="0"/>
    <x v="12"/>
    <x v="12"/>
    <x v="0"/>
    <x v="6"/>
    <x v="5"/>
    <x v="1"/>
    <n v="59"/>
    <x v="14"/>
    <x v="0"/>
  </r>
  <r>
    <n v="64469"/>
    <x v="38"/>
    <n v="0"/>
    <x v="7"/>
    <x v="7"/>
    <x v="0"/>
    <x v="6"/>
    <x v="5"/>
    <x v="1"/>
    <n v="59"/>
    <x v="8"/>
    <x v="0"/>
  </r>
  <r>
    <n v="64470"/>
    <x v="38"/>
    <n v="0"/>
    <x v="8"/>
    <x v="8"/>
    <x v="1"/>
    <x v="6"/>
    <x v="5"/>
    <x v="1"/>
    <n v="59"/>
    <x v="9"/>
    <x v="0"/>
  </r>
  <r>
    <n v="64471"/>
    <x v="38"/>
    <n v="0"/>
    <x v="11"/>
    <x v="11"/>
    <x v="1"/>
    <x v="6"/>
    <x v="5"/>
    <x v="1"/>
    <n v="59"/>
    <x v="12"/>
    <x v="0"/>
  </r>
  <r>
    <n v="64472"/>
    <x v="38"/>
    <n v="0"/>
    <x v="9"/>
    <x v="9"/>
    <x v="1"/>
    <x v="6"/>
    <x v="5"/>
    <x v="1"/>
    <n v="59"/>
    <x v="10"/>
    <x v="0"/>
  </r>
  <r>
    <n v="64473"/>
    <x v="38"/>
    <n v="0"/>
    <x v="10"/>
    <x v="10"/>
    <x v="1"/>
    <x v="6"/>
    <x v="5"/>
    <x v="1"/>
    <n v="59"/>
    <x v="11"/>
    <x v="0"/>
  </r>
  <r>
    <n v="64474"/>
    <x v="38"/>
    <n v="20000"/>
    <x v="5"/>
    <x v="5"/>
    <x v="3"/>
    <x v="6"/>
    <x v="5"/>
    <x v="1"/>
    <n v="59"/>
    <x v="17"/>
    <x v="0"/>
  </r>
  <r>
    <n v="64475"/>
    <x v="38"/>
    <n v="20000"/>
    <x v="6"/>
    <x v="6"/>
    <x v="3"/>
    <x v="6"/>
    <x v="5"/>
    <x v="1"/>
    <n v="59"/>
    <x v="16"/>
    <x v="0"/>
  </r>
  <r>
    <n v="64476"/>
    <x v="39"/>
    <n v="0"/>
    <x v="0"/>
    <x v="0"/>
    <x v="0"/>
    <x v="6"/>
    <x v="5"/>
    <x v="1"/>
    <n v="60"/>
    <x v="0"/>
    <x v="0"/>
  </r>
  <r>
    <n v="64477"/>
    <x v="39"/>
    <n v="0"/>
    <x v="0"/>
    <x v="0"/>
    <x v="1"/>
    <x v="6"/>
    <x v="5"/>
    <x v="1"/>
    <n v="60"/>
    <x v="13"/>
    <x v="0"/>
  </r>
  <r>
    <n v="64478"/>
    <x v="39"/>
    <n v="0"/>
    <x v="1"/>
    <x v="1"/>
    <x v="0"/>
    <x v="6"/>
    <x v="5"/>
    <x v="1"/>
    <n v="60"/>
    <x v="1"/>
    <x v="0"/>
  </r>
  <r>
    <n v="64479"/>
    <x v="39"/>
    <n v="0"/>
    <x v="1"/>
    <x v="1"/>
    <x v="1"/>
    <x v="6"/>
    <x v="5"/>
    <x v="1"/>
    <n v="60"/>
    <x v="2"/>
    <x v="0"/>
  </r>
  <r>
    <n v="64480"/>
    <x v="39"/>
    <n v="0"/>
    <x v="2"/>
    <x v="2"/>
    <x v="1"/>
    <x v="6"/>
    <x v="5"/>
    <x v="1"/>
    <n v="60"/>
    <x v="3"/>
    <x v="0"/>
  </r>
  <r>
    <n v="64481"/>
    <x v="39"/>
    <n v="0"/>
    <x v="3"/>
    <x v="3"/>
    <x v="1"/>
    <x v="6"/>
    <x v="5"/>
    <x v="1"/>
    <n v="60"/>
    <x v="4"/>
    <x v="0"/>
  </r>
  <r>
    <n v="64482"/>
    <x v="39"/>
    <n v="0"/>
    <x v="4"/>
    <x v="4"/>
    <x v="0"/>
    <x v="6"/>
    <x v="5"/>
    <x v="1"/>
    <n v="60"/>
    <x v="15"/>
    <x v="0"/>
  </r>
  <r>
    <n v="64483"/>
    <x v="39"/>
    <n v="0"/>
    <x v="4"/>
    <x v="4"/>
    <x v="1"/>
    <x v="6"/>
    <x v="5"/>
    <x v="1"/>
    <n v="60"/>
    <x v="5"/>
    <x v="0"/>
  </r>
  <r>
    <n v="64484"/>
    <x v="39"/>
    <n v="20000"/>
    <x v="5"/>
    <x v="5"/>
    <x v="2"/>
    <x v="6"/>
    <x v="5"/>
    <x v="1"/>
    <n v="60"/>
    <x v="6"/>
    <x v="0"/>
  </r>
  <r>
    <n v="64485"/>
    <x v="39"/>
    <n v="20000"/>
    <x v="6"/>
    <x v="6"/>
    <x v="2"/>
    <x v="6"/>
    <x v="5"/>
    <x v="1"/>
    <n v="60"/>
    <x v="7"/>
    <x v="0"/>
  </r>
  <r>
    <n v="64486"/>
    <x v="39"/>
    <n v="0"/>
    <x v="12"/>
    <x v="12"/>
    <x v="0"/>
    <x v="6"/>
    <x v="5"/>
    <x v="1"/>
    <n v="60"/>
    <x v="14"/>
    <x v="0"/>
  </r>
  <r>
    <n v="64487"/>
    <x v="39"/>
    <n v="0"/>
    <x v="7"/>
    <x v="7"/>
    <x v="0"/>
    <x v="6"/>
    <x v="5"/>
    <x v="1"/>
    <n v="60"/>
    <x v="8"/>
    <x v="0"/>
  </r>
  <r>
    <n v="64488"/>
    <x v="39"/>
    <n v="0"/>
    <x v="8"/>
    <x v="8"/>
    <x v="1"/>
    <x v="6"/>
    <x v="5"/>
    <x v="1"/>
    <n v="60"/>
    <x v="9"/>
    <x v="0"/>
  </r>
  <r>
    <n v="64489"/>
    <x v="39"/>
    <n v="0"/>
    <x v="11"/>
    <x v="11"/>
    <x v="1"/>
    <x v="6"/>
    <x v="5"/>
    <x v="1"/>
    <n v="60"/>
    <x v="12"/>
    <x v="0"/>
  </r>
  <r>
    <n v="64490"/>
    <x v="39"/>
    <n v="0"/>
    <x v="9"/>
    <x v="9"/>
    <x v="1"/>
    <x v="6"/>
    <x v="5"/>
    <x v="1"/>
    <n v="60"/>
    <x v="10"/>
    <x v="0"/>
  </r>
  <r>
    <n v="64491"/>
    <x v="39"/>
    <n v="0"/>
    <x v="10"/>
    <x v="10"/>
    <x v="1"/>
    <x v="6"/>
    <x v="5"/>
    <x v="1"/>
    <n v="60"/>
    <x v="11"/>
    <x v="0"/>
  </r>
  <r>
    <n v="64492"/>
    <x v="39"/>
    <n v="20000"/>
    <x v="5"/>
    <x v="5"/>
    <x v="3"/>
    <x v="6"/>
    <x v="5"/>
    <x v="1"/>
    <n v="60"/>
    <x v="17"/>
    <x v="0"/>
  </r>
  <r>
    <n v="64493"/>
    <x v="39"/>
    <n v="20000"/>
    <x v="6"/>
    <x v="6"/>
    <x v="3"/>
    <x v="6"/>
    <x v="5"/>
    <x v="1"/>
    <n v="60"/>
    <x v="16"/>
    <x v="0"/>
  </r>
  <r>
    <n v="64494"/>
    <x v="40"/>
    <n v="0"/>
    <x v="0"/>
    <x v="0"/>
    <x v="0"/>
    <x v="6"/>
    <x v="5"/>
    <x v="1"/>
    <n v="61"/>
    <x v="0"/>
    <x v="0"/>
  </r>
  <r>
    <n v="64495"/>
    <x v="40"/>
    <n v="0"/>
    <x v="0"/>
    <x v="0"/>
    <x v="1"/>
    <x v="6"/>
    <x v="5"/>
    <x v="1"/>
    <n v="61"/>
    <x v="13"/>
    <x v="0"/>
  </r>
  <r>
    <n v="64496"/>
    <x v="40"/>
    <n v="0"/>
    <x v="1"/>
    <x v="1"/>
    <x v="0"/>
    <x v="6"/>
    <x v="5"/>
    <x v="1"/>
    <n v="61"/>
    <x v="1"/>
    <x v="0"/>
  </r>
  <r>
    <n v="64497"/>
    <x v="40"/>
    <n v="0"/>
    <x v="1"/>
    <x v="1"/>
    <x v="1"/>
    <x v="6"/>
    <x v="5"/>
    <x v="1"/>
    <n v="61"/>
    <x v="2"/>
    <x v="0"/>
  </r>
  <r>
    <n v="64498"/>
    <x v="40"/>
    <n v="0"/>
    <x v="2"/>
    <x v="2"/>
    <x v="1"/>
    <x v="6"/>
    <x v="5"/>
    <x v="1"/>
    <n v="61"/>
    <x v="3"/>
    <x v="0"/>
  </r>
  <r>
    <n v="64499"/>
    <x v="40"/>
    <n v="0"/>
    <x v="3"/>
    <x v="3"/>
    <x v="1"/>
    <x v="6"/>
    <x v="5"/>
    <x v="1"/>
    <n v="61"/>
    <x v="4"/>
    <x v="0"/>
  </r>
  <r>
    <n v="64500"/>
    <x v="40"/>
    <n v="0"/>
    <x v="4"/>
    <x v="4"/>
    <x v="0"/>
    <x v="6"/>
    <x v="5"/>
    <x v="1"/>
    <n v="61"/>
    <x v="15"/>
    <x v="0"/>
  </r>
  <r>
    <n v="64501"/>
    <x v="40"/>
    <n v="0"/>
    <x v="4"/>
    <x v="4"/>
    <x v="1"/>
    <x v="6"/>
    <x v="5"/>
    <x v="1"/>
    <n v="61"/>
    <x v="5"/>
    <x v="0"/>
  </r>
  <r>
    <n v="64502"/>
    <x v="40"/>
    <n v="20000"/>
    <x v="5"/>
    <x v="5"/>
    <x v="2"/>
    <x v="6"/>
    <x v="5"/>
    <x v="1"/>
    <n v="61"/>
    <x v="6"/>
    <x v="0"/>
  </r>
  <r>
    <n v="64503"/>
    <x v="40"/>
    <n v="20000"/>
    <x v="6"/>
    <x v="6"/>
    <x v="2"/>
    <x v="6"/>
    <x v="5"/>
    <x v="1"/>
    <n v="61"/>
    <x v="7"/>
    <x v="0"/>
  </r>
  <r>
    <n v="64504"/>
    <x v="40"/>
    <n v="0"/>
    <x v="12"/>
    <x v="12"/>
    <x v="0"/>
    <x v="6"/>
    <x v="5"/>
    <x v="1"/>
    <n v="61"/>
    <x v="14"/>
    <x v="0"/>
  </r>
  <r>
    <n v="64505"/>
    <x v="40"/>
    <n v="0"/>
    <x v="7"/>
    <x v="7"/>
    <x v="0"/>
    <x v="6"/>
    <x v="5"/>
    <x v="1"/>
    <n v="61"/>
    <x v="8"/>
    <x v="0"/>
  </r>
  <r>
    <n v="64506"/>
    <x v="40"/>
    <n v="0"/>
    <x v="8"/>
    <x v="8"/>
    <x v="1"/>
    <x v="6"/>
    <x v="5"/>
    <x v="1"/>
    <n v="61"/>
    <x v="9"/>
    <x v="0"/>
  </r>
  <r>
    <n v="64507"/>
    <x v="40"/>
    <n v="0"/>
    <x v="11"/>
    <x v="11"/>
    <x v="1"/>
    <x v="6"/>
    <x v="5"/>
    <x v="1"/>
    <n v="61"/>
    <x v="12"/>
    <x v="0"/>
  </r>
  <r>
    <n v="64508"/>
    <x v="40"/>
    <n v="0"/>
    <x v="9"/>
    <x v="9"/>
    <x v="1"/>
    <x v="6"/>
    <x v="5"/>
    <x v="1"/>
    <n v="61"/>
    <x v="10"/>
    <x v="0"/>
  </r>
  <r>
    <n v="64509"/>
    <x v="40"/>
    <n v="0"/>
    <x v="10"/>
    <x v="10"/>
    <x v="1"/>
    <x v="6"/>
    <x v="5"/>
    <x v="1"/>
    <n v="61"/>
    <x v="11"/>
    <x v="0"/>
  </r>
  <r>
    <n v="64510"/>
    <x v="40"/>
    <n v="20000"/>
    <x v="5"/>
    <x v="5"/>
    <x v="3"/>
    <x v="6"/>
    <x v="5"/>
    <x v="1"/>
    <n v="61"/>
    <x v="17"/>
    <x v="0"/>
  </r>
  <r>
    <n v="64511"/>
    <x v="40"/>
    <n v="20000"/>
    <x v="6"/>
    <x v="6"/>
    <x v="3"/>
    <x v="6"/>
    <x v="5"/>
    <x v="1"/>
    <n v="61"/>
    <x v="16"/>
    <x v="0"/>
  </r>
  <r>
    <n v="64512"/>
    <x v="41"/>
    <n v="0"/>
    <x v="0"/>
    <x v="0"/>
    <x v="0"/>
    <x v="6"/>
    <x v="5"/>
    <x v="1"/>
    <n v="62"/>
    <x v="0"/>
    <x v="0"/>
  </r>
  <r>
    <n v="64513"/>
    <x v="41"/>
    <n v="0"/>
    <x v="0"/>
    <x v="0"/>
    <x v="1"/>
    <x v="6"/>
    <x v="5"/>
    <x v="1"/>
    <n v="62"/>
    <x v="13"/>
    <x v="0"/>
  </r>
  <r>
    <n v="64514"/>
    <x v="41"/>
    <n v="0"/>
    <x v="1"/>
    <x v="1"/>
    <x v="0"/>
    <x v="6"/>
    <x v="5"/>
    <x v="1"/>
    <n v="62"/>
    <x v="1"/>
    <x v="0"/>
  </r>
  <r>
    <n v="64515"/>
    <x v="41"/>
    <n v="0"/>
    <x v="1"/>
    <x v="1"/>
    <x v="1"/>
    <x v="6"/>
    <x v="5"/>
    <x v="1"/>
    <n v="62"/>
    <x v="2"/>
    <x v="0"/>
  </r>
  <r>
    <n v="64516"/>
    <x v="41"/>
    <n v="0"/>
    <x v="2"/>
    <x v="2"/>
    <x v="1"/>
    <x v="6"/>
    <x v="5"/>
    <x v="1"/>
    <n v="62"/>
    <x v="3"/>
    <x v="0"/>
  </r>
  <r>
    <n v="64517"/>
    <x v="41"/>
    <n v="0"/>
    <x v="3"/>
    <x v="3"/>
    <x v="1"/>
    <x v="6"/>
    <x v="5"/>
    <x v="1"/>
    <n v="62"/>
    <x v="4"/>
    <x v="0"/>
  </r>
  <r>
    <n v="64518"/>
    <x v="41"/>
    <n v="0"/>
    <x v="4"/>
    <x v="4"/>
    <x v="0"/>
    <x v="6"/>
    <x v="5"/>
    <x v="1"/>
    <n v="62"/>
    <x v="15"/>
    <x v="0"/>
  </r>
  <r>
    <n v="64519"/>
    <x v="41"/>
    <n v="0"/>
    <x v="4"/>
    <x v="4"/>
    <x v="1"/>
    <x v="6"/>
    <x v="5"/>
    <x v="1"/>
    <n v="62"/>
    <x v="5"/>
    <x v="0"/>
  </r>
  <r>
    <n v="64520"/>
    <x v="41"/>
    <n v="20000"/>
    <x v="5"/>
    <x v="5"/>
    <x v="2"/>
    <x v="6"/>
    <x v="5"/>
    <x v="1"/>
    <n v="62"/>
    <x v="6"/>
    <x v="0"/>
  </r>
  <r>
    <n v="64521"/>
    <x v="41"/>
    <n v="20000"/>
    <x v="6"/>
    <x v="6"/>
    <x v="2"/>
    <x v="6"/>
    <x v="5"/>
    <x v="1"/>
    <n v="62"/>
    <x v="7"/>
    <x v="0"/>
  </r>
  <r>
    <n v="64522"/>
    <x v="41"/>
    <n v="0"/>
    <x v="12"/>
    <x v="12"/>
    <x v="0"/>
    <x v="6"/>
    <x v="5"/>
    <x v="1"/>
    <n v="62"/>
    <x v="14"/>
    <x v="0"/>
  </r>
  <r>
    <n v="64523"/>
    <x v="41"/>
    <n v="0"/>
    <x v="7"/>
    <x v="7"/>
    <x v="0"/>
    <x v="6"/>
    <x v="5"/>
    <x v="1"/>
    <n v="62"/>
    <x v="8"/>
    <x v="0"/>
  </r>
  <r>
    <n v="64524"/>
    <x v="41"/>
    <n v="0"/>
    <x v="8"/>
    <x v="8"/>
    <x v="1"/>
    <x v="6"/>
    <x v="5"/>
    <x v="1"/>
    <n v="62"/>
    <x v="9"/>
    <x v="0"/>
  </r>
  <r>
    <n v="64525"/>
    <x v="41"/>
    <n v="0"/>
    <x v="11"/>
    <x v="11"/>
    <x v="1"/>
    <x v="6"/>
    <x v="5"/>
    <x v="1"/>
    <n v="62"/>
    <x v="12"/>
    <x v="0"/>
  </r>
  <r>
    <n v="64526"/>
    <x v="41"/>
    <n v="0"/>
    <x v="9"/>
    <x v="9"/>
    <x v="1"/>
    <x v="6"/>
    <x v="5"/>
    <x v="1"/>
    <n v="62"/>
    <x v="10"/>
    <x v="0"/>
  </r>
  <r>
    <n v="64527"/>
    <x v="41"/>
    <n v="0"/>
    <x v="10"/>
    <x v="10"/>
    <x v="1"/>
    <x v="6"/>
    <x v="5"/>
    <x v="1"/>
    <n v="62"/>
    <x v="11"/>
    <x v="0"/>
  </r>
  <r>
    <n v="64528"/>
    <x v="41"/>
    <n v="20000"/>
    <x v="5"/>
    <x v="5"/>
    <x v="3"/>
    <x v="6"/>
    <x v="5"/>
    <x v="1"/>
    <n v="62"/>
    <x v="17"/>
    <x v="0"/>
  </r>
  <r>
    <n v="64529"/>
    <x v="41"/>
    <n v="20000"/>
    <x v="6"/>
    <x v="6"/>
    <x v="3"/>
    <x v="6"/>
    <x v="5"/>
    <x v="1"/>
    <n v="62"/>
    <x v="16"/>
    <x v="0"/>
  </r>
  <r>
    <n v="64530"/>
    <x v="42"/>
    <n v="0"/>
    <x v="0"/>
    <x v="0"/>
    <x v="0"/>
    <x v="6"/>
    <x v="5"/>
    <x v="1"/>
    <n v="63"/>
    <x v="0"/>
    <x v="0"/>
  </r>
  <r>
    <n v="64531"/>
    <x v="42"/>
    <n v="0"/>
    <x v="0"/>
    <x v="0"/>
    <x v="1"/>
    <x v="6"/>
    <x v="5"/>
    <x v="1"/>
    <n v="63"/>
    <x v="13"/>
    <x v="0"/>
  </r>
  <r>
    <n v="64532"/>
    <x v="42"/>
    <n v="0"/>
    <x v="1"/>
    <x v="1"/>
    <x v="0"/>
    <x v="6"/>
    <x v="5"/>
    <x v="1"/>
    <n v="63"/>
    <x v="1"/>
    <x v="0"/>
  </r>
  <r>
    <n v="64533"/>
    <x v="42"/>
    <n v="0"/>
    <x v="1"/>
    <x v="1"/>
    <x v="1"/>
    <x v="6"/>
    <x v="5"/>
    <x v="1"/>
    <n v="63"/>
    <x v="2"/>
    <x v="0"/>
  </r>
  <r>
    <n v="64534"/>
    <x v="42"/>
    <n v="0"/>
    <x v="2"/>
    <x v="2"/>
    <x v="1"/>
    <x v="6"/>
    <x v="5"/>
    <x v="1"/>
    <n v="63"/>
    <x v="3"/>
    <x v="0"/>
  </r>
  <r>
    <n v="64535"/>
    <x v="42"/>
    <n v="0"/>
    <x v="3"/>
    <x v="3"/>
    <x v="1"/>
    <x v="6"/>
    <x v="5"/>
    <x v="1"/>
    <n v="63"/>
    <x v="4"/>
    <x v="0"/>
  </r>
  <r>
    <n v="64536"/>
    <x v="42"/>
    <n v="0"/>
    <x v="4"/>
    <x v="4"/>
    <x v="0"/>
    <x v="6"/>
    <x v="5"/>
    <x v="1"/>
    <n v="63"/>
    <x v="15"/>
    <x v="0"/>
  </r>
  <r>
    <n v="64537"/>
    <x v="42"/>
    <n v="0"/>
    <x v="4"/>
    <x v="4"/>
    <x v="1"/>
    <x v="6"/>
    <x v="5"/>
    <x v="1"/>
    <n v="63"/>
    <x v="5"/>
    <x v="0"/>
  </r>
  <r>
    <n v="64538"/>
    <x v="42"/>
    <n v="20000"/>
    <x v="5"/>
    <x v="5"/>
    <x v="2"/>
    <x v="6"/>
    <x v="5"/>
    <x v="1"/>
    <n v="63"/>
    <x v="6"/>
    <x v="0"/>
  </r>
  <r>
    <n v="64539"/>
    <x v="42"/>
    <n v="20000"/>
    <x v="6"/>
    <x v="6"/>
    <x v="2"/>
    <x v="6"/>
    <x v="5"/>
    <x v="1"/>
    <n v="63"/>
    <x v="7"/>
    <x v="0"/>
  </r>
  <r>
    <n v="64540"/>
    <x v="42"/>
    <n v="0"/>
    <x v="12"/>
    <x v="12"/>
    <x v="0"/>
    <x v="6"/>
    <x v="5"/>
    <x v="1"/>
    <n v="63"/>
    <x v="14"/>
    <x v="0"/>
  </r>
  <r>
    <n v="64541"/>
    <x v="42"/>
    <n v="0"/>
    <x v="7"/>
    <x v="7"/>
    <x v="0"/>
    <x v="6"/>
    <x v="5"/>
    <x v="1"/>
    <n v="63"/>
    <x v="8"/>
    <x v="0"/>
  </r>
  <r>
    <n v="64542"/>
    <x v="42"/>
    <n v="0"/>
    <x v="8"/>
    <x v="8"/>
    <x v="1"/>
    <x v="6"/>
    <x v="5"/>
    <x v="1"/>
    <n v="63"/>
    <x v="9"/>
    <x v="0"/>
  </r>
  <r>
    <n v="64543"/>
    <x v="42"/>
    <n v="0"/>
    <x v="11"/>
    <x v="11"/>
    <x v="1"/>
    <x v="6"/>
    <x v="5"/>
    <x v="1"/>
    <n v="63"/>
    <x v="12"/>
    <x v="0"/>
  </r>
  <r>
    <n v="64544"/>
    <x v="42"/>
    <n v="0"/>
    <x v="9"/>
    <x v="9"/>
    <x v="1"/>
    <x v="6"/>
    <x v="5"/>
    <x v="1"/>
    <n v="63"/>
    <x v="10"/>
    <x v="0"/>
  </r>
  <r>
    <n v="64545"/>
    <x v="42"/>
    <n v="0"/>
    <x v="10"/>
    <x v="10"/>
    <x v="1"/>
    <x v="6"/>
    <x v="5"/>
    <x v="1"/>
    <n v="63"/>
    <x v="11"/>
    <x v="0"/>
  </r>
  <r>
    <n v="64546"/>
    <x v="42"/>
    <n v="20000"/>
    <x v="5"/>
    <x v="5"/>
    <x v="3"/>
    <x v="6"/>
    <x v="5"/>
    <x v="1"/>
    <n v="63"/>
    <x v="17"/>
    <x v="0"/>
  </r>
  <r>
    <n v="64547"/>
    <x v="42"/>
    <n v="20000"/>
    <x v="6"/>
    <x v="6"/>
    <x v="3"/>
    <x v="6"/>
    <x v="5"/>
    <x v="1"/>
    <n v="63"/>
    <x v="16"/>
    <x v="0"/>
  </r>
  <r>
    <n v="64548"/>
    <x v="37"/>
    <n v="0"/>
    <x v="0"/>
    <x v="0"/>
    <x v="0"/>
    <x v="6"/>
    <x v="5"/>
    <x v="1"/>
    <n v="64"/>
    <x v="0"/>
    <x v="0"/>
  </r>
  <r>
    <n v="64549"/>
    <x v="37"/>
    <n v="0"/>
    <x v="0"/>
    <x v="0"/>
    <x v="1"/>
    <x v="6"/>
    <x v="5"/>
    <x v="1"/>
    <n v="64"/>
    <x v="13"/>
    <x v="0"/>
  </r>
  <r>
    <n v="64551"/>
    <x v="37"/>
    <n v="0"/>
    <x v="1"/>
    <x v="1"/>
    <x v="1"/>
    <x v="6"/>
    <x v="5"/>
    <x v="1"/>
    <n v="64"/>
    <x v="2"/>
    <x v="0"/>
  </r>
  <r>
    <n v="64552"/>
    <x v="37"/>
    <n v="0"/>
    <x v="2"/>
    <x v="2"/>
    <x v="1"/>
    <x v="6"/>
    <x v="5"/>
    <x v="1"/>
    <n v="64"/>
    <x v="3"/>
    <x v="0"/>
  </r>
  <r>
    <n v="64553"/>
    <x v="37"/>
    <n v="0"/>
    <x v="3"/>
    <x v="3"/>
    <x v="1"/>
    <x v="6"/>
    <x v="5"/>
    <x v="1"/>
    <n v="64"/>
    <x v="4"/>
    <x v="0"/>
  </r>
  <r>
    <n v="64554"/>
    <x v="37"/>
    <n v="0"/>
    <x v="4"/>
    <x v="4"/>
    <x v="0"/>
    <x v="6"/>
    <x v="5"/>
    <x v="1"/>
    <n v="64"/>
    <x v="15"/>
    <x v="0"/>
  </r>
  <r>
    <n v="64555"/>
    <x v="37"/>
    <n v="0"/>
    <x v="4"/>
    <x v="4"/>
    <x v="1"/>
    <x v="6"/>
    <x v="5"/>
    <x v="1"/>
    <n v="64"/>
    <x v="5"/>
    <x v="0"/>
  </r>
  <r>
    <n v="64556"/>
    <x v="37"/>
    <n v="20000"/>
    <x v="5"/>
    <x v="5"/>
    <x v="2"/>
    <x v="6"/>
    <x v="5"/>
    <x v="1"/>
    <n v="64"/>
    <x v="6"/>
    <x v="0"/>
  </r>
  <r>
    <n v="64557"/>
    <x v="37"/>
    <n v="20000"/>
    <x v="6"/>
    <x v="6"/>
    <x v="2"/>
    <x v="6"/>
    <x v="5"/>
    <x v="1"/>
    <n v="64"/>
    <x v="7"/>
    <x v="0"/>
  </r>
  <r>
    <n v="64558"/>
    <x v="37"/>
    <n v="0"/>
    <x v="12"/>
    <x v="12"/>
    <x v="0"/>
    <x v="6"/>
    <x v="5"/>
    <x v="1"/>
    <n v="64"/>
    <x v="14"/>
    <x v="0"/>
  </r>
  <r>
    <n v="64559"/>
    <x v="37"/>
    <n v="0"/>
    <x v="7"/>
    <x v="7"/>
    <x v="0"/>
    <x v="6"/>
    <x v="5"/>
    <x v="1"/>
    <n v="64"/>
    <x v="8"/>
    <x v="0"/>
  </r>
  <r>
    <n v="64560"/>
    <x v="37"/>
    <n v="0"/>
    <x v="8"/>
    <x v="8"/>
    <x v="1"/>
    <x v="6"/>
    <x v="5"/>
    <x v="1"/>
    <n v="64"/>
    <x v="9"/>
    <x v="0"/>
  </r>
  <r>
    <n v="64561"/>
    <x v="37"/>
    <n v="0"/>
    <x v="11"/>
    <x v="11"/>
    <x v="1"/>
    <x v="6"/>
    <x v="5"/>
    <x v="1"/>
    <n v="64"/>
    <x v="12"/>
    <x v="0"/>
  </r>
  <r>
    <n v="64562"/>
    <x v="37"/>
    <n v="0"/>
    <x v="9"/>
    <x v="9"/>
    <x v="1"/>
    <x v="6"/>
    <x v="5"/>
    <x v="1"/>
    <n v="64"/>
    <x v="10"/>
    <x v="0"/>
  </r>
  <r>
    <n v="64563"/>
    <x v="37"/>
    <n v="0"/>
    <x v="10"/>
    <x v="10"/>
    <x v="1"/>
    <x v="6"/>
    <x v="5"/>
    <x v="1"/>
    <n v="64"/>
    <x v="11"/>
    <x v="0"/>
  </r>
  <r>
    <n v="64564"/>
    <x v="37"/>
    <n v="20000"/>
    <x v="5"/>
    <x v="5"/>
    <x v="3"/>
    <x v="6"/>
    <x v="5"/>
    <x v="1"/>
    <n v="64"/>
    <x v="17"/>
    <x v="0"/>
  </r>
  <r>
    <n v="64565"/>
    <x v="37"/>
    <n v="20000"/>
    <x v="6"/>
    <x v="6"/>
    <x v="3"/>
    <x v="6"/>
    <x v="5"/>
    <x v="1"/>
    <n v="64"/>
    <x v="16"/>
    <x v="0"/>
  </r>
  <r>
    <n v="64566"/>
    <x v="43"/>
    <n v="0"/>
    <x v="0"/>
    <x v="0"/>
    <x v="0"/>
    <x v="6"/>
    <x v="5"/>
    <x v="1"/>
    <n v="65"/>
    <x v="0"/>
    <x v="0"/>
  </r>
  <r>
    <n v="64567"/>
    <x v="43"/>
    <n v="0"/>
    <x v="0"/>
    <x v="0"/>
    <x v="1"/>
    <x v="6"/>
    <x v="5"/>
    <x v="1"/>
    <n v="65"/>
    <x v="13"/>
    <x v="0"/>
  </r>
  <r>
    <n v="64568"/>
    <x v="43"/>
    <n v="0"/>
    <x v="1"/>
    <x v="1"/>
    <x v="0"/>
    <x v="6"/>
    <x v="5"/>
    <x v="1"/>
    <n v="65"/>
    <x v="1"/>
    <x v="0"/>
  </r>
  <r>
    <n v="64569"/>
    <x v="43"/>
    <n v="0"/>
    <x v="1"/>
    <x v="1"/>
    <x v="1"/>
    <x v="6"/>
    <x v="5"/>
    <x v="1"/>
    <n v="65"/>
    <x v="2"/>
    <x v="0"/>
  </r>
  <r>
    <n v="64570"/>
    <x v="43"/>
    <n v="0"/>
    <x v="2"/>
    <x v="2"/>
    <x v="1"/>
    <x v="6"/>
    <x v="5"/>
    <x v="1"/>
    <n v="65"/>
    <x v="3"/>
    <x v="0"/>
  </r>
  <r>
    <n v="64571"/>
    <x v="43"/>
    <n v="0"/>
    <x v="3"/>
    <x v="3"/>
    <x v="1"/>
    <x v="6"/>
    <x v="5"/>
    <x v="1"/>
    <n v="65"/>
    <x v="4"/>
    <x v="0"/>
  </r>
  <r>
    <n v="64572"/>
    <x v="43"/>
    <n v="0"/>
    <x v="4"/>
    <x v="4"/>
    <x v="0"/>
    <x v="6"/>
    <x v="5"/>
    <x v="1"/>
    <n v="65"/>
    <x v="15"/>
    <x v="0"/>
  </r>
  <r>
    <n v="64573"/>
    <x v="43"/>
    <n v="0"/>
    <x v="4"/>
    <x v="4"/>
    <x v="1"/>
    <x v="6"/>
    <x v="5"/>
    <x v="1"/>
    <n v="65"/>
    <x v="5"/>
    <x v="0"/>
  </r>
  <r>
    <n v="64574"/>
    <x v="43"/>
    <n v="20000"/>
    <x v="5"/>
    <x v="5"/>
    <x v="2"/>
    <x v="6"/>
    <x v="5"/>
    <x v="1"/>
    <n v="65"/>
    <x v="6"/>
    <x v="0"/>
  </r>
  <r>
    <n v="64575"/>
    <x v="43"/>
    <n v="20000"/>
    <x v="6"/>
    <x v="6"/>
    <x v="2"/>
    <x v="6"/>
    <x v="5"/>
    <x v="1"/>
    <n v="65"/>
    <x v="7"/>
    <x v="0"/>
  </r>
  <r>
    <n v="64576"/>
    <x v="43"/>
    <n v="0"/>
    <x v="12"/>
    <x v="12"/>
    <x v="0"/>
    <x v="6"/>
    <x v="5"/>
    <x v="1"/>
    <n v="65"/>
    <x v="14"/>
    <x v="0"/>
  </r>
  <r>
    <n v="64577"/>
    <x v="43"/>
    <n v="0"/>
    <x v="7"/>
    <x v="7"/>
    <x v="0"/>
    <x v="6"/>
    <x v="5"/>
    <x v="1"/>
    <n v="65"/>
    <x v="8"/>
    <x v="0"/>
  </r>
  <r>
    <n v="64578"/>
    <x v="43"/>
    <n v="0"/>
    <x v="8"/>
    <x v="8"/>
    <x v="1"/>
    <x v="6"/>
    <x v="5"/>
    <x v="1"/>
    <n v="65"/>
    <x v="9"/>
    <x v="0"/>
  </r>
  <r>
    <n v="64579"/>
    <x v="43"/>
    <n v="0"/>
    <x v="11"/>
    <x v="11"/>
    <x v="1"/>
    <x v="6"/>
    <x v="5"/>
    <x v="1"/>
    <n v="65"/>
    <x v="12"/>
    <x v="0"/>
  </r>
  <r>
    <n v="64580"/>
    <x v="43"/>
    <n v="0"/>
    <x v="9"/>
    <x v="9"/>
    <x v="1"/>
    <x v="6"/>
    <x v="5"/>
    <x v="1"/>
    <n v="65"/>
    <x v="10"/>
    <x v="0"/>
  </r>
  <r>
    <n v="64581"/>
    <x v="43"/>
    <n v="0"/>
    <x v="10"/>
    <x v="10"/>
    <x v="1"/>
    <x v="6"/>
    <x v="5"/>
    <x v="1"/>
    <n v="65"/>
    <x v="11"/>
    <x v="0"/>
  </r>
  <r>
    <n v="64582"/>
    <x v="43"/>
    <n v="20000"/>
    <x v="5"/>
    <x v="5"/>
    <x v="3"/>
    <x v="6"/>
    <x v="5"/>
    <x v="1"/>
    <n v="65"/>
    <x v="17"/>
    <x v="0"/>
  </r>
  <r>
    <n v="64583"/>
    <x v="43"/>
    <n v="20000"/>
    <x v="6"/>
    <x v="6"/>
    <x v="3"/>
    <x v="6"/>
    <x v="5"/>
    <x v="1"/>
    <n v="65"/>
    <x v="16"/>
    <x v="0"/>
  </r>
  <r>
    <n v="64584"/>
    <x v="44"/>
    <n v="0"/>
    <x v="0"/>
    <x v="0"/>
    <x v="0"/>
    <x v="10"/>
    <x v="5"/>
    <x v="1"/>
    <n v="66"/>
    <x v="0"/>
    <x v="0"/>
  </r>
  <r>
    <n v="64585"/>
    <x v="44"/>
    <n v="0"/>
    <x v="0"/>
    <x v="0"/>
    <x v="1"/>
    <x v="10"/>
    <x v="5"/>
    <x v="1"/>
    <n v="66"/>
    <x v="13"/>
    <x v="0"/>
  </r>
  <r>
    <n v="64586"/>
    <x v="44"/>
    <n v="0"/>
    <x v="1"/>
    <x v="1"/>
    <x v="0"/>
    <x v="10"/>
    <x v="5"/>
    <x v="1"/>
    <n v="66"/>
    <x v="1"/>
    <x v="0"/>
  </r>
  <r>
    <n v="64587"/>
    <x v="44"/>
    <n v="0"/>
    <x v="1"/>
    <x v="1"/>
    <x v="1"/>
    <x v="10"/>
    <x v="5"/>
    <x v="1"/>
    <n v="66"/>
    <x v="2"/>
    <x v="0"/>
  </r>
  <r>
    <n v="64588"/>
    <x v="44"/>
    <n v="0"/>
    <x v="2"/>
    <x v="2"/>
    <x v="1"/>
    <x v="10"/>
    <x v="5"/>
    <x v="1"/>
    <n v="66"/>
    <x v="3"/>
    <x v="0"/>
  </r>
  <r>
    <n v="64589"/>
    <x v="44"/>
    <n v="0"/>
    <x v="3"/>
    <x v="3"/>
    <x v="1"/>
    <x v="10"/>
    <x v="5"/>
    <x v="1"/>
    <n v="66"/>
    <x v="4"/>
    <x v="0"/>
  </r>
  <r>
    <n v="64590"/>
    <x v="44"/>
    <n v="0"/>
    <x v="4"/>
    <x v="4"/>
    <x v="0"/>
    <x v="10"/>
    <x v="5"/>
    <x v="1"/>
    <n v="66"/>
    <x v="15"/>
    <x v="0"/>
  </r>
  <r>
    <n v="64591"/>
    <x v="44"/>
    <n v="0"/>
    <x v="4"/>
    <x v="4"/>
    <x v="1"/>
    <x v="10"/>
    <x v="5"/>
    <x v="1"/>
    <n v="66"/>
    <x v="5"/>
    <x v="0"/>
  </r>
  <r>
    <n v="64592"/>
    <x v="44"/>
    <n v="20000"/>
    <x v="5"/>
    <x v="5"/>
    <x v="2"/>
    <x v="10"/>
    <x v="5"/>
    <x v="1"/>
    <n v="66"/>
    <x v="6"/>
    <x v="0"/>
  </r>
  <r>
    <n v="64593"/>
    <x v="44"/>
    <n v="20000"/>
    <x v="6"/>
    <x v="6"/>
    <x v="2"/>
    <x v="10"/>
    <x v="5"/>
    <x v="1"/>
    <n v="66"/>
    <x v="7"/>
    <x v="0"/>
  </r>
  <r>
    <n v="64594"/>
    <x v="44"/>
    <n v="0"/>
    <x v="12"/>
    <x v="12"/>
    <x v="0"/>
    <x v="10"/>
    <x v="5"/>
    <x v="1"/>
    <n v="66"/>
    <x v="14"/>
    <x v="0"/>
  </r>
  <r>
    <n v="64595"/>
    <x v="44"/>
    <n v="0"/>
    <x v="7"/>
    <x v="7"/>
    <x v="0"/>
    <x v="10"/>
    <x v="5"/>
    <x v="1"/>
    <n v="66"/>
    <x v="8"/>
    <x v="0"/>
  </r>
  <r>
    <n v="64596"/>
    <x v="44"/>
    <n v="0"/>
    <x v="8"/>
    <x v="8"/>
    <x v="1"/>
    <x v="10"/>
    <x v="5"/>
    <x v="1"/>
    <n v="66"/>
    <x v="9"/>
    <x v="0"/>
  </r>
  <r>
    <n v="64597"/>
    <x v="44"/>
    <n v="0"/>
    <x v="11"/>
    <x v="11"/>
    <x v="1"/>
    <x v="10"/>
    <x v="5"/>
    <x v="1"/>
    <n v="66"/>
    <x v="12"/>
    <x v="0"/>
  </r>
  <r>
    <n v="64598"/>
    <x v="44"/>
    <n v="0"/>
    <x v="9"/>
    <x v="9"/>
    <x v="1"/>
    <x v="10"/>
    <x v="5"/>
    <x v="1"/>
    <n v="66"/>
    <x v="10"/>
    <x v="0"/>
  </r>
  <r>
    <n v="64599"/>
    <x v="44"/>
    <n v="0"/>
    <x v="10"/>
    <x v="10"/>
    <x v="1"/>
    <x v="10"/>
    <x v="5"/>
    <x v="1"/>
    <n v="66"/>
    <x v="11"/>
    <x v="0"/>
  </r>
  <r>
    <n v="64600"/>
    <x v="44"/>
    <n v="20000"/>
    <x v="5"/>
    <x v="5"/>
    <x v="3"/>
    <x v="10"/>
    <x v="5"/>
    <x v="1"/>
    <n v="66"/>
    <x v="17"/>
    <x v="0"/>
  </r>
  <r>
    <n v="64601"/>
    <x v="44"/>
    <n v="20000"/>
    <x v="6"/>
    <x v="6"/>
    <x v="3"/>
    <x v="10"/>
    <x v="5"/>
    <x v="1"/>
    <n v="66"/>
    <x v="16"/>
    <x v="0"/>
  </r>
  <r>
    <n v="64602"/>
    <x v="45"/>
    <n v="0"/>
    <x v="0"/>
    <x v="0"/>
    <x v="0"/>
    <x v="10"/>
    <x v="5"/>
    <x v="1"/>
    <n v="67"/>
    <x v="0"/>
    <x v="0"/>
  </r>
  <r>
    <n v="64603"/>
    <x v="45"/>
    <n v="0"/>
    <x v="0"/>
    <x v="0"/>
    <x v="1"/>
    <x v="10"/>
    <x v="5"/>
    <x v="1"/>
    <n v="67"/>
    <x v="13"/>
    <x v="0"/>
  </r>
  <r>
    <n v="64604"/>
    <x v="45"/>
    <n v="0"/>
    <x v="1"/>
    <x v="1"/>
    <x v="0"/>
    <x v="10"/>
    <x v="5"/>
    <x v="1"/>
    <n v="67"/>
    <x v="1"/>
    <x v="0"/>
  </r>
  <r>
    <n v="64605"/>
    <x v="45"/>
    <n v="0"/>
    <x v="1"/>
    <x v="1"/>
    <x v="1"/>
    <x v="10"/>
    <x v="5"/>
    <x v="1"/>
    <n v="67"/>
    <x v="2"/>
    <x v="0"/>
  </r>
  <r>
    <n v="64606"/>
    <x v="45"/>
    <n v="0"/>
    <x v="2"/>
    <x v="2"/>
    <x v="1"/>
    <x v="10"/>
    <x v="5"/>
    <x v="1"/>
    <n v="67"/>
    <x v="3"/>
    <x v="0"/>
  </r>
  <r>
    <n v="64607"/>
    <x v="45"/>
    <n v="0"/>
    <x v="3"/>
    <x v="3"/>
    <x v="1"/>
    <x v="10"/>
    <x v="5"/>
    <x v="1"/>
    <n v="67"/>
    <x v="4"/>
    <x v="0"/>
  </r>
  <r>
    <n v="64608"/>
    <x v="45"/>
    <n v="0"/>
    <x v="4"/>
    <x v="4"/>
    <x v="0"/>
    <x v="10"/>
    <x v="5"/>
    <x v="1"/>
    <n v="67"/>
    <x v="15"/>
    <x v="0"/>
  </r>
  <r>
    <n v="64609"/>
    <x v="45"/>
    <n v="0"/>
    <x v="4"/>
    <x v="4"/>
    <x v="1"/>
    <x v="10"/>
    <x v="5"/>
    <x v="1"/>
    <n v="67"/>
    <x v="5"/>
    <x v="0"/>
  </r>
  <r>
    <n v="64610"/>
    <x v="45"/>
    <n v="20000"/>
    <x v="5"/>
    <x v="5"/>
    <x v="2"/>
    <x v="10"/>
    <x v="5"/>
    <x v="1"/>
    <n v="67"/>
    <x v="6"/>
    <x v="0"/>
  </r>
  <r>
    <n v="64611"/>
    <x v="45"/>
    <n v="20000"/>
    <x v="6"/>
    <x v="6"/>
    <x v="2"/>
    <x v="10"/>
    <x v="5"/>
    <x v="1"/>
    <n v="67"/>
    <x v="7"/>
    <x v="0"/>
  </r>
  <r>
    <n v="64612"/>
    <x v="45"/>
    <n v="0"/>
    <x v="12"/>
    <x v="12"/>
    <x v="0"/>
    <x v="10"/>
    <x v="5"/>
    <x v="1"/>
    <n v="67"/>
    <x v="14"/>
    <x v="0"/>
  </r>
  <r>
    <n v="64613"/>
    <x v="45"/>
    <n v="0"/>
    <x v="7"/>
    <x v="7"/>
    <x v="0"/>
    <x v="10"/>
    <x v="5"/>
    <x v="1"/>
    <n v="67"/>
    <x v="8"/>
    <x v="0"/>
  </r>
  <r>
    <n v="64614"/>
    <x v="45"/>
    <n v="0"/>
    <x v="8"/>
    <x v="8"/>
    <x v="1"/>
    <x v="10"/>
    <x v="5"/>
    <x v="1"/>
    <n v="67"/>
    <x v="9"/>
    <x v="0"/>
  </r>
  <r>
    <n v="64615"/>
    <x v="45"/>
    <n v="0"/>
    <x v="11"/>
    <x v="11"/>
    <x v="1"/>
    <x v="10"/>
    <x v="5"/>
    <x v="1"/>
    <n v="67"/>
    <x v="12"/>
    <x v="0"/>
  </r>
  <r>
    <n v="64616"/>
    <x v="45"/>
    <n v="0"/>
    <x v="9"/>
    <x v="9"/>
    <x v="1"/>
    <x v="10"/>
    <x v="5"/>
    <x v="1"/>
    <n v="67"/>
    <x v="10"/>
    <x v="0"/>
  </r>
  <r>
    <n v="64617"/>
    <x v="45"/>
    <n v="0"/>
    <x v="10"/>
    <x v="10"/>
    <x v="1"/>
    <x v="10"/>
    <x v="5"/>
    <x v="1"/>
    <n v="67"/>
    <x v="11"/>
    <x v="0"/>
  </r>
  <r>
    <n v="64618"/>
    <x v="45"/>
    <n v="20000"/>
    <x v="5"/>
    <x v="5"/>
    <x v="3"/>
    <x v="10"/>
    <x v="5"/>
    <x v="1"/>
    <n v="67"/>
    <x v="17"/>
    <x v="0"/>
  </r>
  <r>
    <n v="64619"/>
    <x v="45"/>
    <n v="20000"/>
    <x v="6"/>
    <x v="6"/>
    <x v="3"/>
    <x v="10"/>
    <x v="5"/>
    <x v="1"/>
    <n v="67"/>
    <x v="16"/>
    <x v="0"/>
  </r>
  <r>
    <n v="64620"/>
    <x v="46"/>
    <n v="0"/>
    <x v="0"/>
    <x v="0"/>
    <x v="0"/>
    <x v="10"/>
    <x v="5"/>
    <x v="1"/>
    <n v="68"/>
    <x v="0"/>
    <x v="0"/>
  </r>
  <r>
    <n v="64621"/>
    <x v="46"/>
    <n v="0"/>
    <x v="0"/>
    <x v="0"/>
    <x v="1"/>
    <x v="10"/>
    <x v="5"/>
    <x v="1"/>
    <n v="68"/>
    <x v="13"/>
    <x v="0"/>
  </r>
  <r>
    <n v="64622"/>
    <x v="46"/>
    <n v="0"/>
    <x v="1"/>
    <x v="1"/>
    <x v="0"/>
    <x v="10"/>
    <x v="5"/>
    <x v="1"/>
    <n v="68"/>
    <x v="1"/>
    <x v="0"/>
  </r>
  <r>
    <n v="64623"/>
    <x v="46"/>
    <n v="0"/>
    <x v="1"/>
    <x v="1"/>
    <x v="1"/>
    <x v="10"/>
    <x v="5"/>
    <x v="1"/>
    <n v="68"/>
    <x v="2"/>
    <x v="0"/>
  </r>
  <r>
    <n v="64624"/>
    <x v="46"/>
    <n v="0"/>
    <x v="2"/>
    <x v="2"/>
    <x v="1"/>
    <x v="10"/>
    <x v="5"/>
    <x v="1"/>
    <n v="68"/>
    <x v="3"/>
    <x v="0"/>
  </r>
  <r>
    <n v="64625"/>
    <x v="46"/>
    <n v="0"/>
    <x v="3"/>
    <x v="3"/>
    <x v="1"/>
    <x v="10"/>
    <x v="5"/>
    <x v="1"/>
    <n v="68"/>
    <x v="4"/>
    <x v="0"/>
  </r>
  <r>
    <n v="64626"/>
    <x v="46"/>
    <n v="0"/>
    <x v="4"/>
    <x v="4"/>
    <x v="0"/>
    <x v="10"/>
    <x v="5"/>
    <x v="1"/>
    <n v="68"/>
    <x v="15"/>
    <x v="0"/>
  </r>
  <r>
    <n v="64627"/>
    <x v="46"/>
    <n v="0"/>
    <x v="4"/>
    <x v="4"/>
    <x v="1"/>
    <x v="10"/>
    <x v="5"/>
    <x v="1"/>
    <n v="68"/>
    <x v="5"/>
    <x v="0"/>
  </r>
  <r>
    <n v="64628"/>
    <x v="46"/>
    <n v="20000"/>
    <x v="5"/>
    <x v="5"/>
    <x v="2"/>
    <x v="10"/>
    <x v="5"/>
    <x v="1"/>
    <n v="68"/>
    <x v="6"/>
    <x v="0"/>
  </r>
  <r>
    <n v="64629"/>
    <x v="46"/>
    <n v="20000"/>
    <x v="6"/>
    <x v="6"/>
    <x v="2"/>
    <x v="10"/>
    <x v="5"/>
    <x v="1"/>
    <n v="68"/>
    <x v="7"/>
    <x v="0"/>
  </r>
  <r>
    <n v="64630"/>
    <x v="46"/>
    <n v="0"/>
    <x v="12"/>
    <x v="12"/>
    <x v="0"/>
    <x v="10"/>
    <x v="5"/>
    <x v="1"/>
    <n v="68"/>
    <x v="14"/>
    <x v="0"/>
  </r>
  <r>
    <n v="64631"/>
    <x v="46"/>
    <n v="0"/>
    <x v="7"/>
    <x v="7"/>
    <x v="0"/>
    <x v="10"/>
    <x v="5"/>
    <x v="1"/>
    <n v="68"/>
    <x v="8"/>
    <x v="0"/>
  </r>
  <r>
    <n v="64632"/>
    <x v="46"/>
    <n v="0"/>
    <x v="8"/>
    <x v="8"/>
    <x v="1"/>
    <x v="10"/>
    <x v="5"/>
    <x v="1"/>
    <n v="68"/>
    <x v="9"/>
    <x v="0"/>
  </r>
  <r>
    <n v="64633"/>
    <x v="46"/>
    <n v="0"/>
    <x v="11"/>
    <x v="11"/>
    <x v="1"/>
    <x v="10"/>
    <x v="5"/>
    <x v="1"/>
    <n v="68"/>
    <x v="12"/>
    <x v="0"/>
  </r>
  <r>
    <n v="64634"/>
    <x v="46"/>
    <n v="0"/>
    <x v="9"/>
    <x v="9"/>
    <x v="1"/>
    <x v="10"/>
    <x v="5"/>
    <x v="1"/>
    <n v="68"/>
    <x v="10"/>
    <x v="0"/>
  </r>
  <r>
    <n v="64635"/>
    <x v="46"/>
    <n v="0"/>
    <x v="10"/>
    <x v="10"/>
    <x v="1"/>
    <x v="10"/>
    <x v="5"/>
    <x v="1"/>
    <n v="68"/>
    <x v="11"/>
    <x v="0"/>
  </r>
  <r>
    <n v="64636"/>
    <x v="46"/>
    <n v="20000"/>
    <x v="5"/>
    <x v="5"/>
    <x v="3"/>
    <x v="10"/>
    <x v="5"/>
    <x v="1"/>
    <n v="68"/>
    <x v="17"/>
    <x v="0"/>
  </r>
  <r>
    <n v="64637"/>
    <x v="46"/>
    <n v="20000"/>
    <x v="6"/>
    <x v="6"/>
    <x v="3"/>
    <x v="10"/>
    <x v="5"/>
    <x v="1"/>
    <n v="68"/>
    <x v="16"/>
    <x v="0"/>
  </r>
  <r>
    <n v="64638"/>
    <x v="47"/>
    <n v="0"/>
    <x v="0"/>
    <x v="0"/>
    <x v="0"/>
    <x v="10"/>
    <x v="5"/>
    <x v="1"/>
    <n v="69"/>
    <x v="0"/>
    <x v="0"/>
  </r>
  <r>
    <n v="64639"/>
    <x v="47"/>
    <n v="0"/>
    <x v="0"/>
    <x v="0"/>
    <x v="1"/>
    <x v="10"/>
    <x v="5"/>
    <x v="1"/>
    <n v="69"/>
    <x v="13"/>
    <x v="0"/>
  </r>
  <r>
    <n v="64640"/>
    <x v="47"/>
    <n v="0"/>
    <x v="1"/>
    <x v="1"/>
    <x v="0"/>
    <x v="10"/>
    <x v="5"/>
    <x v="1"/>
    <n v="69"/>
    <x v="1"/>
    <x v="0"/>
  </r>
  <r>
    <n v="64641"/>
    <x v="47"/>
    <n v="0"/>
    <x v="1"/>
    <x v="1"/>
    <x v="1"/>
    <x v="10"/>
    <x v="5"/>
    <x v="1"/>
    <n v="69"/>
    <x v="2"/>
    <x v="0"/>
  </r>
  <r>
    <n v="64642"/>
    <x v="47"/>
    <n v="0"/>
    <x v="2"/>
    <x v="2"/>
    <x v="1"/>
    <x v="10"/>
    <x v="5"/>
    <x v="1"/>
    <n v="69"/>
    <x v="3"/>
    <x v="0"/>
  </r>
  <r>
    <n v="64643"/>
    <x v="47"/>
    <n v="0"/>
    <x v="3"/>
    <x v="3"/>
    <x v="1"/>
    <x v="10"/>
    <x v="5"/>
    <x v="1"/>
    <n v="69"/>
    <x v="4"/>
    <x v="0"/>
  </r>
  <r>
    <n v="64644"/>
    <x v="47"/>
    <n v="0"/>
    <x v="4"/>
    <x v="4"/>
    <x v="0"/>
    <x v="10"/>
    <x v="5"/>
    <x v="1"/>
    <n v="69"/>
    <x v="15"/>
    <x v="0"/>
  </r>
  <r>
    <n v="64645"/>
    <x v="47"/>
    <n v="0"/>
    <x v="4"/>
    <x v="4"/>
    <x v="1"/>
    <x v="10"/>
    <x v="5"/>
    <x v="1"/>
    <n v="69"/>
    <x v="5"/>
    <x v="0"/>
  </r>
  <r>
    <n v="64646"/>
    <x v="47"/>
    <n v="20000"/>
    <x v="5"/>
    <x v="5"/>
    <x v="2"/>
    <x v="10"/>
    <x v="5"/>
    <x v="1"/>
    <n v="69"/>
    <x v="6"/>
    <x v="0"/>
  </r>
  <r>
    <n v="64647"/>
    <x v="47"/>
    <n v="20000"/>
    <x v="6"/>
    <x v="6"/>
    <x v="2"/>
    <x v="10"/>
    <x v="5"/>
    <x v="1"/>
    <n v="69"/>
    <x v="7"/>
    <x v="0"/>
  </r>
  <r>
    <n v="64648"/>
    <x v="47"/>
    <n v="0"/>
    <x v="12"/>
    <x v="12"/>
    <x v="0"/>
    <x v="10"/>
    <x v="5"/>
    <x v="1"/>
    <n v="69"/>
    <x v="14"/>
    <x v="0"/>
  </r>
  <r>
    <n v="64649"/>
    <x v="47"/>
    <n v="0"/>
    <x v="7"/>
    <x v="7"/>
    <x v="0"/>
    <x v="10"/>
    <x v="5"/>
    <x v="1"/>
    <n v="69"/>
    <x v="8"/>
    <x v="0"/>
  </r>
  <r>
    <n v="64650"/>
    <x v="47"/>
    <n v="0"/>
    <x v="8"/>
    <x v="8"/>
    <x v="1"/>
    <x v="10"/>
    <x v="5"/>
    <x v="1"/>
    <n v="69"/>
    <x v="9"/>
    <x v="0"/>
  </r>
  <r>
    <n v="64651"/>
    <x v="47"/>
    <n v="0"/>
    <x v="11"/>
    <x v="11"/>
    <x v="1"/>
    <x v="10"/>
    <x v="5"/>
    <x v="1"/>
    <n v="69"/>
    <x v="12"/>
    <x v="0"/>
  </r>
  <r>
    <n v="64652"/>
    <x v="47"/>
    <n v="0"/>
    <x v="9"/>
    <x v="9"/>
    <x v="1"/>
    <x v="10"/>
    <x v="5"/>
    <x v="1"/>
    <n v="69"/>
    <x v="10"/>
    <x v="0"/>
  </r>
  <r>
    <n v="64653"/>
    <x v="47"/>
    <n v="0"/>
    <x v="10"/>
    <x v="10"/>
    <x v="1"/>
    <x v="10"/>
    <x v="5"/>
    <x v="1"/>
    <n v="69"/>
    <x v="11"/>
    <x v="0"/>
  </r>
  <r>
    <n v="64654"/>
    <x v="47"/>
    <n v="20000"/>
    <x v="5"/>
    <x v="5"/>
    <x v="3"/>
    <x v="10"/>
    <x v="5"/>
    <x v="1"/>
    <n v="69"/>
    <x v="17"/>
    <x v="0"/>
  </r>
  <r>
    <n v="64655"/>
    <x v="47"/>
    <n v="20000"/>
    <x v="6"/>
    <x v="6"/>
    <x v="3"/>
    <x v="10"/>
    <x v="5"/>
    <x v="1"/>
    <n v="69"/>
    <x v="16"/>
    <x v="0"/>
  </r>
  <r>
    <n v="64656"/>
    <x v="48"/>
    <n v="0"/>
    <x v="0"/>
    <x v="0"/>
    <x v="0"/>
    <x v="11"/>
    <x v="5"/>
    <x v="1"/>
    <n v="70"/>
    <x v="0"/>
    <x v="0"/>
  </r>
  <r>
    <n v="64657"/>
    <x v="48"/>
    <n v="0"/>
    <x v="0"/>
    <x v="0"/>
    <x v="1"/>
    <x v="11"/>
    <x v="5"/>
    <x v="1"/>
    <n v="70"/>
    <x v="13"/>
    <x v="0"/>
  </r>
  <r>
    <n v="64658"/>
    <x v="48"/>
    <n v="0"/>
    <x v="1"/>
    <x v="1"/>
    <x v="0"/>
    <x v="11"/>
    <x v="5"/>
    <x v="1"/>
    <n v="70"/>
    <x v="1"/>
    <x v="0"/>
  </r>
  <r>
    <n v="64659"/>
    <x v="48"/>
    <n v="0"/>
    <x v="1"/>
    <x v="1"/>
    <x v="1"/>
    <x v="11"/>
    <x v="5"/>
    <x v="1"/>
    <n v="70"/>
    <x v="2"/>
    <x v="0"/>
  </r>
  <r>
    <n v="64660"/>
    <x v="48"/>
    <n v="0"/>
    <x v="2"/>
    <x v="2"/>
    <x v="1"/>
    <x v="11"/>
    <x v="5"/>
    <x v="1"/>
    <n v="70"/>
    <x v="3"/>
    <x v="0"/>
  </r>
  <r>
    <n v="64661"/>
    <x v="48"/>
    <n v="0"/>
    <x v="3"/>
    <x v="3"/>
    <x v="1"/>
    <x v="11"/>
    <x v="5"/>
    <x v="1"/>
    <n v="70"/>
    <x v="4"/>
    <x v="0"/>
  </r>
  <r>
    <n v="64662"/>
    <x v="48"/>
    <n v="0"/>
    <x v="4"/>
    <x v="4"/>
    <x v="0"/>
    <x v="11"/>
    <x v="5"/>
    <x v="1"/>
    <n v="70"/>
    <x v="15"/>
    <x v="0"/>
  </r>
  <r>
    <n v="64663"/>
    <x v="48"/>
    <n v="0"/>
    <x v="4"/>
    <x v="4"/>
    <x v="1"/>
    <x v="11"/>
    <x v="5"/>
    <x v="1"/>
    <n v="70"/>
    <x v="5"/>
    <x v="0"/>
  </r>
  <r>
    <n v="64664"/>
    <x v="48"/>
    <n v="20000"/>
    <x v="5"/>
    <x v="5"/>
    <x v="2"/>
    <x v="11"/>
    <x v="5"/>
    <x v="1"/>
    <n v="70"/>
    <x v="6"/>
    <x v="0"/>
  </r>
  <r>
    <n v="64665"/>
    <x v="48"/>
    <n v="20000"/>
    <x v="6"/>
    <x v="6"/>
    <x v="2"/>
    <x v="11"/>
    <x v="5"/>
    <x v="1"/>
    <n v="70"/>
    <x v="7"/>
    <x v="0"/>
  </r>
  <r>
    <n v="64666"/>
    <x v="48"/>
    <n v="0"/>
    <x v="12"/>
    <x v="12"/>
    <x v="0"/>
    <x v="11"/>
    <x v="5"/>
    <x v="1"/>
    <n v="70"/>
    <x v="14"/>
    <x v="0"/>
  </r>
  <r>
    <n v="64667"/>
    <x v="48"/>
    <n v="0"/>
    <x v="7"/>
    <x v="7"/>
    <x v="0"/>
    <x v="11"/>
    <x v="5"/>
    <x v="1"/>
    <n v="70"/>
    <x v="8"/>
    <x v="0"/>
  </r>
  <r>
    <n v="64668"/>
    <x v="48"/>
    <n v="0"/>
    <x v="8"/>
    <x v="8"/>
    <x v="1"/>
    <x v="11"/>
    <x v="5"/>
    <x v="1"/>
    <n v="70"/>
    <x v="9"/>
    <x v="0"/>
  </r>
  <r>
    <n v="64669"/>
    <x v="48"/>
    <n v="0"/>
    <x v="11"/>
    <x v="11"/>
    <x v="1"/>
    <x v="11"/>
    <x v="5"/>
    <x v="1"/>
    <n v="70"/>
    <x v="12"/>
    <x v="0"/>
  </r>
  <r>
    <n v="64670"/>
    <x v="48"/>
    <n v="0"/>
    <x v="9"/>
    <x v="9"/>
    <x v="1"/>
    <x v="11"/>
    <x v="5"/>
    <x v="1"/>
    <n v="70"/>
    <x v="10"/>
    <x v="0"/>
  </r>
  <r>
    <n v="64671"/>
    <x v="48"/>
    <n v="0"/>
    <x v="10"/>
    <x v="10"/>
    <x v="1"/>
    <x v="11"/>
    <x v="5"/>
    <x v="1"/>
    <n v="70"/>
    <x v="11"/>
    <x v="0"/>
  </r>
  <r>
    <n v="64672"/>
    <x v="48"/>
    <n v="20000"/>
    <x v="5"/>
    <x v="5"/>
    <x v="3"/>
    <x v="11"/>
    <x v="5"/>
    <x v="1"/>
    <n v="70"/>
    <x v="17"/>
    <x v="0"/>
  </r>
  <r>
    <n v="64673"/>
    <x v="48"/>
    <n v="20000"/>
    <x v="6"/>
    <x v="6"/>
    <x v="3"/>
    <x v="11"/>
    <x v="5"/>
    <x v="1"/>
    <n v="70"/>
    <x v="16"/>
    <x v="0"/>
  </r>
  <r>
    <n v="64025"/>
    <x v="12"/>
    <n v="20000"/>
    <x v="6"/>
    <x v="6"/>
    <x v="3"/>
    <x v="4"/>
    <x v="4"/>
    <x v="1"/>
    <n v="31"/>
    <x v="16"/>
    <x v="0"/>
  </r>
  <r>
    <n v="64042"/>
    <x v="13"/>
    <n v="29389"/>
    <x v="5"/>
    <x v="5"/>
    <x v="3"/>
    <x v="4"/>
    <x v="4"/>
    <x v="1"/>
    <n v="32"/>
    <x v="17"/>
    <x v="0"/>
  </r>
  <r>
    <n v="63826"/>
    <x v="3"/>
    <n v="28996"/>
    <x v="5"/>
    <x v="5"/>
    <x v="3"/>
    <x v="2"/>
    <x v="2"/>
    <x v="0"/>
    <n v="23"/>
    <x v="17"/>
    <x v="0"/>
  </r>
  <r>
    <n v="63772"/>
    <x v="0"/>
    <n v="44521"/>
    <x v="5"/>
    <x v="5"/>
    <x v="3"/>
    <x v="0"/>
    <x v="0"/>
    <x v="0"/>
    <n v="20"/>
    <x v="17"/>
    <x v="0"/>
  </r>
  <r>
    <n v="63988"/>
    <x v="10"/>
    <n v="19342"/>
    <x v="5"/>
    <x v="5"/>
    <x v="3"/>
    <x v="4"/>
    <x v="4"/>
    <x v="1"/>
    <n v="29"/>
    <x v="17"/>
    <x v="0"/>
  </r>
  <r>
    <n v="63880"/>
    <x v="3"/>
    <n v="25768"/>
    <x v="5"/>
    <x v="5"/>
    <x v="3"/>
    <x v="3"/>
    <x v="3"/>
    <x v="0"/>
    <n v="37"/>
    <x v="17"/>
    <x v="0"/>
  </r>
  <r>
    <n v="63934"/>
    <x v="7"/>
    <n v="17676"/>
    <x v="5"/>
    <x v="5"/>
    <x v="3"/>
    <x v="4"/>
    <x v="4"/>
    <x v="1"/>
    <n v="26"/>
    <x v="17"/>
    <x v="0"/>
  </r>
  <r>
    <n v="63844"/>
    <x v="4"/>
    <n v="23066"/>
    <x v="5"/>
    <x v="5"/>
    <x v="3"/>
    <x v="2"/>
    <x v="2"/>
    <x v="0"/>
    <n v="24"/>
    <x v="17"/>
    <x v="0"/>
  </r>
  <r>
    <n v="63898"/>
    <x v="4"/>
    <n v="27108"/>
    <x v="5"/>
    <x v="5"/>
    <x v="3"/>
    <x v="3"/>
    <x v="3"/>
    <x v="0"/>
    <n v="38"/>
    <x v="1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nxt_pv_table" cacheId="46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40"/>
        <item x="34"/>
        <item x="31"/>
        <item x="32"/>
        <item x="5"/>
        <item x="4"/>
        <item x="28"/>
        <item x="30"/>
        <item x="2"/>
        <item x="16"/>
        <item x="19"/>
        <item x="37"/>
        <item x="41"/>
        <item x="42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9"/>
        <item x="21"/>
        <item x="15"/>
        <item x="14"/>
        <item x="12"/>
        <item x="38"/>
        <item x="39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11"/>
        <item sd="0" x="5"/>
        <item sd="0" x="6"/>
        <item x="9"/>
        <item x="4"/>
        <item x="1"/>
        <item x="7"/>
        <item x="10"/>
        <item x="12"/>
        <item x="2"/>
        <item x="0"/>
        <item x="8"/>
        <item m="1" x="13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10"/>
        <item x="0"/>
        <item n="(blank)" m="1" x="13"/>
        <item x="5"/>
        <item x="6"/>
        <item x="4"/>
        <item x="12"/>
        <item x="7"/>
        <item x="1"/>
        <item x="8"/>
        <item x="11"/>
        <item x="9"/>
        <item x="2"/>
        <item m="1" x="1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2"/>
        <item x="0"/>
        <item x="1"/>
        <item x="3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7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72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1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70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69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68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67">
      <pivotArea dataOnly="0" labelOnly="1" fieldPosition="0">
        <references count="1">
          <reference field="5" count="0"/>
        </references>
      </pivotArea>
    </format>
    <format dxfId="166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65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6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63">
      <pivotArea dataOnly="0" labelOnly="1" fieldPosition="0">
        <references count="1">
          <reference field="5" count="0"/>
        </references>
      </pivotArea>
    </format>
    <format dxfId="162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61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6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59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58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57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56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55">
      <pivotArea dataOnly="0" labelOnly="1" fieldPosition="0">
        <references count="1">
          <reference field="6" count="0"/>
        </references>
      </pivotArea>
    </format>
    <format dxfId="154">
      <pivotArea dataOnly="0" labelOnly="1" fieldPosition="0">
        <references count="1">
          <reference field="8" count="1">
            <x v="0"/>
          </reference>
        </references>
      </pivotArea>
    </format>
    <format dxfId="153">
      <pivotArea dataOnly="0" labelOnly="1" fieldPosition="0">
        <references count="1">
          <reference field="8" count="1">
            <x v="2"/>
          </reference>
        </references>
      </pivotArea>
    </format>
    <format dxfId="152">
      <pivotArea outline="0" collapsedLevelsAreSubtotals="1" fieldPosition="0"/>
    </format>
    <format dxfId="151">
      <pivotArea outline="0" collapsedLevelsAreSubtotals="1" fieldPosition="0"/>
    </format>
    <format dxfId="150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49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48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47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46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45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44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43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4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41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40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39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38">
      <pivotArea collapsedLevelsAreSubtotals="1" fieldPosition="0">
        <references count="1">
          <reference field="8" count="1">
            <x v="2"/>
          </reference>
        </references>
      </pivotArea>
    </format>
    <format dxfId="137">
      <pivotArea dataOnly="0" labelOnly="1" fieldPosition="0">
        <references count="1">
          <reference field="8" count="1">
            <x v="2"/>
          </reference>
        </references>
      </pivotArea>
    </format>
    <format dxfId="136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35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34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33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32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31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30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29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28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27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26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25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24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23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22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21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20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19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18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17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16">
      <pivotArea outline="0" collapsedLevelsAreSubtotals="1" fieldPosition="0"/>
    </format>
    <format dxfId="115">
      <pivotArea dataOnly="0" labelOnly="1" fieldPosition="0">
        <references count="1">
          <reference field="8" count="0"/>
        </references>
      </pivotArea>
    </format>
    <format dxfId="114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113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9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07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6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4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3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2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01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00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9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97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95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type="origin" dataOnly="0" labelOnly="1" outline="0" fieldPosition="0"/>
    </format>
    <format dxfId="90">
      <pivotArea field="5" type="button" dataOnly="0" labelOnly="1" outline="0" axis="axisCol" fieldPosition="0"/>
    </format>
    <format dxfId="89">
      <pivotArea field="4" type="button" dataOnly="0" labelOnly="1" outline="0" axis="axisCol" fieldPosition="1"/>
    </format>
    <format dxfId="88">
      <pivotArea field="3" type="button" dataOnly="0" labelOnly="1" outline="0" axis="axisCol" fieldPosition="2"/>
    </format>
    <format dxfId="87">
      <pivotArea type="topRight" dataOnly="0" labelOnly="1" outline="0" fieldPosition="0"/>
    </format>
    <format dxfId="86">
      <pivotArea field="8" type="button" dataOnly="0" labelOnly="1" outline="0" axis="axisRow" fieldPosition="0"/>
    </format>
    <format dxfId="85">
      <pivotArea dataOnly="0" labelOnly="1" fieldPosition="0">
        <references count="1">
          <reference field="8" count="0"/>
        </references>
      </pivotArea>
    </format>
    <format dxfId="84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83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81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80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9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8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7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6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5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1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8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7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6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5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3">
      <pivotArea dataOnly="0" labelOnly="1" outline="0" fieldPosition="0">
        <references count="1">
          <reference field="5" count="0"/>
        </references>
      </pivotArea>
    </format>
    <format dxfId="62">
      <pivotArea dataOnly="0" labelOnly="1" outline="0" fieldPosition="0">
        <references count="1">
          <reference field="5" count="0" sumSubtotal="1"/>
        </references>
      </pivotArea>
    </format>
    <format dxfId="6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60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59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58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5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5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5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54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53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52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51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50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49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48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47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46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45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44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43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42">
      <pivotArea dataOnly="0" labelOnly="1" fieldPosition="0">
        <references count="1">
          <reference field="8" count="1">
            <x v="0"/>
          </reference>
        </references>
      </pivotArea>
    </format>
    <format dxfId="41">
      <pivotArea dataOnly="0" labelOnly="1" fieldPosition="0">
        <references count="1">
          <reference field="8" count="1">
            <x v="0"/>
          </reference>
        </references>
      </pivotArea>
    </format>
    <format dxfId="40">
      <pivotArea collapsedLevelsAreSubtotals="1" fieldPosition="0">
        <references count="1">
          <reference field="8" count="1">
            <x v="0"/>
          </reference>
        </references>
      </pivotArea>
    </format>
    <format dxfId="39">
      <pivotArea dataOnly="0" labelOnly="1" fieldPosition="0">
        <references count="1">
          <reference field="8" count="1">
            <x v="0"/>
          </reference>
        </references>
      </pivotArea>
    </format>
    <format dxfId="38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3" cacheId="4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A3:M36" firstHeaderRow="2" firstDataRow="2" firstDataCol="7"/>
  <pivotFields count="17"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9">
        <item h="1" x="0"/>
        <item h="1" x="1"/>
        <item h="1" x="2"/>
        <item h="1" x="3"/>
        <item x="4"/>
        <item x="5"/>
        <item x="6"/>
        <item x="7"/>
        <item h="1" x="8"/>
      </items>
    </pivotField>
    <pivotField axis="axisRow" compact="0" numFmtId="166" outline="0" subtotalTop="0" showAll="0" defaultSubtotal="0">
      <items count="1">
        <item x="0"/>
      </items>
    </pivotField>
    <pivotField axis="axisRow" compact="0" numFmtId="166" outline="0" subtotalTop="0" showAll="0" defaultSubtotal="0">
      <items count="1">
        <item x="0"/>
      </items>
    </pivotField>
    <pivotField axis="axisRow" compact="0" outline="0" subtotalTop="0" showAll="0" defaultSubtotal="0">
      <items count="1">
        <item x="0"/>
      </items>
    </pivotField>
    <pivotField axis="axisRow" compact="0" outline="0" subtotalTop="0" showAll="0" defaultSubtotal="0">
      <items count="1">
        <item x="0"/>
      </items>
    </pivotField>
    <pivotField compact="0" outline="0" subtotalTop="0" showAll="0" defaultSubtotal="0"/>
    <pivotField axis="axisRow" compact="0" outline="0" subtotalTop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outline="0" subtotalTop="0" showAll="0" defaultSubtotal="0">
      <items count="5">
        <item x="1"/>
        <item x="2"/>
        <item x="3"/>
        <item x="0"/>
        <item x="4"/>
      </items>
    </pivotField>
    <pivotField compact="0" outline="0" subtotalTop="0" showAll="0" defaultSubtotal="0"/>
    <pivotField compact="0" outline="0" subtotalTop="0" showAll="0" defaultSubtotal="0">
      <items count="1">
        <item x="0"/>
      </items>
    </pivotField>
    <pivotField compact="0" outline="0" subtotalTop="0" showAll="0" defaultSubtotal="0"/>
    <pivotField compact="0" numFmtId="166" outline="0" subtotalTop="0" showAll="0" defaultSubtotal="0"/>
    <pivotField compact="0" numFmtId="166" outline="0" subtotalTop="0" showAll="0" defaultSubtotal="0"/>
  </pivotFields>
  <rowFields count="7">
    <field x="4"/>
    <field x="11"/>
    <field x="10"/>
    <field x="5"/>
    <field x="6"/>
    <field x="7"/>
    <field x="8"/>
  </rowFields>
  <rowItems count="32">
    <i>
      <x v="4"/>
      <x/>
      <x v="1"/>
      <x/>
      <x/>
      <x/>
      <x/>
    </i>
    <i r="2">
      <x v="7"/>
      <x/>
      <x/>
      <x/>
      <x/>
    </i>
    <i r="1">
      <x v="1"/>
      <x v="2"/>
      <x/>
      <x/>
      <x/>
      <x/>
    </i>
    <i r="2">
      <x v="3"/>
      <x/>
      <x/>
      <x/>
      <x/>
    </i>
    <i r="1">
      <x v="2"/>
      <x v="4"/>
      <x/>
      <x/>
      <x/>
      <x/>
    </i>
    <i r="1">
      <x v="3"/>
      <x/>
      <x/>
      <x/>
      <x/>
      <x/>
    </i>
    <i r="1">
      <x v="4"/>
      <x v="5"/>
      <x/>
      <x/>
      <x/>
      <x/>
    </i>
    <i r="2">
      <x v="6"/>
      <x/>
      <x/>
      <x/>
      <x/>
    </i>
    <i>
      <x v="5"/>
      <x/>
      <x v="1"/>
      <x/>
      <x/>
      <x/>
      <x/>
    </i>
    <i r="2">
      <x v="7"/>
      <x/>
      <x/>
      <x/>
      <x/>
    </i>
    <i r="1">
      <x v="1"/>
      <x v="2"/>
      <x/>
      <x/>
      <x/>
      <x/>
    </i>
    <i r="2">
      <x v="3"/>
      <x/>
      <x/>
      <x/>
      <x/>
    </i>
    <i r="1">
      <x v="2"/>
      <x v="4"/>
      <x/>
      <x/>
      <x/>
      <x/>
    </i>
    <i r="1">
      <x v="3"/>
      <x/>
      <x/>
      <x/>
      <x/>
      <x/>
    </i>
    <i r="1">
      <x v="4"/>
      <x v="5"/>
      <x/>
      <x/>
      <x/>
      <x/>
    </i>
    <i r="2">
      <x v="6"/>
      <x/>
      <x/>
      <x/>
      <x/>
    </i>
    <i>
      <x v="6"/>
      <x/>
      <x v="1"/>
      <x/>
      <x/>
      <x/>
      <x/>
    </i>
    <i r="2">
      <x v="7"/>
      <x/>
      <x/>
      <x/>
      <x/>
    </i>
    <i r="1">
      <x v="1"/>
      <x v="2"/>
      <x/>
      <x/>
      <x/>
      <x/>
    </i>
    <i r="2">
      <x v="3"/>
      <x/>
      <x/>
      <x/>
      <x/>
    </i>
    <i r="1">
      <x v="2"/>
      <x v="4"/>
      <x/>
      <x/>
      <x/>
      <x/>
    </i>
    <i r="1">
      <x v="3"/>
      <x/>
      <x/>
      <x/>
      <x/>
      <x/>
    </i>
    <i r="1">
      <x v="4"/>
      <x v="5"/>
      <x/>
      <x/>
      <x/>
      <x/>
    </i>
    <i r="2">
      <x v="6"/>
      <x/>
      <x/>
      <x/>
      <x/>
    </i>
    <i>
      <x v="7"/>
      <x/>
      <x v="1"/>
      <x/>
      <x/>
      <x/>
      <x/>
    </i>
    <i r="2">
      <x v="7"/>
      <x/>
      <x/>
      <x/>
      <x/>
    </i>
    <i r="1">
      <x v="1"/>
      <x v="2"/>
      <x/>
      <x/>
      <x/>
      <x/>
    </i>
    <i r="2">
      <x v="3"/>
      <x/>
      <x/>
      <x/>
      <x/>
    </i>
    <i r="1">
      <x v="2"/>
      <x v="4"/>
      <x/>
      <x/>
      <x/>
      <x/>
    </i>
    <i r="1">
      <x v="3"/>
      <x/>
      <x/>
      <x/>
      <x/>
      <x/>
    </i>
    <i r="1">
      <x v="4"/>
      <x v="5"/>
      <x/>
      <x/>
      <x/>
      <x/>
    </i>
    <i r="2">
      <x v="6"/>
      <x/>
      <x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postgres loaixd2" connectionId="8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  <queryTableField id="9" name="r_type" tableColumnId="9"/>
      <queryTableField id="10" name="ut2" tableColumnId="10"/>
      <queryTableField id="11" name="petroleum_type_id" tableColumnId="11"/>
    </queryTableFields>
  </queryTableRefresh>
</queryTable>
</file>

<file path=xl/queryTables/queryTable2.xml><?xml version="1.0" encoding="utf-8"?>
<queryTable xmlns="http://schemas.openxmlformats.org/spreadsheetml/2006/main" name="postgres assignment_type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name="postgres petroleum_type" connectionId="12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r_type" tableColumnId="4"/>
    </queryTableFields>
  </queryTableRefresh>
</queryTable>
</file>

<file path=xl/queryTables/queryTable4.xml><?xml version="1.0" encoding="utf-8"?>
<queryTable xmlns="http://schemas.openxmlformats.org/spreadsheetml/2006/main" name="postgres nguon_nx" connectionId="9" autoFormatId="16" applyNumberFormats="0" applyBorderFormats="0" applyFontFormats="0" applyPatternFormats="0" applyAlignmentFormats="0" applyWidthHeightFormats="0">
  <queryTableRefresh nextId="7">
    <queryTableFields count="3">
      <queryTableField id="1" name="id" tableColumnId="1"/>
      <queryTableField id="2" name="ten" tableColumnId="2"/>
      <queryTableField id="4" name="createtime" tableColumnId="4"/>
    </queryTableFields>
  </queryTableRefresh>
</queryTable>
</file>

<file path=xl/queryTables/queryTable5.xml><?xml version="1.0" encoding="utf-8"?>
<queryTable xmlns="http://schemas.openxmlformats.org/spreadsheetml/2006/main" name="postgres tructhuoc" connectionId="14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timestamp" tableColumnId="4"/>
    </queryTableFields>
  </queryTableRefresh>
</queryTable>
</file>

<file path=xl/queryTables/queryTable6.xml><?xml version="1.0" encoding="utf-8"?>
<queryTable xmlns="http://schemas.openxmlformats.org/spreadsheetml/2006/main" name="postgres ledgers" connectionId="7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quarter_id" tableColumnId="2"/>
      <queryTableField id="3" name="bill_id" tableColumnId="3"/>
      <queryTableField id="4" name="amount" tableColumnId="4"/>
      <queryTableField id="5" name="from_date" tableColumnId="5"/>
      <queryTableField id="6" name="end_date" tableColumnId="6"/>
      <queryTableField id="7" name="status" tableColumnId="7"/>
      <queryTableField id="8" name="bill_type_id" tableColumnId="8"/>
    </queryTableFields>
  </queryTableRefresh>
</queryTable>
</file>

<file path=xl/queryTables/queryTable7.xml><?xml version="1.0" encoding="utf-8"?>
<queryTable xmlns="http://schemas.openxmlformats.org/spreadsheetml/2006/main" name="postgres ledger_details_1" connectionId="6" autoFormatId="16" applyNumberFormats="0" applyBorderFormats="0" applyFontFormats="0" applyPatternFormats="0" applyAlignmentFormats="0" applyWidthHeightFormats="0">
  <queryTableRefresh nextId="49">
    <queryTableFields count="48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phuongtien_id" tableColumnId="36"/>
      <queryTableField id="37" name="phuongtien_nvu_id" tableColumnId="37"/>
      <queryTableField id="38" name="so_phut" tableColumnId="38"/>
      <queryTableField id="39" name="tonkhotong_id" tableColumnId="39"/>
      <queryTableField id="40" name="tonkho_id" tableColumnId="40"/>
      <queryTableField id="41" name="ledger_id" tableColumnId="41"/>
      <queryTableField id="42" name="import_unit_id" tableColumnId="42"/>
      <queryTableField id="43" name="export_unit_id" tableColumnId="43"/>
      <queryTableField id="44" name="loaigiobay" tableColumnId="44"/>
      <queryTableField id="45" name="dur" tableColumnId="45"/>
      <queryTableField id="46" name="dur_text" tableColumnId="46"/>
      <queryTableField id="47" name="thuc_xuat_tk" tableColumnId="47"/>
      <queryTableField id="48" name="dur_text_tk" tableColumnId="48"/>
    </queryTableFields>
  </queryTableRefresh>
</queryTable>
</file>

<file path=xl/queryTables/queryTable8.xml><?xml version="1.0" encoding="utf-8"?>
<queryTable xmlns="http://schemas.openxmlformats.org/spreadsheetml/2006/main" name="postgres team" connectionId="1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team_code" tableColumnId="3"/>
    </queryTableFields>
  </queryTableRefresh>
</queryTable>
</file>

<file path=xl/queryTables/queryTable9.xml><?xml version="1.0" encoding="utf-8"?>
<queryTable xmlns="http://schemas.openxmlformats.org/spreadsheetml/2006/main" name="postgres nhiemvu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ten_nv" tableColumnId="2"/>
      <queryTableField id="3" name="chitiet" tableColumnId="3"/>
      <queryTableField id="4" name="hm_trenkhong" tableColumnId="4"/>
      <queryTableField id="5" name="hm_matdat" tableColumnId="5"/>
      <queryTableField id="6" name="createtime" tableColumnId="6"/>
      <queryTableField id="7" name="status" tableColumnId="7"/>
      <queryTableField id="8" name="team_id" tableColumnId="8"/>
      <queryTableField id="9" name="assignment_type_id" tableColumnId="9"/>
    </queryTableFields>
  </queryTableRefresh>
</queryTable>
</file>

<file path=xl/queryTables/queryTable10.xml><?xml version="1.0" encoding="utf-8"?>
<queryTable xmlns="http://schemas.openxmlformats.org/spreadsheetml/2006/main" name="postgres chitiet_nhiemvu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hiemvu_id" tableColumnId="2"/>
      <queryTableField id="3" name="nhiemvu" tableColumnId="3"/>
    </queryTableFields>
  </queryTableRefresh>
</queryTable>
</file>

<file path=xl/queryTables/queryTable11.xml><?xml version="1.0" encoding="utf-8"?>
<queryTable xmlns="http://schemas.openxmlformats.org/spreadsheetml/2006/main" name="postgres hanmuc_nhiemvu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quarter_id" tableColumnId="2"/>
      <queryTableField id="3" name="unit_id" tableColumnId="3"/>
      <queryTableField id="4" name="nhiemvu_id" tableColumnId="4"/>
      <queryTableField id="5" name="ct_tk" tableColumnId="5"/>
      <queryTableField id="6" name="ct_md" tableColumnId="6"/>
      <queryTableField id="7" name="sum_ct" tableColumnId="7"/>
      <queryTableField id="8" name="consumpt" tableColumnId="8"/>
    </queryTableFields>
  </queryTableRefresh>
</queryTable>
</file>

<file path=xl/queryTables/queryTable12.xml><?xml version="1.0" encoding="utf-8"?>
<queryTable xmlns="http://schemas.openxmlformats.org/spreadsheetml/2006/main" name="ExternalData_2" connectionId="15" autoFormatId="0" applyNumberFormats="0" applyBorderFormats="0" applyFontFormats="1" applyPatternFormats="1" applyAlignmentFormats="0" applyWidthHeightFormats="0">
  <queryTableRefresh preserveSortFilterLayout="0" nextId="18">
    <queryTableFields count="17">
      <queryTableField id="1" name="id" tableColumnId="149"/>
      <queryTableField id="2" name="quarter_id" tableColumnId="150"/>
      <queryTableField id="3" name="unit_id" tableColumnId="151"/>
      <queryTableField id="4" name="nhiemvu_id" tableColumnId="152"/>
      <queryTableField id="5" name="ct_tk" tableColumnId="153"/>
      <queryTableField id="6" name="ct_md" tableColumnId="154"/>
      <queryTableField id="7" name="sum_ct" tableColumnId="155"/>
      <queryTableField id="8" name="consumpt" tableColumnId="156"/>
      <queryTableField id="9" name="NewColumn.ten" tableColumnId="157"/>
      <queryTableField id="10" name="NewColumn.nhiemvu_id" tableColumnId="158"/>
      <queryTableField id="11" name="NewColumn.nhiemvu" tableColumnId="159"/>
      <queryTableField id="12" name="NewColumn.ten_nv" tableColumnId="160"/>
      <queryTableField id="13" name="NewColumn.team_id" tableColumnId="161"/>
      <queryTableField id="14" name="NewColumn.name" tableColumnId="162"/>
      <queryTableField id="15" name="NewColumn.team_code" tableColumnId="163"/>
      <queryTableField id="16" name="ct_tk - Copy" tableColumnId="164"/>
      <queryTableField id="17" name="Custom" tableColumnId="165"/>
    </queryTableFields>
  </queryTableRefresh>
</queryTable>
</file>

<file path=xl/queryTables/queryTable13.xml><?xml version="1.0" encoding="utf-8"?>
<queryTable xmlns="http://schemas.openxmlformats.org/spreadsheetml/2006/main" name="ExternalData_3" connectionId="17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NewColumn.1.ten" tableColumnId="19"/>
      <queryTableField id="2" name="NewColumn.ten_nv" tableColumnId="20"/>
      <queryTableField id="3" name="NewColumn.nhiemvu" tableColumnId="21"/>
      <queryTableField id="4" name="thucxuat_md" tableColumnId="22"/>
      <queryTableField id="5" name="thucxuat_tk" tableColumnId="23"/>
      <queryTableField id="6" name="sum_thucxuat" tableColumnId="24"/>
      <queryTableField id="7" name="dur_md" tableColumnId="25"/>
      <queryTableField id="8" name="dur_tk" tableColumnId="26"/>
      <queryTableField id="9" name="sum_dur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2" name="tb_loaixd2" displayName="tb_loaixd2" ref="B2:L53" tableType="queryTable" totalsRowShown="0">
  <autoFilter ref="B2:L53"/>
  <tableColumns count="11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175"/>
    <tableColumn id="7" uniqueName="7" name="ut" queryTableFieldId="7"/>
    <tableColumn id="8" uniqueName="8" name="type" queryTableFieldId="8"/>
    <tableColumn id="9" uniqueName="9" name="r_type" queryTableFieldId="9"/>
    <tableColumn id="10" uniqueName="10" name="ut2" queryTableFieldId="10"/>
    <tableColumn id="11" uniqueName="11" name="petroleum_type_id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postgres_assignment_type" displayName="Table_postgres_assignment_type" ref="P8:Q10" tableType="queryTable" totalsRowShown="0">
  <autoFilter ref="P8:Q10"/>
  <tableColumns count="2">
    <tableColumn id="1" uniqueName="1" name="id" queryTableFieldId="1"/>
    <tableColumn id="2" uniqueName="2" name="name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4" name="Table_postgres_petroleum_type" displayName="Table_postgres_petroleum_type" ref="S8:V21" tableType="queryTable" totalsRowShown="0">
  <autoFilter ref="S8:V21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r_type" queryTableField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_nguon_nx" displayName="tb_nguon_nx" ref="A1:C37" tableType="queryTable" totalsRowShown="0">
  <autoFilter ref="A1:C37"/>
  <tableColumns count="3">
    <tableColumn id="1" uniqueName="1" name="id" queryTableFieldId="1"/>
    <tableColumn id="2" uniqueName="2" name="ten" queryTableFieldId="2"/>
    <tableColumn id="4" uniqueName="4" name="createtime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Table_postgres_tructhuoc" displayName="Table_postgres_tructhuoc" ref="F4:I18" tableType="queryTable" totalsRowShown="0">
  <autoFilter ref="F4:I18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timestamp" queryTableFieldId="4" dataDxfId="17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5" name="Table_postgres_ledgers" displayName="Table_postgres_ledgers" ref="BB3:BI25" tableType="queryTable" totalsRowShown="0">
  <autoFilter ref="BB3:BI25"/>
  <tableColumns count="8">
    <tableColumn id="1" uniqueName="1" name="id" queryTableFieldId="1"/>
    <tableColumn id="2" uniqueName="2" name="quarter_id" queryTableFieldId="2"/>
    <tableColumn id="3" uniqueName="3" name="bill_id" queryTableFieldId="3"/>
    <tableColumn id="4" uniqueName="4" name="amount" queryTableFieldId="4"/>
    <tableColumn id="5" uniqueName="5" name="from_date" queryTableFieldId="5" dataDxfId="29"/>
    <tableColumn id="6" uniqueName="6" name="end_date" queryTableFieldId="6" dataDxfId="28"/>
    <tableColumn id="7" uniqueName="7" name="status" queryTableFieldId="7"/>
    <tableColumn id="8" uniqueName="8" name="bill_type_id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ledger_detail" displayName="ledger_detail" ref="B3:AW58" tableType="queryTable" totalsRowCount="1">
  <autoFilter ref="B3:AW57"/>
  <tableColumns count="48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34" totalsRowDxfId="35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phuongtien_id" queryTableFieldId="36"/>
    <tableColumn id="37" uniqueName="37" name="phuongtien_nvu_id" queryTableFieldId="37"/>
    <tableColumn id="38" uniqueName="38" name="so_phut" queryTableFieldId="38"/>
    <tableColumn id="39" uniqueName="39" name="tonkhotong_id" queryTableFieldId="39"/>
    <tableColumn id="40" uniqueName="40" name="tonkho_id" queryTableFieldId="40"/>
    <tableColumn id="41" uniqueName="41" name="ledger_id" queryTableFieldId="41"/>
    <tableColumn id="42" uniqueName="42" name="import_unit_id" queryTableFieldId="42"/>
    <tableColumn id="43" uniqueName="43" name="export_unit_id" queryTableFieldId="43"/>
    <tableColumn id="44" uniqueName="44" name="loaigiobay" queryTableFieldId="44"/>
    <tableColumn id="45" uniqueName="45" name="dur" queryTableFieldId="45" dataDxfId="33" totalsRowDxfId="36"/>
    <tableColumn id="46" uniqueName="46" name="dur_text" queryTableFieldId="46" dataDxfId="31"/>
    <tableColumn id="47" uniqueName="47" name="thuc_xuat_tk" queryTableFieldId="47" dataDxfId="32"/>
    <tableColumn id="48" uniqueName="48" name="dur_text_tk" queryTableFieldId="48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eam_tb" displayName="team_tb" ref="D11:F16" tableType="queryTable" totalsRowShown="0">
  <autoFilter ref="D11:F16"/>
  <tableColumns count="3">
    <tableColumn id="1" uniqueName="1" name="id" queryTableFieldId="1"/>
    <tableColumn id="2" uniqueName="2" name="name" queryTableFieldId="2"/>
    <tableColumn id="3" uniqueName="3" name="team_cod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nv_tb" displayName="nv_tb" ref="I11:Q52" tableType="queryTable" totalsRowShown="0">
  <autoFilter ref="I11:Q52"/>
  <tableColumns count="9">
    <tableColumn id="1" uniqueName="1" name="id" queryTableFieldId="1"/>
    <tableColumn id="2" uniqueName="2" name="ten_nv" queryTableFieldId="2"/>
    <tableColumn id="3" uniqueName="3" name="chitiet" queryTableFieldId="3"/>
    <tableColumn id="4" uniqueName="4" name="hm_trenkhong" queryTableFieldId="4"/>
    <tableColumn id="5" uniqueName="5" name="hm_matdat" queryTableFieldId="5"/>
    <tableColumn id="6" uniqueName="6" name="createtime" queryTableFieldId="6"/>
    <tableColumn id="7" uniqueName="7" name="status" queryTableFieldId="7"/>
    <tableColumn id="8" uniqueName="8" name="team_id" queryTableFieldId="8"/>
    <tableColumn id="9" uniqueName="9" name="assignment_type_id" queryTableField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ctnv_tb" displayName="ctnv_tb" ref="S11:U60" tableType="queryTable" totalsRowShown="0">
  <autoFilter ref="S11:U60"/>
  <tableColumns count="3">
    <tableColumn id="1" uniqueName="1" name="id" queryTableFieldId="1"/>
    <tableColumn id="2" uniqueName="2" name="nhiemvu_id" queryTableFieldId="2"/>
    <tableColumn id="3" uniqueName="3" name="nhiemvu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hanmuc_nhiemvu" displayName="hanmuc_nhiemvu" ref="X11:AE101" tableType="queryTable" totalsRowShown="0">
  <autoFilter ref="X11:AE101"/>
  <tableColumns count="8">
    <tableColumn id="1" uniqueName="1" name="id" queryTableFieldId="1"/>
    <tableColumn id="2" uniqueName="2" name="quarter_id" queryTableFieldId="2"/>
    <tableColumn id="3" uniqueName="3" name="unit_id" queryTableFieldId="3"/>
    <tableColumn id="4" uniqueName="4" name="nhiemvu_id" queryTableFieldId="4"/>
    <tableColumn id="5" uniqueName="5" name="ct_tk" queryTableFieldId="5"/>
    <tableColumn id="6" uniqueName="6" name="ct_md" queryTableFieldId="6"/>
    <tableColumn id="7" uniqueName="7" name="sum_ct" queryTableFieldId="7"/>
    <tableColumn id="8" uniqueName="8" name="consumpt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hanmuc_nhiemvu_2" displayName="hanmuc_nhiemvu_2" ref="M2:AC92" tableType="queryTable" totalsRowShown="0" headerRowDxfId="37">
  <autoFilter ref="M2:AC92"/>
  <sortState ref="M43:AC82">
    <sortCondition ref="X2:X92"/>
  </sortState>
  <tableColumns count="17">
    <tableColumn id="149" uniqueName="149" name="id" queryTableFieldId="1" dataDxfId="27"/>
    <tableColumn id="150" uniqueName="150" name="quarter_id" queryTableFieldId="2" dataDxfId="26"/>
    <tableColumn id="151" uniqueName="151" name="unit_id" queryTableFieldId="3" dataDxfId="25"/>
    <tableColumn id="152" uniqueName="152" name="nhiemvu_id" queryTableFieldId="4" dataDxfId="24"/>
    <tableColumn id="153" uniqueName="153" name="ct_tk" queryTableFieldId="5" dataDxfId="23"/>
    <tableColumn id="154" uniqueName="154" name="ct_md" queryTableFieldId="6" dataDxfId="22"/>
    <tableColumn id="155" uniqueName="155" name="sum_ct" queryTableFieldId="7" dataDxfId="21"/>
    <tableColumn id="156" uniqueName="156" name="consumpt" queryTableFieldId="8" dataDxfId="20"/>
    <tableColumn id="157" uniqueName="157" name="NewColumn.ten" queryTableFieldId="9" dataDxfId="19"/>
    <tableColumn id="158" uniqueName="158" name="NewColumn.nhiemvu_id" queryTableFieldId="10" dataDxfId="18"/>
    <tableColumn id="159" uniqueName="159" name="NewColumn.nhiemvu" queryTableFieldId="11" dataDxfId="17"/>
    <tableColumn id="160" uniqueName="160" name="NewColumn.ten_nv" queryTableFieldId="12" dataDxfId="16"/>
    <tableColumn id="161" uniqueName="161" name="NewColumn.team_id" queryTableFieldId="13" dataDxfId="15"/>
    <tableColumn id="162" uniqueName="162" name="NewColumn.name" queryTableFieldId="14" dataDxfId="14"/>
    <tableColumn id="163" uniqueName="163" name="NewColumn.team_code" queryTableFieldId="15" dataDxfId="13"/>
    <tableColumn id="164" uniqueName="164" name="ct_tk - Copy" queryTableFieldId="16" dataDxfId="12"/>
    <tableColumn id="165" uniqueName="165" name="Custom" queryTableFieldId="17" dataDxfId="1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22" name="ledger_detail__3" displayName="ledger_detail__3" ref="B2:J10" tableType="queryTable" totalsRowShown="0" headerRowDxfId="9" dataDxfId="10">
  <autoFilter ref="B2:J10"/>
  <tableColumns count="9">
    <tableColumn id="19" uniqueName="19" name="NewColumn.1.ten" queryTableFieldId="1" dataDxfId="8"/>
    <tableColumn id="20" uniqueName="20" name="NewColumn.ten_nv" queryTableFieldId="2" dataDxfId="7"/>
    <tableColumn id="21" uniqueName="21" name="NewColumn.nhiemvu" queryTableFieldId="3" dataDxfId="6"/>
    <tableColumn id="22" uniqueName="22" name="thucxuat_md" queryTableFieldId="4" dataDxfId="5"/>
    <tableColumn id="23" uniqueName="23" name="thucxuat_tk" queryTableFieldId="5" dataDxfId="4"/>
    <tableColumn id="24" uniqueName="24" name="sum_thucxuat" queryTableFieldId="6" dataDxfId="3"/>
    <tableColumn id="25" uniqueName="25" name="dur_md" queryTableFieldId="7" dataDxfId="2"/>
    <tableColumn id="26" uniqueName="26" name="dur_tk" queryTableFieldId="8" dataDxfId="0"/>
    <tableColumn id="27" uniqueName="27" name="sum_dur" queryTableFieldId="9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AB227"/>
  <sheetViews>
    <sheetView showGridLines="0" workbookViewId="0">
      <selection activeCell="C45" sqref="C45"/>
    </sheetView>
  </sheetViews>
  <sheetFormatPr defaultRowHeight="15" x14ac:dyDescent="0.25"/>
  <cols>
    <col min="2" max="2" width="8.28515625" style="51" customWidth="1"/>
    <col min="3" max="3" width="23.140625" customWidth="1"/>
    <col min="4" max="6" width="11.42578125" style="53" customWidth="1"/>
    <col min="7" max="7" width="11.42578125" style="77" customWidth="1"/>
    <col min="8" max="10" width="11.42578125" style="53" customWidth="1"/>
    <col min="11" max="13" width="11.42578125" style="50" customWidth="1"/>
    <col min="14" max="23" width="11.28515625" customWidth="1"/>
    <col min="24" max="26" width="10.140625" customWidth="1"/>
    <col min="27" max="28" width="8.85546875" customWidth="1"/>
    <col min="29" max="30" width="15.7109375" customWidth="1"/>
  </cols>
  <sheetData>
    <row r="3" spans="1:28" ht="37.5" customHeight="1" x14ac:dyDescent="0.25">
      <c r="B3" s="91" t="s">
        <v>334</v>
      </c>
      <c r="C3" s="91"/>
      <c r="D3" s="91"/>
      <c r="E3" s="91"/>
      <c r="F3" s="91"/>
      <c r="G3" s="91"/>
      <c r="I3" s="91" t="s">
        <v>335</v>
      </c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Z3" s="92" t="s">
        <v>336</v>
      </c>
      <c r="AA3" s="93"/>
      <c r="AB3" s="93"/>
    </row>
    <row r="5" spans="1:28" ht="15.75" thickBot="1" x14ac:dyDescent="0.3"/>
    <row r="6" spans="1:28" ht="30" customHeight="1" thickTop="1" x14ac:dyDescent="0.25">
      <c r="A6" s="44"/>
      <c r="B6" s="99" t="s">
        <v>205</v>
      </c>
      <c r="C6" s="94" t="s">
        <v>317</v>
      </c>
      <c r="D6" s="101" t="s">
        <v>318</v>
      </c>
      <c r="E6" s="101"/>
      <c r="F6" s="101"/>
      <c r="G6" s="101"/>
      <c r="H6" s="101" t="s">
        <v>320</v>
      </c>
      <c r="I6" s="101"/>
      <c r="J6" s="101"/>
      <c r="K6" s="94" t="s">
        <v>322</v>
      </c>
      <c r="L6" s="94"/>
      <c r="M6" s="94"/>
      <c r="N6" s="94" t="s">
        <v>323</v>
      </c>
      <c r="O6" s="94" t="s">
        <v>324</v>
      </c>
      <c r="P6" s="94" t="s">
        <v>325</v>
      </c>
      <c r="Q6" s="94"/>
      <c r="R6" s="94"/>
      <c r="S6" s="94"/>
      <c r="T6" s="94" t="s">
        <v>330</v>
      </c>
      <c r="U6" s="94"/>
      <c r="V6" s="94" t="s">
        <v>329</v>
      </c>
      <c r="W6" s="94"/>
      <c r="X6" s="94" t="s">
        <v>331</v>
      </c>
      <c r="Y6" s="94"/>
      <c r="Z6" s="94"/>
      <c r="AA6" s="94"/>
      <c r="AB6" s="96" t="s">
        <v>333</v>
      </c>
    </row>
    <row r="7" spans="1:28" x14ac:dyDescent="0.25">
      <c r="A7" s="44"/>
      <c r="B7" s="100"/>
      <c r="C7" s="95"/>
      <c r="D7" s="98" t="s">
        <v>319</v>
      </c>
      <c r="E7" s="98"/>
      <c r="F7" s="98"/>
      <c r="G7" s="102" t="s">
        <v>193</v>
      </c>
      <c r="H7" s="98" t="s">
        <v>321</v>
      </c>
      <c r="I7" s="98" t="s">
        <v>290</v>
      </c>
      <c r="J7" s="98" t="s">
        <v>305</v>
      </c>
      <c r="K7" s="95" t="s">
        <v>321</v>
      </c>
      <c r="L7" s="95" t="s">
        <v>290</v>
      </c>
      <c r="M7" s="95" t="s">
        <v>305</v>
      </c>
      <c r="N7" s="95"/>
      <c r="O7" s="95"/>
      <c r="P7" s="95" t="s">
        <v>319</v>
      </c>
      <c r="Q7" s="95"/>
      <c r="R7" s="95" t="s">
        <v>326</v>
      </c>
      <c r="S7" s="95"/>
      <c r="T7" s="95" t="s">
        <v>293</v>
      </c>
      <c r="U7" s="95" t="s">
        <v>291</v>
      </c>
      <c r="V7" s="95" t="s">
        <v>293</v>
      </c>
      <c r="W7" s="95" t="s">
        <v>291</v>
      </c>
      <c r="X7" s="95" t="s">
        <v>292</v>
      </c>
      <c r="Y7" s="95"/>
      <c r="Z7" s="95" t="s">
        <v>290</v>
      </c>
      <c r="AA7" s="95"/>
      <c r="AB7" s="97"/>
    </row>
    <row r="8" spans="1:28" x14ac:dyDescent="0.25">
      <c r="A8" s="44"/>
      <c r="B8" s="100"/>
      <c r="C8" s="95"/>
      <c r="D8" s="73" t="s">
        <v>293</v>
      </c>
      <c r="E8" s="73" t="s">
        <v>291</v>
      </c>
      <c r="F8" s="73" t="s">
        <v>305</v>
      </c>
      <c r="G8" s="102"/>
      <c r="H8" s="98"/>
      <c r="I8" s="98"/>
      <c r="J8" s="98"/>
      <c r="K8" s="95"/>
      <c r="L8" s="95"/>
      <c r="M8" s="95"/>
      <c r="N8" s="95"/>
      <c r="O8" s="95"/>
      <c r="P8" s="48" t="s">
        <v>327</v>
      </c>
      <c r="Q8" s="48" t="s">
        <v>328</v>
      </c>
      <c r="R8" s="48" t="s">
        <v>327</v>
      </c>
      <c r="S8" s="48" t="s">
        <v>328</v>
      </c>
      <c r="T8" s="95"/>
      <c r="U8" s="95"/>
      <c r="V8" s="95"/>
      <c r="W8" s="95"/>
      <c r="X8" s="48" t="s">
        <v>328</v>
      </c>
      <c r="Y8" s="48" t="s">
        <v>332</v>
      </c>
      <c r="Z8" s="48" t="s">
        <v>328</v>
      </c>
      <c r="AA8" s="48" t="s">
        <v>332</v>
      </c>
      <c r="AB8" s="97"/>
    </row>
    <row r="9" spans="1:28" s="15" customFormat="1" ht="14.25" x14ac:dyDescent="0.2">
      <c r="B9" s="58" t="s">
        <v>337</v>
      </c>
      <c r="C9" s="59" t="s">
        <v>338</v>
      </c>
      <c r="D9" s="74"/>
      <c r="E9" s="74"/>
      <c r="F9" s="74"/>
      <c r="G9" s="78"/>
      <c r="H9" s="74"/>
      <c r="I9" s="74"/>
      <c r="J9" s="74"/>
      <c r="K9" s="18"/>
      <c r="L9" s="18"/>
      <c r="M9" s="18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60"/>
    </row>
    <row r="10" spans="1:28" x14ac:dyDescent="0.25">
      <c r="B10" s="69" t="s">
        <v>350</v>
      </c>
      <c r="C10" s="62" t="s">
        <v>339</v>
      </c>
      <c r="D10" s="75"/>
      <c r="E10" s="75"/>
      <c r="F10" s="75"/>
      <c r="G10" s="79"/>
      <c r="H10" s="75"/>
      <c r="I10" s="75"/>
      <c r="J10" s="75"/>
      <c r="K10" s="16"/>
      <c r="L10" s="16"/>
      <c r="M10" s="16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3"/>
    </row>
    <row r="11" spans="1:28" x14ac:dyDescent="0.25">
      <c r="B11" s="69" t="s">
        <v>350</v>
      </c>
      <c r="C11" s="62" t="s">
        <v>342</v>
      </c>
      <c r="D11" s="75"/>
      <c r="E11" s="75"/>
      <c r="F11" s="75"/>
      <c r="G11" s="79"/>
      <c r="H11" s="75"/>
      <c r="I11" s="75"/>
      <c r="J11" s="75"/>
      <c r="K11" s="16"/>
      <c r="L11" s="16"/>
      <c r="M11" s="16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3"/>
    </row>
    <row r="12" spans="1:28" x14ac:dyDescent="0.25">
      <c r="B12" s="69" t="s">
        <v>350</v>
      </c>
      <c r="C12" s="62" t="s">
        <v>289</v>
      </c>
      <c r="D12" s="75"/>
      <c r="E12" s="75"/>
      <c r="F12" s="75"/>
      <c r="G12" s="79"/>
      <c r="H12" s="75"/>
      <c r="I12" s="75"/>
      <c r="J12" s="75"/>
      <c r="K12" s="16"/>
      <c r="L12" s="16"/>
      <c r="M12" s="16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3"/>
    </row>
    <row r="13" spans="1:28" x14ac:dyDescent="0.25">
      <c r="B13" s="69" t="s">
        <v>350</v>
      </c>
      <c r="C13" s="62" t="s">
        <v>141</v>
      </c>
      <c r="D13" s="75"/>
      <c r="E13" s="75"/>
      <c r="F13" s="75"/>
      <c r="G13" s="79"/>
      <c r="H13" s="75"/>
      <c r="I13" s="75"/>
      <c r="J13" s="75"/>
      <c r="K13" s="16"/>
      <c r="L13" s="16"/>
      <c r="M13" s="16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3"/>
    </row>
    <row r="14" spans="1:28" s="15" customFormat="1" ht="14.25" x14ac:dyDescent="0.2">
      <c r="B14" s="58" t="s">
        <v>343</v>
      </c>
      <c r="C14" s="64" t="s">
        <v>344</v>
      </c>
      <c r="D14" s="74"/>
      <c r="E14" s="74"/>
      <c r="F14" s="74"/>
      <c r="G14" s="78"/>
      <c r="H14" s="74"/>
      <c r="I14" s="74"/>
      <c r="J14" s="74"/>
      <c r="K14" s="18"/>
      <c r="L14" s="18"/>
      <c r="M14" s="18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60"/>
    </row>
    <row r="15" spans="1:28" x14ac:dyDescent="0.25">
      <c r="B15" s="61">
        <v>1</v>
      </c>
      <c r="C15" s="62" t="s">
        <v>269</v>
      </c>
      <c r="D15" s="75"/>
      <c r="E15" s="75"/>
      <c r="F15" s="75"/>
      <c r="G15" s="79"/>
      <c r="H15" s="75"/>
      <c r="I15" s="75"/>
      <c r="J15" s="75"/>
      <c r="K15" s="16"/>
      <c r="L15" s="16"/>
      <c r="M15" s="16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3"/>
    </row>
    <row r="16" spans="1:28" x14ac:dyDescent="0.25">
      <c r="B16" s="69" t="s">
        <v>350</v>
      </c>
      <c r="C16" s="62" t="s">
        <v>270</v>
      </c>
      <c r="D16" s="75"/>
      <c r="E16" s="75"/>
      <c r="F16" s="75"/>
      <c r="G16" s="79"/>
      <c r="H16" s="75"/>
      <c r="I16" s="75"/>
      <c r="J16" s="75"/>
      <c r="K16" s="16"/>
      <c r="L16" s="16"/>
      <c r="M16" s="16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3"/>
    </row>
    <row r="17" spans="2:28" x14ac:dyDescent="0.25">
      <c r="B17" s="61">
        <v>2</v>
      </c>
      <c r="C17" s="62" t="s">
        <v>271</v>
      </c>
      <c r="D17" s="75"/>
      <c r="E17" s="75"/>
      <c r="F17" s="75"/>
      <c r="G17" s="79"/>
      <c r="H17" s="75"/>
      <c r="I17" s="75"/>
      <c r="J17" s="75"/>
      <c r="K17" s="16"/>
      <c r="L17" s="16"/>
      <c r="M17" s="16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3"/>
    </row>
    <row r="18" spans="2:28" x14ac:dyDescent="0.25">
      <c r="B18" s="69" t="s">
        <v>350</v>
      </c>
      <c r="C18" s="62" t="s">
        <v>271</v>
      </c>
      <c r="D18" s="75"/>
      <c r="E18" s="75"/>
      <c r="F18" s="75"/>
      <c r="G18" s="79"/>
      <c r="H18" s="75"/>
      <c r="I18" s="75"/>
      <c r="J18" s="75"/>
      <c r="K18" s="16"/>
      <c r="L18" s="16"/>
      <c r="M18" s="16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3"/>
    </row>
    <row r="19" spans="2:28" x14ac:dyDescent="0.25">
      <c r="B19" s="61">
        <v>3</v>
      </c>
      <c r="C19" s="62" t="s">
        <v>272</v>
      </c>
      <c r="D19" s="75"/>
      <c r="E19" s="75"/>
      <c r="F19" s="75"/>
      <c r="G19" s="79"/>
      <c r="H19" s="75"/>
      <c r="I19" s="75"/>
      <c r="J19" s="75"/>
      <c r="K19" s="16"/>
      <c r="L19" s="16"/>
      <c r="M19" s="16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3"/>
    </row>
    <row r="20" spans="2:28" x14ac:dyDescent="0.25">
      <c r="B20" s="61">
        <v>4</v>
      </c>
      <c r="C20" s="62" t="s">
        <v>273</v>
      </c>
      <c r="D20" s="75"/>
      <c r="E20" s="75"/>
      <c r="F20" s="75"/>
      <c r="G20" s="79"/>
      <c r="H20" s="75"/>
      <c r="I20" s="75"/>
      <c r="J20" s="75"/>
      <c r="K20" s="16"/>
      <c r="L20" s="16"/>
      <c r="M20" s="16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3"/>
    </row>
    <row r="21" spans="2:28" x14ac:dyDescent="0.25">
      <c r="B21" s="61">
        <v>5</v>
      </c>
      <c r="C21" s="62" t="s">
        <v>274</v>
      </c>
      <c r="D21" s="75"/>
      <c r="E21" s="75"/>
      <c r="F21" s="75"/>
      <c r="G21" s="79"/>
      <c r="H21" s="75"/>
      <c r="I21" s="75"/>
      <c r="J21" s="75"/>
      <c r="K21" s="16"/>
      <c r="L21" s="16"/>
      <c r="M21" s="16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3"/>
    </row>
    <row r="22" spans="2:28" x14ac:dyDescent="0.25">
      <c r="B22" s="61">
        <v>6</v>
      </c>
      <c r="C22" s="62" t="s">
        <v>345</v>
      </c>
      <c r="D22" s="75"/>
      <c r="E22" s="75"/>
      <c r="F22" s="75"/>
      <c r="G22" s="79"/>
      <c r="H22" s="75"/>
      <c r="I22" s="75"/>
      <c r="J22" s="75"/>
      <c r="K22" s="16"/>
      <c r="L22" s="16"/>
      <c r="M22" s="16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3"/>
    </row>
    <row r="23" spans="2:28" x14ac:dyDescent="0.25">
      <c r="B23" s="69" t="s">
        <v>350</v>
      </c>
      <c r="C23" s="62" t="s">
        <v>276</v>
      </c>
      <c r="D23" s="75"/>
      <c r="E23" s="75"/>
      <c r="F23" s="75"/>
      <c r="G23" s="79"/>
      <c r="H23" s="75"/>
      <c r="I23" s="75"/>
      <c r="J23" s="75"/>
      <c r="K23" s="16"/>
      <c r="L23" s="16"/>
      <c r="M23" s="16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3"/>
    </row>
    <row r="24" spans="2:28" x14ac:dyDescent="0.25">
      <c r="B24" s="69" t="s">
        <v>350</v>
      </c>
      <c r="C24" s="62" t="s">
        <v>346</v>
      </c>
      <c r="D24" s="75"/>
      <c r="E24" s="75"/>
      <c r="F24" s="75"/>
      <c r="G24" s="79"/>
      <c r="H24" s="75"/>
      <c r="I24" s="75"/>
      <c r="J24" s="75"/>
      <c r="K24" s="16"/>
      <c r="L24" s="16"/>
      <c r="M24" s="16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3"/>
    </row>
    <row r="25" spans="2:28" x14ac:dyDescent="0.25">
      <c r="B25" s="61">
        <v>7</v>
      </c>
      <c r="C25" s="62" t="s">
        <v>136</v>
      </c>
      <c r="D25" s="75"/>
      <c r="E25" s="75"/>
      <c r="F25" s="75"/>
      <c r="G25" s="79"/>
      <c r="H25" s="75"/>
      <c r="I25" s="75"/>
      <c r="J25" s="75"/>
      <c r="K25" s="16"/>
      <c r="L25" s="16"/>
      <c r="M25" s="16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/>
    </row>
    <row r="26" spans="2:28" x14ac:dyDescent="0.25">
      <c r="B26" s="58" t="s">
        <v>347</v>
      </c>
      <c r="C26" s="59" t="s">
        <v>348</v>
      </c>
      <c r="D26" s="75"/>
      <c r="E26" s="75"/>
      <c r="F26" s="75"/>
      <c r="G26" s="79"/>
      <c r="H26" s="75"/>
      <c r="I26" s="75"/>
      <c r="J26" s="75"/>
      <c r="K26" s="16"/>
      <c r="L26" s="16"/>
      <c r="M26" s="16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3"/>
    </row>
    <row r="27" spans="2:28" s="15" customFormat="1" ht="14.25" hidden="1" x14ac:dyDescent="0.2">
      <c r="B27" s="58"/>
      <c r="C27" s="57" t="e">
        <f>#REF!</f>
        <v>#REF!</v>
      </c>
      <c r="D27" s="76"/>
      <c r="E27" s="76"/>
      <c r="F27" s="76"/>
      <c r="G27" s="80"/>
      <c r="H27" s="76"/>
      <c r="I27" s="76"/>
      <c r="J27" s="76"/>
      <c r="K27" s="65"/>
      <c r="L27" s="65"/>
      <c r="M27" s="65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60"/>
    </row>
    <row r="28" spans="2:28" hidden="1" x14ac:dyDescent="0.25">
      <c r="B28" s="61"/>
      <c r="C28" s="54" t="e">
        <f>#REF!</f>
        <v>#REF!</v>
      </c>
      <c r="D28" s="73"/>
      <c r="E28" s="72"/>
      <c r="F28" s="72"/>
      <c r="G28" s="81"/>
      <c r="H28" s="73"/>
      <c r="I28" s="72"/>
      <c r="J28" s="72"/>
      <c r="K28" s="49"/>
      <c r="L28" s="55"/>
      <c r="M28" s="55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3"/>
    </row>
    <row r="29" spans="2:28" hidden="1" x14ac:dyDescent="0.25">
      <c r="B29" s="61"/>
      <c r="C29" s="54" t="e">
        <f>#REF!</f>
        <v>#REF!</v>
      </c>
      <c r="D29" s="73"/>
      <c r="E29" s="73"/>
      <c r="F29" s="73"/>
      <c r="G29" s="81"/>
      <c r="H29" s="73"/>
      <c r="I29" s="73"/>
      <c r="J29" s="73"/>
      <c r="K29" s="49"/>
      <c r="L29" s="49"/>
      <c r="M29" s="49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3"/>
    </row>
    <row r="30" spans="2:28" hidden="1" x14ac:dyDescent="0.25">
      <c r="B30" s="61"/>
      <c r="C30" s="54" t="e">
        <f>#REF!</f>
        <v>#REF!</v>
      </c>
      <c r="D30" s="72"/>
      <c r="E30" s="72"/>
      <c r="F30" s="72"/>
      <c r="G30" s="82"/>
      <c r="H30" s="72"/>
      <c r="I30" s="72"/>
      <c r="J30" s="72"/>
      <c r="K30" s="56"/>
      <c r="L30" s="56"/>
      <c r="M30" s="56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3"/>
    </row>
    <row r="31" spans="2:28" hidden="1" x14ac:dyDescent="0.25">
      <c r="B31" s="61"/>
      <c r="C31" s="54" t="e">
        <f>#REF!</f>
        <v>#REF!</v>
      </c>
      <c r="D31" s="72"/>
      <c r="E31" s="72"/>
      <c r="F31" s="72"/>
      <c r="G31" s="82"/>
      <c r="H31" s="72"/>
      <c r="I31" s="72"/>
      <c r="J31" s="72"/>
      <c r="K31" s="56"/>
      <c r="L31" s="56"/>
      <c r="M31" s="56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3"/>
    </row>
    <row r="32" spans="2:28" hidden="1" x14ac:dyDescent="0.25">
      <c r="B32" s="61"/>
      <c r="C32" s="54" t="e">
        <f>#REF!</f>
        <v>#REF!</v>
      </c>
      <c r="D32" s="72"/>
      <c r="E32" s="72"/>
      <c r="F32" s="72"/>
      <c r="G32" s="82"/>
      <c r="H32" s="72"/>
      <c r="I32" s="72"/>
      <c r="J32" s="72"/>
      <c r="K32" s="56"/>
      <c r="L32" s="56"/>
      <c r="M32" s="56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3"/>
    </row>
    <row r="33" spans="2:28" hidden="1" x14ac:dyDescent="0.25">
      <c r="B33" s="61"/>
      <c r="C33" s="54" t="e">
        <f>#REF!</f>
        <v>#REF!</v>
      </c>
      <c r="D33" s="72"/>
      <c r="E33" s="72"/>
      <c r="F33" s="72"/>
      <c r="G33" s="82"/>
      <c r="H33" s="72"/>
      <c r="I33" s="72"/>
      <c r="J33" s="72"/>
      <c r="K33" s="56"/>
      <c r="L33" s="56"/>
      <c r="M33" s="56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3"/>
    </row>
    <row r="34" spans="2:28" hidden="1" x14ac:dyDescent="0.25">
      <c r="B34" s="61"/>
      <c r="C34" s="54" t="e">
        <f>#REF!</f>
        <v>#REF!</v>
      </c>
      <c r="D34" s="72"/>
      <c r="E34" s="72"/>
      <c r="F34" s="72"/>
      <c r="G34" s="82"/>
      <c r="H34" s="72"/>
      <c r="I34" s="72"/>
      <c r="J34" s="72"/>
      <c r="K34" s="56"/>
      <c r="L34" s="56"/>
      <c r="M34" s="56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3"/>
    </row>
    <row r="35" spans="2:28" hidden="1" x14ac:dyDescent="0.25">
      <c r="B35" s="61"/>
      <c r="C35" s="54" t="e">
        <f>#REF!</f>
        <v>#REF!</v>
      </c>
      <c r="D35" s="72"/>
      <c r="E35" s="72"/>
      <c r="F35" s="72"/>
      <c r="G35" s="82"/>
      <c r="H35" s="72"/>
      <c r="I35" s="72"/>
      <c r="J35" s="72"/>
      <c r="K35" s="56"/>
      <c r="L35" s="56"/>
      <c r="M35" s="56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3"/>
    </row>
    <row r="36" spans="2:28" hidden="1" x14ac:dyDescent="0.25">
      <c r="B36" s="61"/>
      <c r="C36" s="54" t="e">
        <f>#REF!</f>
        <v>#REF!</v>
      </c>
      <c r="D36" s="72"/>
      <c r="E36" s="72"/>
      <c r="F36" s="72"/>
      <c r="G36" s="82"/>
      <c r="H36" s="72"/>
      <c r="I36" s="72"/>
      <c r="J36" s="72"/>
      <c r="K36" s="56"/>
      <c r="L36" s="56"/>
      <c r="M36" s="56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3"/>
    </row>
    <row r="37" spans="2:28" hidden="1" x14ac:dyDescent="0.25">
      <c r="B37" s="61"/>
      <c r="C37" s="54" t="e">
        <f>#REF!</f>
        <v>#REF!</v>
      </c>
      <c r="D37" s="72"/>
      <c r="E37" s="72"/>
      <c r="F37" s="72"/>
      <c r="G37" s="82"/>
      <c r="H37" s="72"/>
      <c r="I37" s="72"/>
      <c r="J37" s="72"/>
      <c r="K37" s="56"/>
      <c r="L37" s="56"/>
      <c r="M37" s="56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3"/>
    </row>
    <row r="38" spans="2:28" hidden="1" x14ac:dyDescent="0.25">
      <c r="B38" s="61"/>
      <c r="C38" s="54" t="e">
        <f>#REF!</f>
        <v>#REF!</v>
      </c>
      <c r="D38" s="72"/>
      <c r="E38" s="72"/>
      <c r="F38" s="72"/>
      <c r="G38" s="82"/>
      <c r="H38" s="72"/>
      <c r="I38" s="72"/>
      <c r="J38" s="72"/>
      <c r="K38" s="56"/>
      <c r="L38" s="56"/>
      <c r="M38" s="56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3"/>
    </row>
    <row r="39" spans="2:28" hidden="1" x14ac:dyDescent="0.25">
      <c r="B39" s="61"/>
      <c r="C39" s="54" t="e">
        <f>#REF!</f>
        <v>#REF!</v>
      </c>
      <c r="D39" s="72"/>
      <c r="E39" s="72"/>
      <c r="F39" s="72"/>
      <c r="G39" s="82"/>
      <c r="H39" s="72"/>
      <c r="I39" s="72"/>
      <c r="J39" s="72"/>
      <c r="K39" s="56"/>
      <c r="L39" s="56"/>
      <c r="M39" s="56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/>
    </row>
    <row r="40" spans="2:28" hidden="1" x14ac:dyDescent="0.25">
      <c r="B40" s="61"/>
      <c r="C40" s="54" t="e">
        <f>#REF!</f>
        <v>#REF!</v>
      </c>
      <c r="D40" s="72"/>
      <c r="E40" s="72"/>
      <c r="F40" s="72"/>
      <c r="G40" s="82"/>
      <c r="H40" s="72"/>
      <c r="I40" s="72"/>
      <c r="J40" s="72"/>
      <c r="K40" s="56"/>
      <c r="L40" s="56"/>
      <c r="M40" s="56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3"/>
    </row>
    <row r="41" spans="2:28" hidden="1" x14ac:dyDescent="0.25">
      <c r="B41" s="61"/>
      <c r="C41" s="54" t="e">
        <f>#REF!</f>
        <v>#REF!</v>
      </c>
      <c r="D41" s="72"/>
      <c r="E41" s="72"/>
      <c r="F41" s="72"/>
      <c r="G41" s="82"/>
      <c r="H41" s="72"/>
      <c r="I41" s="72"/>
      <c r="J41" s="72"/>
      <c r="K41" s="56"/>
      <c r="L41" s="56"/>
      <c r="M41" s="56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3"/>
    </row>
    <row r="42" spans="2:28" hidden="1" x14ac:dyDescent="0.25">
      <c r="B42" s="61"/>
      <c r="C42" s="54" t="e">
        <f>#REF!</f>
        <v>#REF!</v>
      </c>
      <c r="D42" s="72"/>
      <c r="E42" s="72"/>
      <c r="F42" s="72"/>
      <c r="G42" s="82"/>
      <c r="H42" s="72"/>
      <c r="I42" s="72"/>
      <c r="J42" s="72"/>
      <c r="K42" s="56"/>
      <c r="L42" s="56"/>
      <c r="M42" s="56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/>
    </row>
    <row r="43" spans="2:28" hidden="1" x14ac:dyDescent="0.25">
      <c r="B43" s="61"/>
      <c r="C43" s="54" t="e">
        <f>#REF!</f>
        <v>#REF!</v>
      </c>
      <c r="D43" s="72"/>
      <c r="E43" s="72"/>
      <c r="F43" s="72"/>
      <c r="G43" s="82"/>
      <c r="H43" s="72"/>
      <c r="I43" s="72"/>
      <c r="J43" s="72"/>
      <c r="K43" s="56"/>
      <c r="L43" s="56"/>
      <c r="M43" s="56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3"/>
    </row>
    <row r="44" spans="2:28" hidden="1" x14ac:dyDescent="0.25">
      <c r="B44" s="61"/>
      <c r="C44" s="54" t="e">
        <f>#REF!</f>
        <v>#REF!</v>
      </c>
      <c r="D44" s="72"/>
      <c r="E44" s="72"/>
      <c r="F44" s="72"/>
      <c r="G44" s="82"/>
      <c r="H44" s="72"/>
      <c r="I44" s="72"/>
      <c r="J44" s="72"/>
      <c r="K44" s="56"/>
      <c r="L44" s="56"/>
      <c r="M44" s="56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3"/>
    </row>
    <row r="45" spans="2:28" s="15" customFormat="1" ht="14.25" x14ac:dyDescent="0.2">
      <c r="B45" s="58" t="s">
        <v>206</v>
      </c>
      <c r="C45" s="57"/>
      <c r="D45" s="76"/>
      <c r="E45" s="76"/>
      <c r="F45" s="76"/>
      <c r="G45" s="80"/>
      <c r="H45" s="76"/>
      <c r="I45" s="76"/>
      <c r="J45" s="76"/>
      <c r="K45" s="70"/>
      <c r="L45" s="70"/>
      <c r="M45" s="70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60"/>
    </row>
    <row r="46" spans="2:28" x14ac:dyDescent="0.25">
      <c r="B46" s="61">
        <v>1</v>
      </c>
      <c r="C46" s="54"/>
      <c r="D46" s="71"/>
      <c r="E46" s="71"/>
      <c r="F46" s="71"/>
      <c r="G46" s="83"/>
      <c r="H46" s="71"/>
      <c r="I46" s="71"/>
      <c r="J46" s="71"/>
      <c r="K46" s="55"/>
      <c r="L46" s="55"/>
      <c r="M46" s="55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3"/>
    </row>
    <row r="47" spans="2:28" x14ac:dyDescent="0.25">
      <c r="B47" s="69" t="s">
        <v>350</v>
      </c>
      <c r="C47" s="54"/>
      <c r="D47" s="71"/>
      <c r="E47" s="71"/>
      <c r="F47" s="71"/>
      <c r="G47" s="83"/>
      <c r="H47" s="71"/>
      <c r="I47" s="71"/>
      <c r="J47" s="71"/>
      <c r="K47" s="55"/>
      <c r="L47" s="55"/>
      <c r="M47" s="55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3"/>
    </row>
    <row r="48" spans="2:28" x14ac:dyDescent="0.25">
      <c r="B48" s="61">
        <v>2</v>
      </c>
      <c r="C48" s="54"/>
      <c r="D48" s="71"/>
      <c r="E48" s="71"/>
      <c r="F48" s="71"/>
      <c r="G48" s="83"/>
      <c r="H48" s="71"/>
      <c r="I48" s="71"/>
      <c r="J48" s="71"/>
      <c r="K48" s="55"/>
      <c r="L48" s="55"/>
      <c r="M48" s="55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3"/>
    </row>
    <row r="49" spans="2:28" x14ac:dyDescent="0.25">
      <c r="B49" s="69" t="s">
        <v>350</v>
      </c>
      <c r="C49" s="54"/>
      <c r="D49" s="71"/>
      <c r="E49" s="71"/>
      <c r="F49" s="71"/>
      <c r="G49" s="83"/>
      <c r="H49" s="71"/>
      <c r="I49" s="71"/>
      <c r="J49" s="71"/>
      <c r="K49" s="55"/>
      <c r="L49" s="55"/>
      <c r="M49" s="55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3"/>
    </row>
    <row r="50" spans="2:28" x14ac:dyDescent="0.25">
      <c r="B50" s="61">
        <v>3</v>
      </c>
      <c r="C50" s="54"/>
      <c r="D50" s="71"/>
      <c r="E50" s="71"/>
      <c r="F50" s="71"/>
      <c r="G50" s="83"/>
      <c r="H50" s="71"/>
      <c r="I50" s="71"/>
      <c r="J50" s="71"/>
      <c r="K50" s="55"/>
      <c r="L50" s="55"/>
      <c r="M50" s="55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3"/>
    </row>
    <row r="51" spans="2:28" x14ac:dyDescent="0.25">
      <c r="B51" s="69" t="s">
        <v>350</v>
      </c>
      <c r="C51" s="54"/>
      <c r="D51" s="71"/>
      <c r="E51" s="71"/>
      <c r="F51" s="71"/>
      <c r="G51" s="83"/>
      <c r="H51" s="71"/>
      <c r="I51" s="71"/>
      <c r="J51" s="71"/>
      <c r="K51" s="55"/>
      <c r="L51" s="55"/>
      <c r="M51" s="55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3"/>
    </row>
    <row r="52" spans="2:28" x14ac:dyDescent="0.25">
      <c r="B52" s="61">
        <v>4</v>
      </c>
      <c r="C52" s="54"/>
      <c r="D52" s="71"/>
      <c r="E52" s="71"/>
      <c r="F52" s="71"/>
      <c r="G52" s="83"/>
      <c r="H52" s="71"/>
      <c r="I52" s="71"/>
      <c r="J52" s="71"/>
      <c r="K52" s="55"/>
      <c r="L52" s="55"/>
      <c r="M52" s="55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3"/>
    </row>
    <row r="53" spans="2:28" x14ac:dyDescent="0.25">
      <c r="B53" s="69" t="s">
        <v>350</v>
      </c>
      <c r="C53" s="54"/>
      <c r="D53" s="71"/>
      <c r="E53" s="71"/>
      <c r="F53" s="71"/>
      <c r="G53" s="83"/>
      <c r="H53" s="71"/>
      <c r="I53" s="71"/>
      <c r="J53" s="71"/>
      <c r="K53" s="55"/>
      <c r="L53" s="55"/>
      <c r="M53" s="55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3"/>
    </row>
    <row r="54" spans="2:28" x14ac:dyDescent="0.25">
      <c r="B54" s="69" t="s">
        <v>350</v>
      </c>
      <c r="C54" s="54"/>
      <c r="D54" s="71"/>
      <c r="E54" s="71"/>
      <c r="F54" s="71"/>
      <c r="G54" s="83"/>
      <c r="H54" s="71"/>
      <c r="I54" s="71"/>
      <c r="J54" s="71"/>
      <c r="K54" s="55"/>
      <c r="L54" s="55"/>
      <c r="M54" s="55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3"/>
    </row>
    <row r="55" spans="2:28" x14ac:dyDescent="0.25">
      <c r="B55" s="69" t="s">
        <v>350</v>
      </c>
      <c r="C55" s="54"/>
      <c r="D55" s="71"/>
      <c r="E55" s="71"/>
      <c r="F55" s="71"/>
      <c r="G55" s="83"/>
      <c r="H55" s="71"/>
      <c r="I55" s="71"/>
      <c r="J55" s="71"/>
      <c r="K55" s="55"/>
      <c r="L55" s="55"/>
      <c r="M55" s="55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3"/>
    </row>
    <row r="56" spans="2:28" x14ac:dyDescent="0.25">
      <c r="B56" s="61">
        <v>5</v>
      </c>
      <c r="C56" s="54"/>
      <c r="D56" s="71"/>
      <c r="E56" s="71"/>
      <c r="F56" s="71"/>
      <c r="G56" s="83"/>
      <c r="H56" s="71"/>
      <c r="I56" s="71"/>
      <c r="J56" s="71"/>
      <c r="K56" s="55"/>
      <c r="L56" s="55"/>
      <c r="M56" s="55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3"/>
    </row>
    <row r="57" spans="2:28" x14ac:dyDescent="0.25">
      <c r="B57" s="61"/>
      <c r="C57" s="54"/>
      <c r="D57" s="71"/>
      <c r="E57" s="71"/>
      <c r="F57" s="71"/>
      <c r="G57" s="83"/>
      <c r="H57" s="71"/>
      <c r="I57" s="71"/>
      <c r="J57" s="71"/>
      <c r="K57" s="55"/>
      <c r="L57" s="55"/>
      <c r="M57" s="55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3"/>
    </row>
    <row r="58" spans="2:28" x14ac:dyDescent="0.25">
      <c r="B58" s="61">
        <v>6</v>
      </c>
      <c r="C58" s="54"/>
      <c r="D58" s="71"/>
      <c r="E58" s="71"/>
      <c r="F58" s="71"/>
      <c r="G58" s="83"/>
      <c r="H58" s="71"/>
      <c r="I58" s="71"/>
      <c r="J58" s="71"/>
      <c r="K58" s="55"/>
      <c r="L58" s="55"/>
      <c r="M58" s="55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3"/>
    </row>
    <row r="59" spans="2:28" x14ac:dyDescent="0.25">
      <c r="B59" s="61"/>
      <c r="C59" s="54"/>
      <c r="D59" s="71"/>
      <c r="E59" s="71"/>
      <c r="F59" s="71"/>
      <c r="G59" s="83"/>
      <c r="H59" s="71"/>
      <c r="I59" s="71"/>
      <c r="J59" s="71"/>
      <c r="K59" s="55"/>
      <c r="L59" s="55"/>
      <c r="M59" s="55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3"/>
    </row>
    <row r="60" spans="2:28" x14ac:dyDescent="0.25">
      <c r="B60" s="61"/>
      <c r="C60" s="54"/>
      <c r="D60" s="71"/>
      <c r="E60" s="71"/>
      <c r="F60" s="71"/>
      <c r="G60" s="83"/>
      <c r="H60" s="71"/>
      <c r="I60" s="71"/>
      <c r="J60" s="71"/>
      <c r="K60" s="55"/>
      <c r="L60" s="55"/>
      <c r="M60" s="55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3"/>
    </row>
    <row r="61" spans="2:28" x14ac:dyDescent="0.25">
      <c r="B61" s="61"/>
      <c r="C61" s="54"/>
      <c r="D61" s="71"/>
      <c r="E61" s="71"/>
      <c r="F61" s="71"/>
      <c r="G61" s="83"/>
      <c r="H61" s="71"/>
      <c r="I61" s="71"/>
      <c r="J61" s="71"/>
      <c r="K61" s="55"/>
      <c r="L61" s="55"/>
      <c r="M61" s="55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3"/>
    </row>
    <row r="62" spans="2:28" x14ac:dyDescent="0.25">
      <c r="B62" s="61"/>
      <c r="C62" s="54"/>
      <c r="D62" s="71"/>
      <c r="E62" s="71"/>
      <c r="F62" s="71"/>
      <c r="G62" s="83"/>
      <c r="H62" s="71"/>
      <c r="I62" s="71"/>
      <c r="J62" s="71"/>
      <c r="K62" s="55"/>
      <c r="L62" s="55"/>
      <c r="M62" s="55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3"/>
    </row>
    <row r="63" spans="2:28" s="15" customFormat="1" x14ac:dyDescent="0.2">
      <c r="B63" s="58" t="s">
        <v>212</v>
      </c>
      <c r="C63" s="54"/>
      <c r="D63" s="71"/>
      <c r="E63" s="71"/>
      <c r="F63" s="71"/>
      <c r="G63" s="83"/>
      <c r="H63" s="71"/>
      <c r="I63" s="71"/>
      <c r="J63" s="71"/>
      <c r="K63" s="55"/>
      <c r="L63" s="55"/>
      <c r="M63" s="55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60"/>
    </row>
    <row r="64" spans="2:28" x14ac:dyDescent="0.25">
      <c r="B64" s="61"/>
      <c r="C64" s="54"/>
      <c r="D64" s="71"/>
      <c r="E64" s="71"/>
      <c r="F64" s="71"/>
      <c r="G64" s="83"/>
      <c r="H64" s="71"/>
      <c r="I64" s="71"/>
      <c r="J64" s="71"/>
      <c r="K64" s="55"/>
      <c r="L64" s="55"/>
      <c r="M64" s="55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3"/>
    </row>
    <row r="65" spans="2:28" x14ac:dyDescent="0.25">
      <c r="B65" s="61"/>
      <c r="C65" s="54"/>
      <c r="D65" s="71"/>
      <c r="E65" s="71"/>
      <c r="F65" s="71"/>
      <c r="G65" s="83"/>
      <c r="H65" s="71"/>
      <c r="I65" s="71"/>
      <c r="J65" s="71"/>
      <c r="K65" s="55"/>
      <c r="L65" s="55"/>
      <c r="M65" s="55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3"/>
    </row>
    <row r="66" spans="2:28" x14ac:dyDescent="0.25">
      <c r="B66" s="61"/>
      <c r="C66" s="54"/>
      <c r="D66" s="71"/>
      <c r="E66" s="71"/>
      <c r="F66" s="71"/>
      <c r="G66" s="83"/>
      <c r="H66" s="71"/>
      <c r="I66" s="71"/>
      <c r="J66" s="71"/>
      <c r="K66" s="55"/>
      <c r="L66" s="55"/>
      <c r="M66" s="55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3"/>
    </row>
    <row r="67" spans="2:28" x14ac:dyDescent="0.25">
      <c r="B67" s="61"/>
      <c r="C67" s="54"/>
      <c r="D67" s="71"/>
      <c r="E67" s="71"/>
      <c r="F67" s="71"/>
      <c r="G67" s="83"/>
      <c r="H67" s="71"/>
      <c r="I67" s="71"/>
      <c r="J67" s="71"/>
      <c r="K67" s="55"/>
      <c r="L67" s="55"/>
      <c r="M67" s="55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/>
    </row>
    <row r="68" spans="2:28" x14ac:dyDescent="0.25">
      <c r="B68" s="61"/>
      <c r="C68" s="54"/>
      <c r="D68" s="71"/>
      <c r="E68" s="71"/>
      <c r="F68" s="71"/>
      <c r="G68" s="83"/>
      <c r="H68" s="71"/>
      <c r="I68" s="71"/>
      <c r="J68" s="71"/>
      <c r="K68" s="55"/>
      <c r="L68" s="55"/>
      <c r="M68" s="55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3"/>
    </row>
    <row r="69" spans="2:28" x14ac:dyDescent="0.25">
      <c r="B69" s="61"/>
      <c r="C69" s="54"/>
      <c r="D69" s="71"/>
      <c r="E69" s="71"/>
      <c r="F69" s="71"/>
      <c r="G69" s="83"/>
      <c r="H69" s="71"/>
      <c r="I69" s="71"/>
      <c r="J69" s="71"/>
      <c r="K69" s="55"/>
      <c r="L69" s="55"/>
      <c r="M69" s="55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3"/>
    </row>
    <row r="70" spans="2:28" x14ac:dyDescent="0.25">
      <c r="B70" s="61"/>
      <c r="C70" s="54"/>
      <c r="D70" s="71"/>
      <c r="E70" s="71"/>
      <c r="F70" s="71"/>
      <c r="G70" s="83"/>
      <c r="H70" s="71"/>
      <c r="I70" s="71"/>
      <c r="J70" s="71"/>
      <c r="K70" s="55"/>
      <c r="L70" s="55"/>
      <c r="M70" s="55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3"/>
    </row>
    <row r="71" spans="2:28" x14ac:dyDescent="0.25">
      <c r="B71" s="61"/>
      <c r="C71" s="54"/>
      <c r="D71" s="71"/>
      <c r="E71" s="71"/>
      <c r="F71" s="71"/>
      <c r="G71" s="83"/>
      <c r="H71" s="71"/>
      <c r="I71" s="71"/>
      <c r="J71" s="71"/>
      <c r="K71" s="55"/>
      <c r="L71" s="55"/>
      <c r="M71" s="55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3"/>
    </row>
    <row r="72" spans="2:28" x14ac:dyDescent="0.25">
      <c r="B72" s="61"/>
      <c r="C72" s="54"/>
      <c r="D72" s="71"/>
      <c r="E72" s="71"/>
      <c r="F72" s="71"/>
      <c r="G72" s="83"/>
      <c r="H72" s="71"/>
      <c r="I72" s="71"/>
      <c r="J72" s="71"/>
      <c r="K72" s="55"/>
      <c r="L72" s="55"/>
      <c r="M72" s="55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3"/>
    </row>
    <row r="73" spans="2:28" x14ac:dyDescent="0.25">
      <c r="B73" s="61"/>
      <c r="C73" s="54"/>
      <c r="D73" s="71"/>
      <c r="E73" s="71"/>
      <c r="F73" s="71"/>
      <c r="G73" s="83"/>
      <c r="H73" s="71"/>
      <c r="I73" s="71"/>
      <c r="J73" s="71"/>
      <c r="K73" s="55"/>
      <c r="L73" s="55"/>
      <c r="M73" s="55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/>
    </row>
    <row r="74" spans="2:28" x14ac:dyDescent="0.25">
      <c r="B74" s="61"/>
      <c r="C74" s="54"/>
      <c r="D74" s="71"/>
      <c r="E74" s="71"/>
      <c r="F74" s="71"/>
      <c r="G74" s="83"/>
      <c r="H74" s="71"/>
      <c r="I74" s="71"/>
      <c r="J74" s="71"/>
      <c r="K74" s="55"/>
      <c r="L74" s="55"/>
      <c r="M74" s="55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3"/>
    </row>
    <row r="75" spans="2:28" x14ac:dyDescent="0.25">
      <c r="B75" s="61"/>
      <c r="C75" s="54"/>
      <c r="D75" s="71"/>
      <c r="E75" s="71"/>
      <c r="F75" s="71"/>
      <c r="G75" s="83"/>
      <c r="H75" s="71"/>
      <c r="I75" s="71"/>
      <c r="J75" s="71"/>
      <c r="K75" s="55"/>
      <c r="L75" s="55"/>
      <c r="M75" s="55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3"/>
    </row>
    <row r="76" spans="2:28" x14ac:dyDescent="0.25">
      <c r="B76" s="61"/>
      <c r="C76" s="54"/>
      <c r="D76" s="71"/>
      <c r="E76" s="71"/>
      <c r="F76" s="71"/>
      <c r="G76" s="83"/>
      <c r="H76" s="71"/>
      <c r="I76" s="71"/>
      <c r="J76" s="71"/>
      <c r="K76" s="55"/>
      <c r="L76" s="55"/>
      <c r="M76" s="55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3"/>
    </row>
    <row r="77" spans="2:28" x14ac:dyDescent="0.25">
      <c r="B77" s="61"/>
      <c r="C77" s="54"/>
      <c r="D77" s="71"/>
      <c r="E77" s="71"/>
      <c r="F77" s="71"/>
      <c r="G77" s="83"/>
      <c r="H77" s="71"/>
      <c r="I77" s="71"/>
      <c r="J77" s="71"/>
      <c r="K77" s="55"/>
      <c r="L77" s="55"/>
      <c r="M77" s="55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3"/>
    </row>
    <row r="78" spans="2:28" x14ac:dyDescent="0.25">
      <c r="B78" s="61"/>
      <c r="C78" s="54"/>
      <c r="D78" s="71"/>
      <c r="E78" s="71"/>
      <c r="F78" s="71"/>
      <c r="G78" s="83"/>
      <c r="H78" s="71"/>
      <c r="I78" s="71"/>
      <c r="J78" s="71"/>
      <c r="K78" s="55"/>
      <c r="L78" s="55"/>
      <c r="M78" s="55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3"/>
    </row>
    <row r="79" spans="2:28" x14ac:dyDescent="0.25">
      <c r="B79" s="61"/>
      <c r="C79" s="54"/>
      <c r="D79" s="71"/>
      <c r="E79" s="71"/>
      <c r="F79" s="71"/>
      <c r="G79" s="83"/>
      <c r="H79" s="71"/>
      <c r="I79" s="71"/>
      <c r="J79" s="71"/>
      <c r="K79" s="55"/>
      <c r="L79" s="55"/>
      <c r="M79" s="55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3"/>
    </row>
    <row r="80" spans="2:28" x14ac:dyDescent="0.25">
      <c r="B80" s="61"/>
      <c r="C80" s="54"/>
      <c r="D80" s="71"/>
      <c r="E80" s="71"/>
      <c r="F80" s="71"/>
      <c r="G80" s="83"/>
      <c r="H80" s="71"/>
      <c r="I80" s="71"/>
      <c r="J80" s="71"/>
      <c r="K80" s="55"/>
      <c r="L80" s="55"/>
      <c r="M80" s="55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3"/>
    </row>
    <row r="81" spans="2:28" s="15" customFormat="1" x14ac:dyDescent="0.2">
      <c r="B81" s="58" t="s">
        <v>349</v>
      </c>
      <c r="C81" s="57"/>
      <c r="D81" s="71"/>
      <c r="E81" s="71"/>
      <c r="F81" s="71"/>
      <c r="G81" s="83"/>
      <c r="H81" s="71"/>
      <c r="I81" s="71"/>
      <c r="J81" s="71"/>
      <c r="K81" s="65"/>
      <c r="L81" s="65"/>
      <c r="M81" s="65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60"/>
    </row>
    <row r="82" spans="2:28" x14ac:dyDescent="0.25">
      <c r="B82" s="61"/>
      <c r="C82" s="54"/>
      <c r="D82" s="71"/>
      <c r="E82" s="71"/>
      <c r="F82" s="71"/>
      <c r="G82" s="83"/>
      <c r="H82" s="71"/>
      <c r="I82" s="71"/>
      <c r="J82" s="71"/>
      <c r="K82" s="55"/>
      <c r="L82" s="55"/>
      <c r="M82" s="55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3"/>
    </row>
    <row r="83" spans="2:28" x14ac:dyDescent="0.25">
      <c r="B83" s="61"/>
      <c r="C83" s="54"/>
      <c r="D83" s="71"/>
      <c r="E83" s="71"/>
      <c r="F83" s="71"/>
      <c r="G83" s="83"/>
      <c r="H83" s="71"/>
      <c r="I83" s="71"/>
      <c r="J83" s="71"/>
      <c r="K83" s="55"/>
      <c r="L83" s="55"/>
      <c r="M83" s="55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3"/>
    </row>
    <row r="84" spans="2:28" x14ac:dyDescent="0.25">
      <c r="B84" s="61"/>
      <c r="C84" s="54"/>
      <c r="D84" s="71"/>
      <c r="E84" s="71"/>
      <c r="F84" s="71"/>
      <c r="G84" s="83"/>
      <c r="H84" s="71"/>
      <c r="I84" s="71"/>
      <c r="J84" s="71"/>
      <c r="K84" s="55"/>
      <c r="L84" s="55"/>
      <c r="M84" s="55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3"/>
    </row>
    <row r="85" spans="2:28" x14ac:dyDescent="0.25">
      <c r="B85" s="61"/>
      <c r="C85" s="54"/>
      <c r="D85" s="71"/>
      <c r="E85" s="71"/>
      <c r="F85" s="71"/>
      <c r="G85" s="83"/>
      <c r="H85" s="71"/>
      <c r="I85" s="71"/>
      <c r="J85" s="71"/>
      <c r="K85" s="55"/>
      <c r="L85" s="55"/>
      <c r="M85" s="55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3"/>
    </row>
    <row r="86" spans="2:28" x14ac:dyDescent="0.25">
      <c r="B86" s="61"/>
      <c r="C86" s="54"/>
      <c r="D86" s="71"/>
      <c r="E86" s="71"/>
      <c r="F86" s="71"/>
      <c r="G86" s="83"/>
      <c r="H86" s="71"/>
      <c r="I86" s="71"/>
      <c r="J86" s="71"/>
      <c r="K86" s="55"/>
      <c r="L86" s="55"/>
      <c r="M86" s="55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3"/>
    </row>
    <row r="87" spans="2:28" x14ac:dyDescent="0.25">
      <c r="B87" s="61"/>
      <c r="C87" s="54"/>
      <c r="D87" s="71"/>
      <c r="E87" s="71"/>
      <c r="F87" s="71"/>
      <c r="G87" s="83"/>
      <c r="H87" s="71"/>
      <c r="I87" s="71"/>
      <c r="J87" s="71"/>
      <c r="K87" s="55"/>
      <c r="L87" s="55"/>
      <c r="M87" s="55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3"/>
    </row>
    <row r="88" spans="2:28" x14ac:dyDescent="0.25">
      <c r="B88" s="61"/>
      <c r="C88" s="54"/>
      <c r="D88" s="71"/>
      <c r="E88" s="71"/>
      <c r="F88" s="71"/>
      <c r="G88" s="83"/>
      <c r="H88" s="71"/>
      <c r="I88" s="71"/>
      <c r="J88" s="71"/>
      <c r="K88" s="55"/>
      <c r="L88" s="55"/>
      <c r="M88" s="55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3"/>
    </row>
    <row r="89" spans="2:28" x14ac:dyDescent="0.25">
      <c r="B89" s="61"/>
      <c r="C89" s="54"/>
      <c r="D89" s="71"/>
      <c r="E89" s="71"/>
      <c r="F89" s="71"/>
      <c r="G89" s="83"/>
      <c r="H89" s="71"/>
      <c r="I89" s="71"/>
      <c r="J89" s="71"/>
      <c r="K89" s="55"/>
      <c r="L89" s="55"/>
      <c r="M89" s="55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3"/>
    </row>
    <row r="90" spans="2:28" x14ac:dyDescent="0.25">
      <c r="B90" s="61"/>
      <c r="C90" s="54"/>
      <c r="D90" s="71"/>
      <c r="E90" s="71"/>
      <c r="F90" s="71"/>
      <c r="G90" s="83"/>
      <c r="H90" s="71"/>
      <c r="I90" s="71"/>
      <c r="J90" s="71"/>
      <c r="K90" s="55"/>
      <c r="L90" s="55"/>
      <c r="M90" s="55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3"/>
    </row>
    <row r="91" spans="2:28" x14ac:dyDescent="0.25">
      <c r="B91" s="61"/>
      <c r="C91" s="54"/>
      <c r="D91" s="71"/>
      <c r="E91" s="71"/>
      <c r="F91" s="71"/>
      <c r="G91" s="83"/>
      <c r="H91" s="71"/>
      <c r="I91" s="71"/>
      <c r="J91" s="71"/>
      <c r="K91" s="55"/>
      <c r="L91" s="55"/>
      <c r="M91" s="55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3"/>
    </row>
    <row r="92" spans="2:28" x14ac:dyDescent="0.25">
      <c r="B92" s="61"/>
      <c r="C92" s="54"/>
      <c r="D92" s="71"/>
      <c r="E92" s="71"/>
      <c r="F92" s="71"/>
      <c r="G92" s="83"/>
      <c r="H92" s="71"/>
      <c r="I92" s="71"/>
      <c r="J92" s="71"/>
      <c r="K92" s="55"/>
      <c r="L92" s="55"/>
      <c r="M92" s="55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3"/>
    </row>
    <row r="93" spans="2:28" x14ac:dyDescent="0.25">
      <c r="B93" s="61"/>
      <c r="C93" s="54"/>
      <c r="D93" s="71"/>
      <c r="E93" s="71"/>
      <c r="F93" s="71"/>
      <c r="G93" s="83"/>
      <c r="H93" s="71"/>
      <c r="I93" s="71"/>
      <c r="J93" s="71"/>
      <c r="K93" s="55"/>
      <c r="L93" s="55"/>
      <c r="M93" s="55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3"/>
    </row>
    <row r="94" spans="2:28" x14ac:dyDescent="0.25">
      <c r="B94" s="61"/>
      <c r="C94" s="54"/>
      <c r="D94" s="71"/>
      <c r="E94" s="71"/>
      <c r="F94" s="71"/>
      <c r="G94" s="83"/>
      <c r="H94" s="71"/>
      <c r="I94" s="71"/>
      <c r="J94" s="71"/>
      <c r="K94" s="55"/>
      <c r="L94" s="55"/>
      <c r="M94" s="55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3"/>
    </row>
    <row r="95" spans="2:28" x14ac:dyDescent="0.25">
      <c r="B95" s="61"/>
      <c r="C95" s="54"/>
      <c r="D95" s="71"/>
      <c r="E95" s="71"/>
      <c r="F95" s="71"/>
      <c r="G95" s="83"/>
      <c r="H95" s="71"/>
      <c r="I95" s="71"/>
      <c r="J95" s="71"/>
      <c r="K95" s="55"/>
      <c r="L95" s="55"/>
      <c r="M95" s="55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3"/>
    </row>
    <row r="96" spans="2:28" x14ac:dyDescent="0.25">
      <c r="B96" s="61"/>
      <c r="C96" s="54"/>
      <c r="D96" s="71"/>
      <c r="E96" s="71"/>
      <c r="F96" s="71"/>
      <c r="G96" s="83"/>
      <c r="H96" s="71"/>
      <c r="I96" s="71"/>
      <c r="J96" s="71"/>
      <c r="K96" s="55"/>
      <c r="L96" s="55"/>
      <c r="M96" s="55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3"/>
    </row>
    <row r="97" spans="2:28" x14ac:dyDescent="0.25">
      <c r="B97" s="61"/>
      <c r="C97" s="54"/>
      <c r="D97" s="71"/>
      <c r="E97" s="71"/>
      <c r="F97" s="71"/>
      <c r="G97" s="83"/>
      <c r="H97" s="71"/>
      <c r="I97" s="71"/>
      <c r="J97" s="71"/>
      <c r="K97" s="55"/>
      <c r="L97" s="55"/>
      <c r="M97" s="55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3"/>
    </row>
    <row r="98" spans="2:28" x14ac:dyDescent="0.25">
      <c r="B98" s="61"/>
      <c r="C98" s="54"/>
      <c r="D98" s="71"/>
      <c r="E98" s="71"/>
      <c r="F98" s="71"/>
      <c r="G98" s="83"/>
      <c r="H98" s="71"/>
      <c r="I98" s="71"/>
      <c r="J98" s="71"/>
      <c r="K98" s="55"/>
      <c r="L98" s="55"/>
      <c r="M98" s="55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3"/>
    </row>
    <row r="99" spans="2:28" s="15" customFormat="1" x14ac:dyDescent="0.2">
      <c r="B99" s="58"/>
      <c r="C99" s="57"/>
      <c r="D99" s="71"/>
      <c r="E99" s="71"/>
      <c r="F99" s="71"/>
      <c r="G99" s="83"/>
      <c r="H99" s="71"/>
      <c r="I99" s="71"/>
      <c r="J99" s="71"/>
      <c r="K99" s="65"/>
      <c r="L99" s="65"/>
      <c r="M99" s="65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60"/>
    </row>
    <row r="100" spans="2:28" x14ac:dyDescent="0.25">
      <c r="B100" s="61"/>
      <c r="C100" s="54"/>
      <c r="D100" s="71"/>
      <c r="E100" s="71"/>
      <c r="F100" s="71"/>
      <c r="G100" s="83"/>
      <c r="H100" s="71"/>
      <c r="I100" s="71"/>
      <c r="J100" s="71"/>
      <c r="K100" s="55"/>
      <c r="L100" s="55"/>
      <c r="M100" s="55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3"/>
    </row>
    <row r="101" spans="2:28" x14ac:dyDescent="0.25">
      <c r="B101" s="61"/>
      <c r="C101" s="54"/>
      <c r="D101" s="71"/>
      <c r="E101" s="71"/>
      <c r="F101" s="71"/>
      <c r="G101" s="83"/>
      <c r="H101" s="71"/>
      <c r="I101" s="71"/>
      <c r="J101" s="71"/>
      <c r="K101" s="55"/>
      <c r="L101" s="55"/>
      <c r="M101" s="55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/>
    </row>
    <row r="102" spans="2:28" x14ac:dyDescent="0.25">
      <c r="B102" s="61"/>
      <c r="C102" s="54"/>
      <c r="D102" s="71"/>
      <c r="E102" s="71"/>
      <c r="F102" s="71"/>
      <c r="G102" s="83"/>
      <c r="H102" s="71"/>
      <c r="I102" s="71"/>
      <c r="J102" s="71"/>
      <c r="K102" s="55"/>
      <c r="L102" s="55"/>
      <c r="M102" s="55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3"/>
    </row>
    <row r="103" spans="2:28" x14ac:dyDescent="0.25">
      <c r="B103" s="61"/>
      <c r="C103" s="54"/>
      <c r="D103" s="71"/>
      <c r="E103" s="71"/>
      <c r="F103" s="71"/>
      <c r="G103" s="83"/>
      <c r="H103" s="71"/>
      <c r="I103" s="71"/>
      <c r="J103" s="71"/>
      <c r="K103" s="55"/>
      <c r="L103" s="55"/>
      <c r="M103" s="55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3"/>
    </row>
    <row r="104" spans="2:28" x14ac:dyDescent="0.25">
      <c r="B104" s="61"/>
      <c r="C104" s="54"/>
      <c r="D104" s="71"/>
      <c r="E104" s="71"/>
      <c r="F104" s="71"/>
      <c r="G104" s="83"/>
      <c r="H104" s="71"/>
      <c r="I104" s="71"/>
      <c r="J104" s="71"/>
      <c r="K104" s="55"/>
      <c r="L104" s="55"/>
      <c r="M104" s="55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3"/>
    </row>
    <row r="105" spans="2:28" x14ac:dyDescent="0.25">
      <c r="B105" s="61"/>
      <c r="C105" s="54"/>
      <c r="D105" s="71"/>
      <c r="E105" s="71"/>
      <c r="F105" s="71"/>
      <c r="G105" s="83"/>
      <c r="H105" s="71"/>
      <c r="I105" s="71"/>
      <c r="J105" s="71"/>
      <c r="K105" s="55"/>
      <c r="L105" s="55"/>
      <c r="M105" s="55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3"/>
    </row>
    <row r="106" spans="2:28" x14ac:dyDescent="0.25">
      <c r="B106" s="61"/>
      <c r="C106" s="54"/>
      <c r="D106" s="71"/>
      <c r="E106" s="71"/>
      <c r="F106" s="71"/>
      <c r="G106" s="83"/>
      <c r="H106" s="71"/>
      <c r="I106" s="71"/>
      <c r="J106" s="71"/>
      <c r="K106" s="55"/>
      <c r="L106" s="55"/>
      <c r="M106" s="55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3"/>
    </row>
    <row r="107" spans="2:28" x14ac:dyDescent="0.25">
      <c r="B107" s="61"/>
      <c r="C107" s="54"/>
      <c r="D107" s="71"/>
      <c r="E107" s="71"/>
      <c r="F107" s="71"/>
      <c r="G107" s="83"/>
      <c r="H107" s="71"/>
      <c r="I107" s="71"/>
      <c r="J107" s="71"/>
      <c r="K107" s="55"/>
      <c r="L107" s="55"/>
      <c r="M107" s="55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3"/>
    </row>
    <row r="108" spans="2:28" x14ac:dyDescent="0.25">
      <c r="B108" s="61"/>
      <c r="C108" s="54"/>
      <c r="D108" s="71"/>
      <c r="E108" s="71"/>
      <c r="F108" s="71"/>
      <c r="G108" s="83"/>
      <c r="H108" s="71"/>
      <c r="I108" s="71"/>
      <c r="J108" s="71"/>
      <c r="K108" s="55"/>
      <c r="L108" s="55"/>
      <c r="M108" s="55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3"/>
    </row>
    <row r="109" spans="2:28" x14ac:dyDescent="0.25">
      <c r="B109" s="61"/>
      <c r="C109" s="54"/>
      <c r="D109" s="71"/>
      <c r="E109" s="71"/>
      <c r="F109" s="71"/>
      <c r="G109" s="83"/>
      <c r="H109" s="71"/>
      <c r="I109" s="71"/>
      <c r="J109" s="71"/>
      <c r="K109" s="55"/>
      <c r="L109" s="55"/>
      <c r="M109" s="55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3"/>
    </row>
    <row r="110" spans="2:28" x14ac:dyDescent="0.25">
      <c r="B110" s="61"/>
      <c r="C110" s="54"/>
      <c r="D110" s="71"/>
      <c r="E110" s="71"/>
      <c r="F110" s="71"/>
      <c r="G110" s="83"/>
      <c r="H110" s="71"/>
      <c r="I110" s="71"/>
      <c r="J110" s="71"/>
      <c r="K110" s="55"/>
      <c r="L110" s="55"/>
      <c r="M110" s="55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3"/>
    </row>
    <row r="111" spans="2:28" x14ac:dyDescent="0.25">
      <c r="B111" s="61"/>
      <c r="C111" s="54"/>
      <c r="D111" s="71"/>
      <c r="E111" s="71"/>
      <c r="F111" s="71"/>
      <c r="G111" s="83"/>
      <c r="H111" s="71"/>
      <c r="I111" s="71"/>
      <c r="J111" s="71"/>
      <c r="K111" s="55"/>
      <c r="L111" s="55"/>
      <c r="M111" s="55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3"/>
    </row>
    <row r="112" spans="2:28" x14ac:dyDescent="0.25">
      <c r="B112" s="61"/>
      <c r="C112" s="54"/>
      <c r="D112" s="71"/>
      <c r="E112" s="71"/>
      <c r="F112" s="71"/>
      <c r="G112" s="83"/>
      <c r="H112" s="71"/>
      <c r="I112" s="71"/>
      <c r="J112" s="71"/>
      <c r="K112" s="55"/>
      <c r="L112" s="55"/>
      <c r="M112" s="55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3"/>
    </row>
    <row r="113" spans="2:28" x14ac:dyDescent="0.25">
      <c r="B113" s="61"/>
      <c r="C113" s="54"/>
      <c r="D113" s="71"/>
      <c r="E113" s="71"/>
      <c r="F113" s="71"/>
      <c r="G113" s="83"/>
      <c r="H113" s="71"/>
      <c r="I113" s="71"/>
      <c r="J113" s="71"/>
      <c r="K113" s="55"/>
      <c r="L113" s="55"/>
      <c r="M113" s="55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3"/>
    </row>
    <row r="114" spans="2:28" x14ac:dyDescent="0.25">
      <c r="B114" s="61"/>
      <c r="C114" s="54"/>
      <c r="D114" s="71"/>
      <c r="E114" s="71"/>
      <c r="F114" s="71"/>
      <c r="G114" s="83"/>
      <c r="H114" s="71"/>
      <c r="I114" s="71"/>
      <c r="J114" s="71"/>
      <c r="K114" s="55"/>
      <c r="L114" s="55"/>
      <c r="M114" s="55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3"/>
    </row>
    <row r="115" spans="2:28" x14ac:dyDescent="0.25">
      <c r="B115" s="61"/>
      <c r="C115" s="54"/>
      <c r="D115" s="71"/>
      <c r="E115" s="71"/>
      <c r="F115" s="71"/>
      <c r="G115" s="83"/>
      <c r="H115" s="71"/>
      <c r="I115" s="71"/>
      <c r="J115" s="71"/>
      <c r="K115" s="55"/>
      <c r="L115" s="55"/>
      <c r="M115" s="55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3"/>
    </row>
    <row r="116" spans="2:28" x14ac:dyDescent="0.25">
      <c r="B116" s="61"/>
      <c r="C116" s="54"/>
      <c r="D116" s="71"/>
      <c r="E116" s="71"/>
      <c r="F116" s="71"/>
      <c r="G116" s="83"/>
      <c r="H116" s="71"/>
      <c r="I116" s="71"/>
      <c r="J116" s="71"/>
      <c r="K116" s="55"/>
      <c r="L116" s="55"/>
      <c r="M116" s="55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3"/>
    </row>
    <row r="117" spans="2:28" s="15" customFormat="1" x14ac:dyDescent="0.2">
      <c r="B117" s="58"/>
      <c r="C117" s="54"/>
      <c r="D117" s="71"/>
      <c r="E117" s="71"/>
      <c r="F117" s="71"/>
      <c r="G117" s="83"/>
      <c r="H117" s="71"/>
      <c r="I117" s="71"/>
      <c r="J117" s="71"/>
      <c r="K117" s="55"/>
      <c r="L117" s="55"/>
      <c r="M117" s="55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60"/>
    </row>
    <row r="118" spans="2:28" x14ac:dyDescent="0.25">
      <c r="B118" s="61"/>
      <c r="C118" s="54"/>
      <c r="D118" s="71"/>
      <c r="E118" s="71"/>
      <c r="F118" s="71"/>
      <c r="G118" s="83"/>
      <c r="H118" s="71"/>
      <c r="I118" s="71"/>
      <c r="J118" s="71"/>
      <c r="K118" s="55"/>
      <c r="L118" s="55"/>
      <c r="M118" s="55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3"/>
    </row>
    <row r="119" spans="2:28" x14ac:dyDescent="0.25">
      <c r="B119" s="61"/>
      <c r="C119" s="54"/>
      <c r="D119" s="71"/>
      <c r="E119" s="71"/>
      <c r="F119" s="71"/>
      <c r="G119" s="83"/>
      <c r="H119" s="71"/>
      <c r="I119" s="71"/>
      <c r="J119" s="71"/>
      <c r="K119" s="55"/>
      <c r="L119" s="55"/>
      <c r="M119" s="55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3"/>
    </row>
    <row r="120" spans="2:28" x14ac:dyDescent="0.25">
      <c r="B120" s="61"/>
      <c r="C120" s="54"/>
      <c r="D120" s="71"/>
      <c r="E120" s="71"/>
      <c r="F120" s="71"/>
      <c r="G120" s="83"/>
      <c r="H120" s="71"/>
      <c r="I120" s="71"/>
      <c r="J120" s="71"/>
      <c r="K120" s="55"/>
      <c r="L120" s="55"/>
      <c r="M120" s="55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3"/>
    </row>
    <row r="121" spans="2:28" x14ac:dyDescent="0.25">
      <c r="B121" s="61"/>
      <c r="C121" s="54"/>
      <c r="D121" s="71"/>
      <c r="E121" s="71"/>
      <c r="F121" s="71"/>
      <c r="G121" s="83"/>
      <c r="H121" s="71"/>
      <c r="I121" s="71"/>
      <c r="J121" s="71"/>
      <c r="K121" s="55"/>
      <c r="L121" s="55"/>
      <c r="M121" s="55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3"/>
    </row>
    <row r="122" spans="2:28" x14ac:dyDescent="0.25">
      <c r="B122" s="61"/>
      <c r="C122" s="54"/>
      <c r="D122" s="71"/>
      <c r="E122" s="71"/>
      <c r="F122" s="71"/>
      <c r="G122" s="83"/>
      <c r="H122" s="71"/>
      <c r="I122" s="71"/>
      <c r="J122" s="71"/>
      <c r="K122" s="55"/>
      <c r="L122" s="55"/>
      <c r="M122" s="55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3"/>
    </row>
    <row r="123" spans="2:28" x14ac:dyDescent="0.25">
      <c r="B123" s="61"/>
      <c r="C123" s="54"/>
      <c r="D123" s="71"/>
      <c r="E123" s="71"/>
      <c r="F123" s="71"/>
      <c r="G123" s="83"/>
      <c r="H123" s="71"/>
      <c r="I123" s="71"/>
      <c r="J123" s="71"/>
      <c r="K123" s="55"/>
      <c r="L123" s="55"/>
      <c r="M123" s="55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3"/>
    </row>
    <row r="124" spans="2:28" x14ac:dyDescent="0.25">
      <c r="B124" s="61"/>
      <c r="C124" s="54"/>
      <c r="D124" s="71"/>
      <c r="E124" s="71"/>
      <c r="F124" s="71"/>
      <c r="G124" s="83"/>
      <c r="H124" s="71"/>
      <c r="I124" s="71"/>
      <c r="J124" s="71"/>
      <c r="K124" s="55"/>
      <c r="L124" s="55"/>
      <c r="M124" s="55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3"/>
    </row>
    <row r="125" spans="2:28" x14ac:dyDescent="0.25">
      <c r="B125" s="61"/>
      <c r="C125" s="54"/>
      <c r="D125" s="71"/>
      <c r="E125" s="71"/>
      <c r="F125" s="71"/>
      <c r="G125" s="83"/>
      <c r="H125" s="71"/>
      <c r="I125" s="71"/>
      <c r="J125" s="71"/>
      <c r="K125" s="55"/>
      <c r="L125" s="55"/>
      <c r="M125" s="55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3"/>
    </row>
    <row r="126" spans="2:28" x14ac:dyDescent="0.25">
      <c r="B126" s="61"/>
      <c r="C126" s="54"/>
      <c r="D126" s="71"/>
      <c r="E126" s="71"/>
      <c r="F126" s="71"/>
      <c r="G126" s="83"/>
      <c r="H126" s="71"/>
      <c r="I126" s="71"/>
      <c r="J126" s="71"/>
      <c r="K126" s="55"/>
      <c r="L126" s="55"/>
      <c r="M126" s="55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3"/>
    </row>
    <row r="127" spans="2:28" x14ac:dyDescent="0.25">
      <c r="B127" s="61"/>
      <c r="C127" s="54"/>
      <c r="D127" s="71"/>
      <c r="E127" s="71"/>
      <c r="F127" s="71"/>
      <c r="G127" s="83"/>
      <c r="H127" s="71"/>
      <c r="I127" s="71"/>
      <c r="J127" s="71"/>
      <c r="K127" s="55"/>
      <c r="L127" s="55"/>
      <c r="M127" s="55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3"/>
    </row>
    <row r="128" spans="2:28" x14ac:dyDescent="0.25">
      <c r="B128" s="61"/>
      <c r="C128" s="54"/>
      <c r="D128" s="71"/>
      <c r="E128" s="71"/>
      <c r="F128" s="71"/>
      <c r="G128" s="83"/>
      <c r="H128" s="71"/>
      <c r="I128" s="71"/>
      <c r="J128" s="71"/>
      <c r="K128" s="55"/>
      <c r="L128" s="55"/>
      <c r="M128" s="55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3"/>
    </row>
    <row r="129" spans="2:28" x14ac:dyDescent="0.25">
      <c r="B129" s="61"/>
      <c r="C129" s="54"/>
      <c r="D129" s="71"/>
      <c r="E129" s="71"/>
      <c r="F129" s="71"/>
      <c r="G129" s="83"/>
      <c r="H129" s="71"/>
      <c r="I129" s="71"/>
      <c r="J129" s="71"/>
      <c r="K129" s="55"/>
      <c r="L129" s="55"/>
      <c r="M129" s="55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3"/>
    </row>
    <row r="130" spans="2:28" x14ac:dyDescent="0.25">
      <c r="B130" s="61"/>
      <c r="C130" s="54"/>
      <c r="D130" s="71"/>
      <c r="E130" s="71"/>
      <c r="F130" s="71"/>
      <c r="G130" s="83"/>
      <c r="H130" s="71"/>
      <c r="I130" s="71"/>
      <c r="J130" s="71"/>
      <c r="K130" s="55"/>
      <c r="L130" s="55"/>
      <c r="M130" s="55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/>
    </row>
    <row r="131" spans="2:28" x14ac:dyDescent="0.25">
      <c r="B131" s="61"/>
      <c r="C131" s="54"/>
      <c r="D131" s="71"/>
      <c r="E131" s="71"/>
      <c r="F131" s="71"/>
      <c r="G131" s="83"/>
      <c r="H131" s="71"/>
      <c r="I131" s="71"/>
      <c r="J131" s="71"/>
      <c r="K131" s="55"/>
      <c r="L131" s="55"/>
      <c r="M131" s="55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3"/>
    </row>
    <row r="132" spans="2:28" x14ac:dyDescent="0.25">
      <c r="B132" s="61"/>
      <c r="C132" s="54"/>
      <c r="D132" s="71"/>
      <c r="E132" s="71"/>
      <c r="F132" s="71"/>
      <c r="G132" s="83"/>
      <c r="H132" s="71"/>
      <c r="I132" s="71"/>
      <c r="J132" s="71"/>
      <c r="K132" s="55"/>
      <c r="L132" s="55"/>
      <c r="M132" s="55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3"/>
    </row>
    <row r="133" spans="2:28" x14ac:dyDescent="0.25">
      <c r="B133" s="61"/>
      <c r="C133" s="54"/>
      <c r="D133" s="71"/>
      <c r="E133" s="71"/>
      <c r="F133" s="71"/>
      <c r="G133" s="83"/>
      <c r="H133" s="71"/>
      <c r="I133" s="71"/>
      <c r="J133" s="71"/>
      <c r="K133" s="55"/>
      <c r="L133" s="55"/>
      <c r="M133" s="55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3"/>
    </row>
    <row r="134" spans="2:28" x14ac:dyDescent="0.25">
      <c r="B134" s="61"/>
      <c r="C134" s="54"/>
      <c r="D134" s="71"/>
      <c r="E134" s="71"/>
      <c r="F134" s="71"/>
      <c r="G134" s="83"/>
      <c r="H134" s="71"/>
      <c r="I134" s="71"/>
      <c r="J134" s="71"/>
      <c r="K134" s="55"/>
      <c r="L134" s="55"/>
      <c r="M134" s="55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/>
    </row>
    <row r="135" spans="2:28" s="15" customFormat="1" x14ac:dyDescent="0.2">
      <c r="B135" s="58"/>
      <c r="C135" s="54"/>
      <c r="D135" s="71"/>
      <c r="E135" s="71"/>
      <c r="F135" s="71"/>
      <c r="G135" s="83"/>
      <c r="H135" s="71"/>
      <c r="I135" s="71"/>
      <c r="J135" s="71"/>
      <c r="K135" s="55"/>
      <c r="L135" s="55"/>
      <c r="M135" s="55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60"/>
    </row>
    <row r="136" spans="2:28" x14ac:dyDescent="0.25">
      <c r="B136" s="61"/>
      <c r="C136" s="54"/>
      <c r="D136" s="71"/>
      <c r="E136" s="71"/>
      <c r="F136" s="71"/>
      <c r="G136" s="83"/>
      <c r="H136" s="71"/>
      <c r="I136" s="71"/>
      <c r="J136" s="71"/>
      <c r="K136" s="55"/>
      <c r="L136" s="55"/>
      <c r="M136" s="55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3"/>
    </row>
    <row r="137" spans="2:28" x14ac:dyDescent="0.25">
      <c r="B137" s="61"/>
      <c r="C137" s="54"/>
      <c r="D137" s="71"/>
      <c r="E137" s="71"/>
      <c r="F137" s="71"/>
      <c r="G137" s="83"/>
      <c r="H137" s="71"/>
      <c r="I137" s="71"/>
      <c r="J137" s="71"/>
      <c r="K137" s="55"/>
      <c r="L137" s="55"/>
      <c r="M137" s="55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3"/>
    </row>
    <row r="138" spans="2:28" x14ac:dyDescent="0.25">
      <c r="B138" s="61"/>
      <c r="C138" s="54"/>
      <c r="D138" s="71"/>
      <c r="E138" s="71"/>
      <c r="F138" s="71"/>
      <c r="G138" s="83"/>
      <c r="H138" s="71"/>
      <c r="I138" s="71"/>
      <c r="J138" s="71"/>
      <c r="K138" s="55"/>
      <c r="L138" s="55"/>
      <c r="M138" s="55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3"/>
    </row>
    <row r="139" spans="2:28" x14ac:dyDescent="0.25">
      <c r="B139" s="61"/>
      <c r="C139" s="54"/>
      <c r="D139" s="71"/>
      <c r="E139" s="71"/>
      <c r="F139" s="71"/>
      <c r="G139" s="83"/>
      <c r="H139" s="71"/>
      <c r="I139" s="71"/>
      <c r="J139" s="71"/>
      <c r="K139" s="55"/>
      <c r="L139" s="55"/>
      <c r="M139" s="55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3"/>
    </row>
    <row r="140" spans="2:28" x14ac:dyDescent="0.25">
      <c r="B140" s="61"/>
      <c r="C140" s="54"/>
      <c r="D140" s="71"/>
      <c r="E140" s="71"/>
      <c r="F140" s="71"/>
      <c r="G140" s="83"/>
      <c r="H140" s="71"/>
      <c r="I140" s="71"/>
      <c r="J140" s="71"/>
      <c r="K140" s="55"/>
      <c r="L140" s="55"/>
      <c r="M140" s="55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3"/>
    </row>
    <row r="141" spans="2:28" x14ac:dyDescent="0.25">
      <c r="B141" s="61"/>
      <c r="C141" s="54"/>
      <c r="D141" s="71"/>
      <c r="E141" s="71"/>
      <c r="F141" s="71"/>
      <c r="G141" s="83"/>
      <c r="H141" s="71"/>
      <c r="I141" s="71"/>
      <c r="J141" s="71"/>
      <c r="K141" s="55"/>
      <c r="L141" s="55"/>
      <c r="M141" s="55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3"/>
    </row>
    <row r="142" spans="2:28" x14ac:dyDescent="0.25">
      <c r="B142" s="61"/>
      <c r="C142" s="54"/>
      <c r="D142" s="71"/>
      <c r="E142" s="71"/>
      <c r="F142" s="71"/>
      <c r="G142" s="83"/>
      <c r="H142" s="71"/>
      <c r="I142" s="71"/>
      <c r="J142" s="71"/>
      <c r="K142" s="55"/>
      <c r="L142" s="55"/>
      <c r="M142" s="55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3"/>
    </row>
    <row r="143" spans="2:28" x14ac:dyDescent="0.25">
      <c r="B143" s="61"/>
      <c r="C143" s="54"/>
      <c r="D143" s="71"/>
      <c r="E143" s="71"/>
      <c r="F143" s="71"/>
      <c r="G143" s="83"/>
      <c r="H143" s="71"/>
      <c r="I143" s="71"/>
      <c r="J143" s="71"/>
      <c r="K143" s="55"/>
      <c r="L143" s="55"/>
      <c r="M143" s="55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3"/>
    </row>
    <row r="144" spans="2:28" x14ac:dyDescent="0.25">
      <c r="B144" s="61"/>
      <c r="C144" s="54"/>
      <c r="D144" s="71"/>
      <c r="E144" s="71"/>
      <c r="F144" s="71"/>
      <c r="G144" s="83"/>
      <c r="H144" s="71"/>
      <c r="I144" s="71"/>
      <c r="J144" s="71"/>
      <c r="K144" s="55"/>
      <c r="L144" s="55"/>
      <c r="M144" s="55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3"/>
    </row>
    <row r="145" spans="2:28" x14ac:dyDescent="0.25">
      <c r="B145" s="61"/>
      <c r="C145" s="54"/>
      <c r="D145" s="71"/>
      <c r="E145" s="71"/>
      <c r="F145" s="71"/>
      <c r="G145" s="83"/>
      <c r="H145" s="71"/>
      <c r="I145" s="71"/>
      <c r="J145" s="71"/>
      <c r="K145" s="55"/>
      <c r="L145" s="55"/>
      <c r="M145" s="55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3"/>
    </row>
    <row r="146" spans="2:28" x14ac:dyDescent="0.25">
      <c r="B146" s="61"/>
      <c r="C146" s="54"/>
      <c r="D146" s="71"/>
      <c r="E146" s="71"/>
      <c r="F146" s="71"/>
      <c r="G146" s="83"/>
      <c r="H146" s="71"/>
      <c r="I146" s="71"/>
      <c r="J146" s="71"/>
      <c r="K146" s="55"/>
      <c r="L146" s="55"/>
      <c r="M146" s="55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3"/>
    </row>
    <row r="147" spans="2:28" x14ac:dyDescent="0.25">
      <c r="B147" s="61"/>
      <c r="C147" s="54"/>
      <c r="D147" s="71"/>
      <c r="E147" s="71"/>
      <c r="F147" s="71"/>
      <c r="G147" s="83"/>
      <c r="H147" s="71"/>
      <c r="I147" s="71"/>
      <c r="J147" s="71"/>
      <c r="K147" s="55"/>
      <c r="L147" s="55"/>
      <c r="M147" s="55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3"/>
    </row>
    <row r="148" spans="2:28" x14ac:dyDescent="0.25">
      <c r="B148" s="61"/>
      <c r="C148" s="54"/>
      <c r="D148" s="71"/>
      <c r="E148" s="71"/>
      <c r="F148" s="71"/>
      <c r="G148" s="83"/>
      <c r="H148" s="71"/>
      <c r="I148" s="71"/>
      <c r="J148" s="71"/>
      <c r="K148" s="55"/>
      <c r="L148" s="55"/>
      <c r="M148" s="55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3"/>
    </row>
    <row r="149" spans="2:28" x14ac:dyDescent="0.25">
      <c r="B149" s="61"/>
      <c r="C149" s="54"/>
      <c r="D149" s="71"/>
      <c r="E149" s="71"/>
      <c r="F149" s="71"/>
      <c r="G149" s="83"/>
      <c r="H149" s="71"/>
      <c r="I149" s="71"/>
      <c r="J149" s="71"/>
      <c r="K149" s="55"/>
      <c r="L149" s="55"/>
      <c r="M149" s="55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3"/>
    </row>
    <row r="150" spans="2:28" x14ac:dyDescent="0.25">
      <c r="B150" s="61"/>
      <c r="C150" s="54"/>
      <c r="D150" s="71"/>
      <c r="E150" s="71"/>
      <c r="F150" s="71"/>
      <c r="G150" s="83"/>
      <c r="H150" s="71"/>
      <c r="I150" s="71"/>
      <c r="J150" s="71"/>
      <c r="K150" s="55"/>
      <c r="L150" s="55"/>
      <c r="M150" s="55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3"/>
    </row>
    <row r="151" spans="2:28" x14ac:dyDescent="0.25">
      <c r="B151" s="61"/>
      <c r="C151" s="54"/>
      <c r="D151" s="71"/>
      <c r="E151" s="71"/>
      <c r="F151" s="71"/>
      <c r="G151" s="83"/>
      <c r="H151" s="71"/>
      <c r="I151" s="71"/>
      <c r="J151" s="71"/>
      <c r="K151" s="55"/>
      <c r="L151" s="55"/>
      <c r="M151" s="55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3"/>
    </row>
    <row r="152" spans="2:28" x14ac:dyDescent="0.25">
      <c r="B152" s="61"/>
      <c r="C152" s="54"/>
      <c r="D152" s="71"/>
      <c r="E152" s="71"/>
      <c r="F152" s="71"/>
      <c r="G152" s="83"/>
      <c r="H152" s="71"/>
      <c r="I152" s="71"/>
      <c r="J152" s="71"/>
      <c r="K152" s="55"/>
      <c r="L152" s="55"/>
      <c r="M152" s="55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3"/>
    </row>
    <row r="153" spans="2:28" s="15" customFormat="1" x14ac:dyDescent="0.2">
      <c r="B153" s="58"/>
      <c r="C153" s="54"/>
      <c r="D153" s="71"/>
      <c r="E153" s="71"/>
      <c r="F153" s="71"/>
      <c r="G153" s="83"/>
      <c r="H153" s="71"/>
      <c r="I153" s="71"/>
      <c r="J153" s="71"/>
      <c r="K153" s="55"/>
      <c r="L153" s="55"/>
      <c r="M153" s="55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60"/>
    </row>
    <row r="154" spans="2:28" x14ac:dyDescent="0.25">
      <c r="B154" s="61"/>
      <c r="C154" s="54"/>
      <c r="D154" s="71"/>
      <c r="E154" s="71"/>
      <c r="F154" s="71"/>
      <c r="G154" s="83"/>
      <c r="H154" s="71"/>
      <c r="I154" s="71"/>
      <c r="J154" s="71"/>
      <c r="K154" s="55"/>
      <c r="L154" s="55"/>
      <c r="M154" s="55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3"/>
    </row>
    <row r="155" spans="2:28" x14ac:dyDescent="0.25">
      <c r="B155" s="61"/>
      <c r="C155" s="54"/>
      <c r="D155" s="71"/>
      <c r="E155" s="71"/>
      <c r="F155" s="71"/>
      <c r="G155" s="83"/>
      <c r="H155" s="71"/>
      <c r="I155" s="71"/>
      <c r="J155" s="71"/>
      <c r="K155" s="55"/>
      <c r="L155" s="55"/>
      <c r="M155" s="55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3"/>
    </row>
    <row r="156" spans="2:28" x14ac:dyDescent="0.25">
      <c r="B156" s="61"/>
      <c r="C156" s="54"/>
      <c r="D156" s="71"/>
      <c r="E156" s="71"/>
      <c r="F156" s="71"/>
      <c r="G156" s="83"/>
      <c r="H156" s="71"/>
      <c r="I156" s="71"/>
      <c r="J156" s="71"/>
      <c r="K156" s="55"/>
      <c r="L156" s="55"/>
      <c r="M156" s="55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3"/>
    </row>
    <row r="157" spans="2:28" x14ac:dyDescent="0.25">
      <c r="B157" s="61"/>
      <c r="C157" s="54"/>
      <c r="D157" s="71"/>
      <c r="E157" s="71"/>
      <c r="F157" s="71"/>
      <c r="G157" s="83"/>
      <c r="H157" s="71"/>
      <c r="I157" s="71"/>
      <c r="J157" s="71"/>
      <c r="K157" s="55"/>
      <c r="L157" s="55"/>
      <c r="M157" s="55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3"/>
    </row>
    <row r="158" spans="2:28" x14ac:dyDescent="0.25">
      <c r="B158" s="61"/>
      <c r="C158" s="54"/>
      <c r="D158" s="71"/>
      <c r="E158" s="71"/>
      <c r="F158" s="71"/>
      <c r="G158" s="83"/>
      <c r="H158" s="71"/>
      <c r="I158" s="71"/>
      <c r="J158" s="71"/>
      <c r="K158" s="55"/>
      <c r="L158" s="55"/>
      <c r="M158" s="55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3"/>
    </row>
    <row r="159" spans="2:28" x14ac:dyDescent="0.25">
      <c r="B159" s="61"/>
      <c r="C159" s="54"/>
      <c r="D159" s="71"/>
      <c r="E159" s="71"/>
      <c r="F159" s="71"/>
      <c r="G159" s="83"/>
      <c r="H159" s="71"/>
      <c r="I159" s="71"/>
      <c r="J159" s="71"/>
      <c r="K159" s="55"/>
      <c r="L159" s="55"/>
      <c r="M159" s="55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3"/>
    </row>
    <row r="160" spans="2:28" x14ac:dyDescent="0.25">
      <c r="B160" s="61"/>
      <c r="C160" s="54"/>
      <c r="D160" s="71"/>
      <c r="E160" s="71"/>
      <c r="F160" s="71"/>
      <c r="G160" s="83"/>
      <c r="H160" s="71"/>
      <c r="I160" s="71"/>
      <c r="J160" s="71"/>
      <c r="K160" s="55"/>
      <c r="L160" s="55"/>
      <c r="M160" s="55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3"/>
    </row>
    <row r="161" spans="2:28" x14ac:dyDescent="0.25">
      <c r="B161" s="61"/>
      <c r="C161" s="54"/>
      <c r="D161" s="71"/>
      <c r="E161" s="71"/>
      <c r="F161" s="71"/>
      <c r="G161" s="83"/>
      <c r="H161" s="71"/>
      <c r="I161" s="71"/>
      <c r="J161" s="71"/>
      <c r="K161" s="55"/>
      <c r="L161" s="55"/>
      <c r="M161" s="55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3"/>
    </row>
    <row r="162" spans="2:28" x14ac:dyDescent="0.25">
      <c r="B162" s="61"/>
      <c r="C162" s="54"/>
      <c r="D162" s="71"/>
      <c r="E162" s="71"/>
      <c r="F162" s="71"/>
      <c r="G162" s="83"/>
      <c r="H162" s="71"/>
      <c r="I162" s="71"/>
      <c r="J162" s="71"/>
      <c r="K162" s="55"/>
      <c r="L162" s="55"/>
      <c r="M162" s="55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3"/>
    </row>
    <row r="163" spans="2:28" x14ac:dyDescent="0.25">
      <c r="B163" s="61"/>
      <c r="C163" s="54"/>
      <c r="D163" s="71"/>
      <c r="E163" s="71"/>
      <c r="F163" s="71"/>
      <c r="G163" s="83"/>
      <c r="H163" s="71"/>
      <c r="I163" s="71"/>
      <c r="J163" s="71"/>
      <c r="K163" s="55"/>
      <c r="L163" s="55"/>
      <c r="M163" s="55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3"/>
    </row>
    <row r="164" spans="2:28" x14ac:dyDescent="0.25">
      <c r="B164" s="61"/>
      <c r="C164" s="54"/>
      <c r="D164" s="71"/>
      <c r="E164" s="71"/>
      <c r="F164" s="71"/>
      <c r="G164" s="83"/>
      <c r="H164" s="71"/>
      <c r="I164" s="71"/>
      <c r="J164" s="71"/>
      <c r="K164" s="55"/>
      <c r="L164" s="55"/>
      <c r="M164" s="55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3"/>
    </row>
    <row r="165" spans="2:28" x14ac:dyDescent="0.25">
      <c r="B165" s="61"/>
      <c r="C165" s="54"/>
      <c r="D165" s="71"/>
      <c r="E165" s="71"/>
      <c r="F165" s="71"/>
      <c r="G165" s="83"/>
      <c r="H165" s="71"/>
      <c r="I165" s="71"/>
      <c r="J165" s="71"/>
      <c r="K165" s="55"/>
      <c r="L165" s="55"/>
      <c r="M165" s="55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3"/>
    </row>
    <row r="166" spans="2:28" x14ac:dyDescent="0.25">
      <c r="B166" s="61"/>
      <c r="C166" s="54"/>
      <c r="D166" s="71"/>
      <c r="E166" s="71"/>
      <c r="F166" s="71"/>
      <c r="G166" s="83"/>
      <c r="H166" s="71"/>
      <c r="I166" s="71"/>
      <c r="J166" s="71"/>
      <c r="K166" s="55"/>
      <c r="L166" s="55"/>
      <c r="M166" s="55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3"/>
    </row>
    <row r="167" spans="2:28" x14ac:dyDescent="0.25">
      <c r="B167" s="61"/>
      <c r="C167" s="54"/>
      <c r="D167" s="71"/>
      <c r="E167" s="71"/>
      <c r="F167" s="71"/>
      <c r="G167" s="83"/>
      <c r="H167" s="71"/>
      <c r="I167" s="71"/>
      <c r="J167" s="71"/>
      <c r="K167" s="55"/>
      <c r="L167" s="55"/>
      <c r="M167" s="55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3"/>
    </row>
    <row r="168" spans="2:28" x14ac:dyDescent="0.25">
      <c r="B168" s="61"/>
      <c r="C168" s="54"/>
      <c r="D168" s="71"/>
      <c r="E168" s="71"/>
      <c r="F168" s="71"/>
      <c r="G168" s="83"/>
      <c r="H168" s="71"/>
      <c r="I168" s="71"/>
      <c r="J168" s="71"/>
      <c r="K168" s="55"/>
      <c r="L168" s="55"/>
      <c r="M168" s="55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3"/>
    </row>
    <row r="169" spans="2:28" x14ac:dyDescent="0.25">
      <c r="B169" s="61"/>
      <c r="C169" s="54"/>
      <c r="D169" s="71"/>
      <c r="E169" s="71"/>
      <c r="F169" s="71"/>
      <c r="G169" s="83"/>
      <c r="H169" s="71"/>
      <c r="I169" s="71"/>
      <c r="J169" s="71"/>
      <c r="K169" s="55"/>
      <c r="L169" s="55"/>
      <c r="M169" s="55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3"/>
    </row>
    <row r="170" spans="2:28" x14ac:dyDescent="0.25">
      <c r="B170" s="61"/>
      <c r="C170" s="54"/>
      <c r="D170" s="71"/>
      <c r="E170" s="71"/>
      <c r="F170" s="71"/>
      <c r="G170" s="83"/>
      <c r="H170" s="71"/>
      <c r="I170" s="71"/>
      <c r="J170" s="71"/>
      <c r="K170" s="55"/>
      <c r="L170" s="55"/>
      <c r="M170" s="55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3"/>
    </row>
    <row r="171" spans="2:28" s="15" customFormat="1" x14ac:dyDescent="0.2">
      <c r="B171" s="58"/>
      <c r="C171" s="54"/>
      <c r="D171" s="71"/>
      <c r="E171" s="71"/>
      <c r="F171" s="71"/>
      <c r="G171" s="83"/>
      <c r="H171" s="71"/>
      <c r="I171" s="71"/>
      <c r="J171" s="71"/>
      <c r="K171" s="55"/>
      <c r="L171" s="55"/>
      <c r="M171" s="55"/>
      <c r="N171" s="59"/>
      <c r="O171" s="59"/>
      <c r="P171" s="59"/>
      <c r="Q171" s="59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60"/>
    </row>
    <row r="172" spans="2:28" x14ac:dyDescent="0.25">
      <c r="B172" s="61"/>
      <c r="C172" s="54"/>
      <c r="D172" s="71"/>
      <c r="E172" s="71"/>
      <c r="F172" s="71"/>
      <c r="G172" s="83"/>
      <c r="H172" s="71"/>
      <c r="I172" s="71"/>
      <c r="J172" s="71"/>
      <c r="K172" s="55"/>
      <c r="L172" s="55"/>
      <c r="M172" s="55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3"/>
    </row>
    <row r="173" spans="2:28" x14ac:dyDescent="0.25">
      <c r="B173" s="61"/>
      <c r="C173" s="54"/>
      <c r="D173" s="71"/>
      <c r="E173" s="71"/>
      <c r="F173" s="71"/>
      <c r="G173" s="83"/>
      <c r="H173" s="71"/>
      <c r="I173" s="71"/>
      <c r="J173" s="71"/>
      <c r="K173" s="55"/>
      <c r="L173" s="55"/>
      <c r="M173" s="55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3"/>
    </row>
    <row r="174" spans="2:28" x14ac:dyDescent="0.25">
      <c r="B174" s="61"/>
      <c r="C174" s="54"/>
      <c r="D174" s="71"/>
      <c r="E174" s="71"/>
      <c r="F174" s="71"/>
      <c r="G174" s="83"/>
      <c r="H174" s="71"/>
      <c r="I174" s="71"/>
      <c r="J174" s="71"/>
      <c r="K174" s="55"/>
      <c r="L174" s="55"/>
      <c r="M174" s="55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3"/>
    </row>
    <row r="175" spans="2:28" x14ac:dyDescent="0.25">
      <c r="B175" s="61"/>
      <c r="C175" s="54"/>
      <c r="D175" s="71"/>
      <c r="E175" s="71"/>
      <c r="F175" s="71"/>
      <c r="G175" s="83"/>
      <c r="H175" s="71"/>
      <c r="I175" s="71"/>
      <c r="J175" s="71"/>
      <c r="K175" s="55"/>
      <c r="L175" s="55"/>
      <c r="M175" s="55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3"/>
    </row>
    <row r="176" spans="2:28" x14ac:dyDescent="0.25">
      <c r="B176" s="61"/>
      <c r="C176" s="54"/>
      <c r="D176" s="71"/>
      <c r="E176" s="71"/>
      <c r="F176" s="71"/>
      <c r="G176" s="83"/>
      <c r="H176" s="71"/>
      <c r="I176" s="71"/>
      <c r="J176" s="71"/>
      <c r="K176" s="55"/>
      <c r="L176" s="55"/>
      <c r="M176" s="55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3"/>
    </row>
    <row r="177" spans="2:28" x14ac:dyDescent="0.25">
      <c r="B177" s="61"/>
      <c r="C177" s="54"/>
      <c r="D177" s="71"/>
      <c r="E177" s="71"/>
      <c r="F177" s="71"/>
      <c r="G177" s="83"/>
      <c r="H177" s="71"/>
      <c r="I177" s="71"/>
      <c r="J177" s="71"/>
      <c r="K177" s="55"/>
      <c r="L177" s="55"/>
      <c r="M177" s="55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3"/>
    </row>
    <row r="178" spans="2:28" x14ac:dyDescent="0.25">
      <c r="B178" s="61"/>
      <c r="C178" s="54"/>
      <c r="D178" s="71"/>
      <c r="E178" s="71"/>
      <c r="F178" s="71"/>
      <c r="G178" s="83"/>
      <c r="H178" s="71"/>
      <c r="I178" s="71"/>
      <c r="J178" s="71"/>
      <c r="K178" s="55"/>
      <c r="L178" s="55"/>
      <c r="M178" s="55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3"/>
    </row>
    <row r="179" spans="2:28" x14ac:dyDescent="0.25">
      <c r="B179" s="61"/>
      <c r="C179" s="54"/>
      <c r="D179" s="71"/>
      <c r="E179" s="71"/>
      <c r="F179" s="71"/>
      <c r="G179" s="83"/>
      <c r="H179" s="71"/>
      <c r="I179" s="71"/>
      <c r="J179" s="71"/>
      <c r="K179" s="55"/>
      <c r="L179" s="55"/>
      <c r="M179" s="55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3"/>
    </row>
    <row r="180" spans="2:28" x14ac:dyDescent="0.25">
      <c r="B180" s="61"/>
      <c r="C180" s="54"/>
      <c r="D180" s="71"/>
      <c r="E180" s="71"/>
      <c r="F180" s="71"/>
      <c r="G180" s="83"/>
      <c r="H180" s="71"/>
      <c r="I180" s="71"/>
      <c r="J180" s="71"/>
      <c r="K180" s="55"/>
      <c r="L180" s="55"/>
      <c r="M180" s="55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3"/>
    </row>
    <row r="181" spans="2:28" x14ac:dyDescent="0.25">
      <c r="B181" s="61"/>
      <c r="C181" s="54"/>
      <c r="D181" s="71"/>
      <c r="E181" s="71"/>
      <c r="F181" s="71"/>
      <c r="G181" s="83"/>
      <c r="H181" s="71"/>
      <c r="I181" s="71"/>
      <c r="J181" s="71"/>
      <c r="K181" s="55"/>
      <c r="L181" s="55"/>
      <c r="M181" s="55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3"/>
    </row>
    <row r="182" spans="2:28" x14ac:dyDescent="0.25">
      <c r="B182" s="61"/>
      <c r="C182" s="54"/>
      <c r="D182" s="71"/>
      <c r="E182" s="71"/>
      <c r="F182" s="71"/>
      <c r="G182" s="83"/>
      <c r="H182" s="71"/>
      <c r="I182" s="71"/>
      <c r="J182" s="71"/>
      <c r="K182" s="55"/>
      <c r="L182" s="55"/>
      <c r="M182" s="55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3"/>
    </row>
    <row r="183" spans="2:28" x14ac:dyDescent="0.25">
      <c r="B183" s="61"/>
      <c r="C183" s="54"/>
      <c r="D183" s="71"/>
      <c r="E183" s="71"/>
      <c r="F183" s="71"/>
      <c r="G183" s="83"/>
      <c r="H183" s="71"/>
      <c r="I183" s="71"/>
      <c r="J183" s="71"/>
      <c r="K183" s="55"/>
      <c r="L183" s="55"/>
      <c r="M183" s="55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3"/>
    </row>
    <row r="184" spans="2:28" x14ac:dyDescent="0.25">
      <c r="B184" s="61"/>
      <c r="C184" s="54"/>
      <c r="D184" s="71"/>
      <c r="E184" s="71"/>
      <c r="F184" s="71"/>
      <c r="G184" s="83"/>
      <c r="H184" s="71"/>
      <c r="I184" s="71"/>
      <c r="J184" s="71"/>
      <c r="K184" s="55"/>
      <c r="L184" s="55"/>
      <c r="M184" s="55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3"/>
    </row>
    <row r="185" spans="2:28" x14ac:dyDescent="0.25">
      <c r="B185" s="61"/>
      <c r="C185" s="54"/>
      <c r="D185" s="71"/>
      <c r="E185" s="71"/>
      <c r="F185" s="71"/>
      <c r="G185" s="83"/>
      <c r="H185" s="71"/>
      <c r="I185" s="71"/>
      <c r="J185" s="71"/>
      <c r="K185" s="55"/>
      <c r="L185" s="55"/>
      <c r="M185" s="55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3"/>
    </row>
    <row r="186" spans="2:28" x14ac:dyDescent="0.25">
      <c r="B186" s="61"/>
      <c r="C186" s="54"/>
      <c r="D186" s="71"/>
      <c r="E186" s="71"/>
      <c r="F186" s="71"/>
      <c r="G186" s="83"/>
      <c r="H186" s="71"/>
      <c r="I186" s="71"/>
      <c r="J186" s="71"/>
      <c r="K186" s="55"/>
      <c r="L186" s="55"/>
      <c r="M186" s="55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3"/>
    </row>
    <row r="187" spans="2:28" x14ac:dyDescent="0.25">
      <c r="B187" s="61"/>
      <c r="C187" s="54"/>
      <c r="D187" s="71"/>
      <c r="E187" s="71"/>
      <c r="F187" s="71"/>
      <c r="G187" s="83"/>
      <c r="H187" s="71"/>
      <c r="I187" s="71"/>
      <c r="J187" s="71"/>
      <c r="K187" s="55"/>
      <c r="L187" s="55"/>
      <c r="M187" s="55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3"/>
    </row>
    <row r="188" spans="2:28" ht="15.75" thickBot="1" x14ac:dyDescent="0.3">
      <c r="B188" s="66"/>
      <c r="C188" s="54"/>
      <c r="D188" s="71"/>
      <c r="E188" s="71"/>
      <c r="F188" s="71"/>
      <c r="G188" s="83"/>
      <c r="H188" s="71"/>
      <c r="I188" s="71"/>
      <c r="J188" s="71"/>
      <c r="K188" s="55"/>
      <c r="L188" s="55"/>
      <c r="M188" s="55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8"/>
    </row>
    <row r="189" spans="2:28" ht="15.75" thickTop="1" x14ac:dyDescent="0.25">
      <c r="C189" s="3"/>
      <c r="D189" s="52"/>
      <c r="E189" s="52"/>
      <c r="F189" s="52"/>
      <c r="G189" s="84"/>
      <c r="H189" s="52"/>
      <c r="I189" s="52"/>
      <c r="J189" s="52"/>
      <c r="K189" s="2"/>
      <c r="L189" s="2"/>
      <c r="M189" s="2"/>
    </row>
    <row r="190" spans="2:28" x14ac:dyDescent="0.25">
      <c r="C190" s="3"/>
      <c r="D190" s="52"/>
      <c r="E190" s="52"/>
      <c r="F190" s="52"/>
      <c r="G190" s="84"/>
      <c r="H190" s="52"/>
      <c r="I190" s="52"/>
      <c r="J190" s="52"/>
      <c r="K190" s="2"/>
      <c r="L190" s="2"/>
      <c r="M190" s="2"/>
    </row>
    <row r="191" spans="2:28" x14ac:dyDescent="0.25">
      <c r="C191" s="3"/>
      <c r="D191" s="52"/>
      <c r="E191" s="52"/>
      <c r="F191" s="52"/>
      <c r="G191" s="84"/>
      <c r="H191" s="52"/>
      <c r="I191" s="52"/>
      <c r="J191" s="52"/>
      <c r="K191" s="2"/>
      <c r="L191" s="2"/>
      <c r="M191" s="2"/>
    </row>
    <row r="192" spans="2:28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42"/>
    </row>
    <row r="202" spans="3:3" x14ac:dyDescent="0.25">
      <c r="C202" s="42"/>
    </row>
    <row r="203" spans="3:3" x14ac:dyDescent="0.25">
      <c r="C203" s="42"/>
    </row>
    <row r="204" spans="3:3" x14ac:dyDescent="0.25">
      <c r="C204" s="42"/>
    </row>
    <row r="205" spans="3:3" x14ac:dyDescent="0.25">
      <c r="C205" s="42"/>
    </row>
    <row r="206" spans="3:3" x14ac:dyDescent="0.25">
      <c r="C206" s="42"/>
    </row>
    <row r="207" spans="3:3" x14ac:dyDescent="0.25">
      <c r="C207" s="42"/>
    </row>
    <row r="208" spans="3:3" x14ac:dyDescent="0.25">
      <c r="C208" s="42"/>
    </row>
    <row r="209" spans="3:3" x14ac:dyDescent="0.25">
      <c r="C209" s="42"/>
    </row>
    <row r="210" spans="3:3" x14ac:dyDescent="0.25">
      <c r="C210" s="42"/>
    </row>
    <row r="211" spans="3:3" x14ac:dyDescent="0.25">
      <c r="C211" s="42"/>
    </row>
    <row r="212" spans="3:3" x14ac:dyDescent="0.25">
      <c r="C212" s="42"/>
    </row>
    <row r="213" spans="3:3" x14ac:dyDescent="0.25">
      <c r="C213" s="42"/>
    </row>
    <row r="214" spans="3:3" x14ac:dyDescent="0.25">
      <c r="C214" s="42"/>
    </row>
    <row r="215" spans="3:3" x14ac:dyDescent="0.25">
      <c r="C215" s="42"/>
    </row>
    <row r="216" spans="3:3" x14ac:dyDescent="0.25">
      <c r="C216" s="42"/>
    </row>
    <row r="217" spans="3:3" x14ac:dyDescent="0.25">
      <c r="C217" s="42"/>
    </row>
    <row r="218" spans="3:3" x14ac:dyDescent="0.25">
      <c r="C218" s="42"/>
    </row>
    <row r="219" spans="3:3" x14ac:dyDescent="0.25">
      <c r="C219" s="42"/>
    </row>
    <row r="220" spans="3:3" x14ac:dyDescent="0.25">
      <c r="C220" s="42"/>
    </row>
    <row r="221" spans="3:3" x14ac:dyDescent="0.25">
      <c r="C221" s="42"/>
    </row>
    <row r="222" spans="3:3" x14ac:dyDescent="0.25">
      <c r="C222" s="42"/>
    </row>
    <row r="223" spans="3:3" x14ac:dyDescent="0.25">
      <c r="C223" s="42"/>
    </row>
    <row r="224" spans="3:3" x14ac:dyDescent="0.25">
      <c r="C224" s="42"/>
    </row>
    <row r="225" spans="3:3" x14ac:dyDescent="0.25">
      <c r="C225" s="42"/>
    </row>
    <row r="226" spans="3:3" x14ac:dyDescent="0.25">
      <c r="C226" s="42"/>
    </row>
    <row r="227" spans="3:3" x14ac:dyDescent="0.25">
      <c r="C227" s="42"/>
    </row>
  </sheetData>
  <mergeCells count="31">
    <mergeCell ref="D7:F7"/>
    <mergeCell ref="G7:G8"/>
    <mergeCell ref="N6:N8"/>
    <mergeCell ref="M7:M8"/>
    <mergeCell ref="L7:L8"/>
    <mergeCell ref="K7:K8"/>
    <mergeCell ref="J7:J8"/>
    <mergeCell ref="H6:J6"/>
    <mergeCell ref="K6:M6"/>
    <mergeCell ref="B3:G3"/>
    <mergeCell ref="T6:U6"/>
    <mergeCell ref="V6:W6"/>
    <mergeCell ref="T7:T8"/>
    <mergeCell ref="U7:U8"/>
    <mergeCell ref="V7:V8"/>
    <mergeCell ref="W7:W8"/>
    <mergeCell ref="I7:I8"/>
    <mergeCell ref="H7:H8"/>
    <mergeCell ref="O6:O8"/>
    <mergeCell ref="P7:Q7"/>
    <mergeCell ref="P6:S6"/>
    <mergeCell ref="R7:S7"/>
    <mergeCell ref="C6:C8"/>
    <mergeCell ref="B6:B8"/>
    <mergeCell ref="D6:G6"/>
    <mergeCell ref="I3:T3"/>
    <mergeCell ref="Z3:AB3"/>
    <mergeCell ref="X6:AA6"/>
    <mergeCell ref="X7:Y7"/>
    <mergeCell ref="Z7:AA7"/>
    <mergeCell ref="AB6:AB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V53"/>
  <sheetViews>
    <sheetView workbookViewId="0">
      <selection activeCell="S10" sqref="S10"/>
    </sheetView>
  </sheetViews>
  <sheetFormatPr defaultRowHeight="15" x14ac:dyDescent="0.25"/>
  <cols>
    <col min="2" max="2" width="5" bestFit="1" customWidth="1"/>
    <col min="3" max="4" width="25.140625" bestFit="1" customWidth="1"/>
    <col min="5" max="5" width="18.7109375" bestFit="1" customWidth="1"/>
    <col min="6" max="6" width="9" bestFit="1" customWidth="1"/>
    <col min="7" max="7" width="14.42578125" bestFit="1" customWidth="1"/>
    <col min="8" max="8" width="5.140625" bestFit="1" customWidth="1"/>
    <col min="9" max="9" width="13.42578125" bestFit="1" customWidth="1"/>
    <col min="10" max="10" width="9.28515625" bestFit="1" customWidth="1"/>
    <col min="11" max="11" width="6.28515625" bestFit="1" customWidth="1"/>
    <col min="12" max="12" width="21.140625" bestFit="1" customWidth="1"/>
    <col min="16" max="16" width="5" customWidth="1"/>
    <col min="17" max="17" width="8.28515625" customWidth="1"/>
    <col min="19" max="19" width="5" customWidth="1"/>
    <col min="20" max="20" width="18.7109375" customWidth="1"/>
    <col min="21" max="21" width="13.42578125" customWidth="1"/>
    <col min="22" max="22" width="9.28515625" customWidth="1"/>
  </cols>
  <sheetData>
    <row r="2" spans="2:22" x14ac:dyDescent="0.25">
      <c r="B2" t="s">
        <v>22</v>
      </c>
      <c r="C2" t="s">
        <v>51</v>
      </c>
      <c r="D2" t="s">
        <v>52</v>
      </c>
      <c r="E2" t="s">
        <v>53</v>
      </c>
      <c r="F2" t="s">
        <v>54</v>
      </c>
      <c r="G2" t="s">
        <v>30</v>
      </c>
      <c r="H2" t="s">
        <v>55</v>
      </c>
      <c r="I2" t="s">
        <v>56</v>
      </c>
      <c r="J2" t="s">
        <v>351</v>
      </c>
      <c r="K2" t="s">
        <v>352</v>
      </c>
      <c r="L2" t="s">
        <v>353</v>
      </c>
    </row>
    <row r="3" spans="2:22" x14ac:dyDescent="0.25">
      <c r="B3">
        <v>51</v>
      </c>
      <c r="C3" t="s">
        <v>57</v>
      </c>
      <c r="D3" t="s">
        <v>57</v>
      </c>
      <c r="E3" t="s">
        <v>58</v>
      </c>
      <c r="F3" t="s">
        <v>59</v>
      </c>
      <c r="G3" s="1">
        <v>45554.47215277778</v>
      </c>
      <c r="H3">
        <v>1</v>
      </c>
      <c r="I3" t="s">
        <v>60</v>
      </c>
      <c r="J3" t="s">
        <v>354</v>
      </c>
      <c r="K3">
        <v>3</v>
      </c>
    </row>
    <row r="4" spans="2:22" x14ac:dyDescent="0.25">
      <c r="B4">
        <v>52</v>
      </c>
      <c r="C4" t="s">
        <v>48</v>
      </c>
      <c r="D4" t="s">
        <v>48</v>
      </c>
      <c r="E4" t="s">
        <v>58</v>
      </c>
      <c r="F4" t="s">
        <v>59</v>
      </c>
      <c r="G4" s="1">
        <v>45554.47215277778</v>
      </c>
      <c r="H4">
        <v>2</v>
      </c>
      <c r="I4" t="s">
        <v>60</v>
      </c>
      <c r="J4" t="s">
        <v>354</v>
      </c>
      <c r="K4">
        <v>3</v>
      </c>
    </row>
    <row r="5" spans="2:22" x14ac:dyDescent="0.25">
      <c r="B5">
        <v>53</v>
      </c>
      <c r="C5" t="s">
        <v>61</v>
      </c>
      <c r="D5" t="s">
        <v>61</v>
      </c>
      <c r="E5" t="s">
        <v>58</v>
      </c>
      <c r="F5" t="s">
        <v>59</v>
      </c>
      <c r="G5" s="1">
        <v>45554.47215277778</v>
      </c>
      <c r="H5">
        <v>3</v>
      </c>
      <c r="I5" t="s">
        <v>60</v>
      </c>
      <c r="J5" t="s">
        <v>354</v>
      </c>
      <c r="K5">
        <v>3</v>
      </c>
    </row>
    <row r="6" spans="2:22" x14ac:dyDescent="0.25">
      <c r="B6">
        <v>54</v>
      </c>
      <c r="C6" t="s">
        <v>62</v>
      </c>
      <c r="D6" t="s">
        <v>62</v>
      </c>
      <c r="E6" t="s">
        <v>58</v>
      </c>
      <c r="F6" t="s">
        <v>59</v>
      </c>
      <c r="G6" s="1">
        <v>45554.47215277778</v>
      </c>
      <c r="H6">
        <v>4</v>
      </c>
      <c r="I6" t="s">
        <v>60</v>
      </c>
      <c r="J6" t="s">
        <v>354</v>
      </c>
      <c r="K6">
        <v>3</v>
      </c>
    </row>
    <row r="7" spans="2:22" x14ac:dyDescent="0.25">
      <c r="B7">
        <v>20</v>
      </c>
      <c r="C7" t="s">
        <v>83</v>
      </c>
      <c r="D7" t="s">
        <v>41</v>
      </c>
      <c r="E7" t="s">
        <v>84</v>
      </c>
      <c r="F7" t="s">
        <v>59</v>
      </c>
      <c r="G7" s="1">
        <v>45554.47215277778</v>
      </c>
      <c r="H7">
        <v>1</v>
      </c>
      <c r="I7" t="s">
        <v>355</v>
      </c>
      <c r="J7" t="s">
        <v>85</v>
      </c>
      <c r="K7">
        <v>1</v>
      </c>
    </row>
    <row r="8" spans="2:22" x14ac:dyDescent="0.25">
      <c r="B8">
        <v>21</v>
      </c>
      <c r="C8" t="s">
        <v>86</v>
      </c>
      <c r="D8" t="s">
        <v>45</v>
      </c>
      <c r="E8" t="s">
        <v>84</v>
      </c>
      <c r="F8" t="s">
        <v>59</v>
      </c>
      <c r="G8" s="1">
        <v>45554.47215277778</v>
      </c>
      <c r="H8">
        <v>2</v>
      </c>
      <c r="I8" t="s">
        <v>355</v>
      </c>
      <c r="J8" t="s">
        <v>85</v>
      </c>
      <c r="K8">
        <v>1</v>
      </c>
      <c r="P8" t="s">
        <v>22</v>
      </c>
      <c r="Q8" t="s">
        <v>127</v>
      </c>
      <c r="S8" t="s">
        <v>22</v>
      </c>
      <c r="T8" t="s">
        <v>127</v>
      </c>
      <c r="U8" t="s">
        <v>56</v>
      </c>
      <c r="V8" t="s">
        <v>351</v>
      </c>
    </row>
    <row r="9" spans="2:22" x14ac:dyDescent="0.25">
      <c r="B9">
        <v>23</v>
      </c>
      <c r="C9" t="s">
        <v>95</v>
      </c>
      <c r="D9" t="s">
        <v>96</v>
      </c>
      <c r="E9" t="s">
        <v>97</v>
      </c>
      <c r="F9" t="s">
        <v>59</v>
      </c>
      <c r="G9" s="1">
        <v>45554.47215277778</v>
      </c>
      <c r="H9">
        <v>1</v>
      </c>
      <c r="I9" t="s">
        <v>97</v>
      </c>
      <c r="J9" t="s">
        <v>85</v>
      </c>
      <c r="K9">
        <v>1</v>
      </c>
      <c r="P9">
        <v>1</v>
      </c>
      <c r="Q9" t="s">
        <v>360</v>
      </c>
      <c r="S9">
        <v>1</v>
      </c>
      <c r="T9" t="s">
        <v>82</v>
      </c>
      <c r="U9" t="s">
        <v>60</v>
      </c>
      <c r="V9" t="s">
        <v>354</v>
      </c>
    </row>
    <row r="10" spans="2:22" x14ac:dyDescent="0.25">
      <c r="B10">
        <v>24</v>
      </c>
      <c r="C10" t="s">
        <v>98</v>
      </c>
      <c r="D10" t="s">
        <v>99</v>
      </c>
      <c r="E10" t="s">
        <v>97</v>
      </c>
      <c r="F10" t="s">
        <v>59</v>
      </c>
      <c r="G10" s="1">
        <v>45554.47215277778</v>
      </c>
      <c r="H10">
        <v>2</v>
      </c>
      <c r="I10" t="s">
        <v>97</v>
      </c>
      <c r="J10" t="s">
        <v>85</v>
      </c>
      <c r="K10">
        <v>1</v>
      </c>
      <c r="P10">
        <v>2</v>
      </c>
      <c r="Q10" t="s">
        <v>361</v>
      </c>
      <c r="S10">
        <v>2</v>
      </c>
      <c r="T10" t="s">
        <v>67</v>
      </c>
      <c r="U10" t="s">
        <v>60</v>
      </c>
      <c r="V10" t="s">
        <v>354</v>
      </c>
    </row>
    <row r="11" spans="2:22" x14ac:dyDescent="0.25">
      <c r="B11">
        <v>36</v>
      </c>
      <c r="C11" t="s">
        <v>88</v>
      </c>
      <c r="D11" t="s">
        <v>89</v>
      </c>
      <c r="E11" t="s">
        <v>90</v>
      </c>
      <c r="F11" t="s">
        <v>59</v>
      </c>
      <c r="G11" s="1">
        <v>45554.47215277778</v>
      </c>
      <c r="H11">
        <v>1</v>
      </c>
      <c r="I11" t="s">
        <v>90</v>
      </c>
      <c r="J11" t="s">
        <v>85</v>
      </c>
      <c r="K11">
        <v>1</v>
      </c>
      <c r="S11">
        <v>3</v>
      </c>
      <c r="T11" t="s">
        <v>65</v>
      </c>
      <c r="U11" t="s">
        <v>60</v>
      </c>
      <c r="V11" t="s">
        <v>354</v>
      </c>
    </row>
    <row r="12" spans="2:22" x14ac:dyDescent="0.25">
      <c r="B12">
        <v>37</v>
      </c>
      <c r="C12" t="s">
        <v>91</v>
      </c>
      <c r="D12" t="s">
        <v>92</v>
      </c>
      <c r="E12" t="s">
        <v>90</v>
      </c>
      <c r="F12" t="s">
        <v>59</v>
      </c>
      <c r="G12" s="1">
        <v>45554.47215277778</v>
      </c>
      <c r="H12">
        <v>2</v>
      </c>
      <c r="I12" t="s">
        <v>90</v>
      </c>
      <c r="J12" t="s">
        <v>85</v>
      </c>
      <c r="K12">
        <v>1</v>
      </c>
      <c r="S12">
        <v>4</v>
      </c>
      <c r="T12" t="s">
        <v>121</v>
      </c>
      <c r="U12" t="s">
        <v>102</v>
      </c>
      <c r="V12" t="s">
        <v>354</v>
      </c>
    </row>
    <row r="13" spans="2:22" x14ac:dyDescent="0.25">
      <c r="B13">
        <v>38</v>
      </c>
      <c r="C13" t="s">
        <v>93</v>
      </c>
      <c r="D13" t="s">
        <v>94</v>
      </c>
      <c r="E13" t="s">
        <v>90</v>
      </c>
      <c r="F13" t="s">
        <v>59</v>
      </c>
      <c r="G13" s="1">
        <v>45554.47215277778</v>
      </c>
      <c r="H13">
        <v>3</v>
      </c>
      <c r="I13" t="s">
        <v>90</v>
      </c>
      <c r="J13" t="s">
        <v>85</v>
      </c>
      <c r="K13">
        <v>1</v>
      </c>
      <c r="S13">
        <v>5</v>
      </c>
      <c r="T13" t="s">
        <v>118</v>
      </c>
      <c r="U13" t="s">
        <v>102</v>
      </c>
      <c r="V13" t="s">
        <v>354</v>
      </c>
    </row>
    <row r="14" spans="2:22" x14ac:dyDescent="0.25">
      <c r="B14">
        <v>22</v>
      </c>
      <c r="C14" t="s">
        <v>87</v>
      </c>
      <c r="D14" t="s">
        <v>87</v>
      </c>
      <c r="E14" t="s">
        <v>356</v>
      </c>
      <c r="F14" t="s">
        <v>59</v>
      </c>
      <c r="G14" s="1">
        <v>45554.47215277778</v>
      </c>
      <c r="H14">
        <v>1</v>
      </c>
      <c r="I14" t="s">
        <v>356</v>
      </c>
      <c r="J14" t="s">
        <v>85</v>
      </c>
      <c r="K14">
        <v>1</v>
      </c>
      <c r="S14">
        <v>6</v>
      </c>
      <c r="T14" t="s">
        <v>58</v>
      </c>
      <c r="U14" t="s">
        <v>60</v>
      </c>
      <c r="V14" t="s">
        <v>354</v>
      </c>
    </row>
    <row r="15" spans="2:22" x14ac:dyDescent="0.25">
      <c r="B15">
        <v>25</v>
      </c>
      <c r="C15" t="s">
        <v>100</v>
      </c>
      <c r="D15" t="s">
        <v>100</v>
      </c>
      <c r="E15" t="s">
        <v>101</v>
      </c>
      <c r="F15" t="s">
        <v>59</v>
      </c>
      <c r="G15" s="1">
        <v>45554.47215277778</v>
      </c>
      <c r="H15">
        <v>1</v>
      </c>
      <c r="I15" t="s">
        <v>102</v>
      </c>
      <c r="J15" t="s">
        <v>354</v>
      </c>
      <c r="K15">
        <v>2</v>
      </c>
      <c r="S15">
        <v>7</v>
      </c>
      <c r="T15" t="s">
        <v>77</v>
      </c>
      <c r="U15" t="s">
        <v>60</v>
      </c>
      <c r="V15" t="s">
        <v>354</v>
      </c>
    </row>
    <row r="16" spans="2:22" x14ac:dyDescent="0.25">
      <c r="B16">
        <v>26</v>
      </c>
      <c r="C16" t="s">
        <v>103</v>
      </c>
      <c r="D16" t="s">
        <v>103</v>
      </c>
      <c r="E16" t="s">
        <v>101</v>
      </c>
      <c r="F16" t="s">
        <v>59</v>
      </c>
      <c r="G16" s="1">
        <v>45554.47215277778</v>
      </c>
      <c r="H16">
        <v>2</v>
      </c>
      <c r="I16" t="s">
        <v>102</v>
      </c>
      <c r="J16" t="s">
        <v>354</v>
      </c>
      <c r="K16">
        <v>2</v>
      </c>
      <c r="S16">
        <v>8</v>
      </c>
      <c r="T16" t="s">
        <v>90</v>
      </c>
      <c r="U16" t="s">
        <v>90</v>
      </c>
      <c r="V16" t="s">
        <v>85</v>
      </c>
    </row>
    <row r="17" spans="2:22" x14ac:dyDescent="0.25">
      <c r="B17">
        <v>27</v>
      </c>
      <c r="C17" t="s">
        <v>104</v>
      </c>
      <c r="D17" t="s">
        <v>104</v>
      </c>
      <c r="E17" t="s">
        <v>101</v>
      </c>
      <c r="F17" t="s">
        <v>59</v>
      </c>
      <c r="G17" s="1">
        <v>45554.47215277778</v>
      </c>
      <c r="H17">
        <v>3</v>
      </c>
      <c r="I17" t="s">
        <v>102</v>
      </c>
      <c r="J17" t="s">
        <v>354</v>
      </c>
      <c r="K17">
        <v>2</v>
      </c>
      <c r="S17">
        <v>9</v>
      </c>
      <c r="T17" t="s">
        <v>112</v>
      </c>
      <c r="U17" t="s">
        <v>102</v>
      </c>
      <c r="V17" t="s">
        <v>354</v>
      </c>
    </row>
    <row r="18" spans="2:22" x14ac:dyDescent="0.25">
      <c r="B18">
        <v>28</v>
      </c>
      <c r="C18" t="s">
        <v>105</v>
      </c>
      <c r="D18" t="s">
        <v>105</v>
      </c>
      <c r="E18" t="s">
        <v>101</v>
      </c>
      <c r="F18" t="s">
        <v>59</v>
      </c>
      <c r="G18" s="1">
        <v>45554.47215277778</v>
      </c>
      <c r="H18">
        <v>4</v>
      </c>
      <c r="I18" t="s">
        <v>102</v>
      </c>
      <c r="J18" t="s">
        <v>354</v>
      </c>
      <c r="K18">
        <v>2</v>
      </c>
      <c r="S18">
        <v>10</v>
      </c>
      <c r="T18" t="s">
        <v>356</v>
      </c>
      <c r="U18" t="s">
        <v>356</v>
      </c>
      <c r="V18" t="s">
        <v>85</v>
      </c>
    </row>
    <row r="19" spans="2:22" x14ac:dyDescent="0.25">
      <c r="B19">
        <v>29</v>
      </c>
      <c r="C19" t="s">
        <v>106</v>
      </c>
      <c r="D19" t="s">
        <v>106</v>
      </c>
      <c r="E19" t="s">
        <v>101</v>
      </c>
      <c r="F19" t="s">
        <v>59</v>
      </c>
      <c r="G19" s="1">
        <v>45554.47215277778</v>
      </c>
      <c r="H19">
        <v>5</v>
      </c>
      <c r="I19" t="s">
        <v>102</v>
      </c>
      <c r="J19" t="s">
        <v>354</v>
      </c>
      <c r="K19">
        <v>2</v>
      </c>
      <c r="S19">
        <v>11</v>
      </c>
      <c r="T19" t="s">
        <v>97</v>
      </c>
      <c r="U19" t="s">
        <v>97</v>
      </c>
      <c r="V19" t="s">
        <v>85</v>
      </c>
    </row>
    <row r="20" spans="2:22" x14ac:dyDescent="0.25">
      <c r="B20">
        <v>30</v>
      </c>
      <c r="C20" t="s">
        <v>47</v>
      </c>
      <c r="D20" t="s">
        <v>47</v>
      </c>
      <c r="E20" t="s">
        <v>101</v>
      </c>
      <c r="F20" t="s">
        <v>59</v>
      </c>
      <c r="G20" s="1">
        <v>45554.47215277778</v>
      </c>
      <c r="H20">
        <v>6</v>
      </c>
      <c r="I20" t="s">
        <v>102</v>
      </c>
      <c r="J20" t="s">
        <v>354</v>
      </c>
      <c r="K20">
        <v>2</v>
      </c>
      <c r="S20">
        <v>12</v>
      </c>
      <c r="T20" t="s">
        <v>101</v>
      </c>
      <c r="U20" t="s">
        <v>102</v>
      </c>
      <c r="V20" t="s">
        <v>354</v>
      </c>
    </row>
    <row r="21" spans="2:22" x14ac:dyDescent="0.25">
      <c r="B21">
        <v>31</v>
      </c>
      <c r="C21" t="s">
        <v>107</v>
      </c>
      <c r="D21" t="s">
        <v>107</v>
      </c>
      <c r="E21" t="s">
        <v>101</v>
      </c>
      <c r="F21" t="s">
        <v>59</v>
      </c>
      <c r="G21" s="1">
        <v>45554.47215277778</v>
      </c>
      <c r="H21">
        <v>7</v>
      </c>
      <c r="I21" t="s">
        <v>102</v>
      </c>
      <c r="J21" t="s">
        <v>354</v>
      </c>
      <c r="K21">
        <v>2</v>
      </c>
      <c r="S21">
        <v>13</v>
      </c>
      <c r="T21" t="s">
        <v>84</v>
      </c>
      <c r="U21" t="s">
        <v>355</v>
      </c>
      <c r="V21" t="s">
        <v>85</v>
      </c>
    </row>
    <row r="22" spans="2:22" x14ac:dyDescent="0.25">
      <c r="B22">
        <v>32</v>
      </c>
      <c r="C22" t="s">
        <v>108</v>
      </c>
      <c r="D22" t="s">
        <v>108</v>
      </c>
      <c r="E22" t="s">
        <v>101</v>
      </c>
      <c r="F22" t="s">
        <v>59</v>
      </c>
      <c r="G22" s="1">
        <v>45554.47215277778</v>
      </c>
      <c r="H22">
        <v>8</v>
      </c>
      <c r="I22" t="s">
        <v>102</v>
      </c>
      <c r="J22" t="s">
        <v>354</v>
      </c>
      <c r="K22">
        <v>2</v>
      </c>
    </row>
    <row r="23" spans="2:22" x14ac:dyDescent="0.25">
      <c r="B23">
        <v>33</v>
      </c>
      <c r="C23" t="s">
        <v>109</v>
      </c>
      <c r="D23" t="s">
        <v>109</v>
      </c>
      <c r="E23" t="s">
        <v>101</v>
      </c>
      <c r="F23" t="s">
        <v>59</v>
      </c>
      <c r="G23" s="1">
        <v>45554.47215277778</v>
      </c>
      <c r="H23">
        <v>9</v>
      </c>
      <c r="I23" t="s">
        <v>102</v>
      </c>
      <c r="J23" t="s">
        <v>354</v>
      </c>
      <c r="K23">
        <v>2</v>
      </c>
    </row>
    <row r="24" spans="2:22" x14ac:dyDescent="0.25">
      <c r="B24">
        <v>34</v>
      </c>
      <c r="C24" t="s">
        <v>110</v>
      </c>
      <c r="D24" t="s">
        <v>110</v>
      </c>
      <c r="E24" t="s">
        <v>101</v>
      </c>
      <c r="F24" t="s">
        <v>59</v>
      </c>
      <c r="G24" s="1">
        <v>45554.47215277778</v>
      </c>
      <c r="H24">
        <v>10</v>
      </c>
      <c r="I24" t="s">
        <v>102</v>
      </c>
      <c r="J24" t="s">
        <v>354</v>
      </c>
      <c r="K24">
        <v>2</v>
      </c>
    </row>
    <row r="25" spans="2:22" x14ac:dyDescent="0.25">
      <c r="B25">
        <v>35</v>
      </c>
      <c r="C25" t="s">
        <v>111</v>
      </c>
      <c r="D25" t="s">
        <v>111</v>
      </c>
      <c r="E25" t="s">
        <v>112</v>
      </c>
      <c r="F25" t="s">
        <v>59</v>
      </c>
      <c r="G25" s="1">
        <v>45554.47215277778</v>
      </c>
      <c r="H25">
        <v>1</v>
      </c>
      <c r="I25" t="s">
        <v>102</v>
      </c>
      <c r="J25" t="s">
        <v>354</v>
      </c>
      <c r="K25">
        <v>2</v>
      </c>
    </row>
    <row r="26" spans="2:22" x14ac:dyDescent="0.25">
      <c r="B26">
        <v>39</v>
      </c>
      <c r="C26" t="s">
        <v>113</v>
      </c>
      <c r="D26" t="s">
        <v>113</v>
      </c>
      <c r="E26" t="s">
        <v>112</v>
      </c>
      <c r="F26" t="s">
        <v>59</v>
      </c>
      <c r="G26" s="1">
        <v>45554.47215277778</v>
      </c>
      <c r="H26">
        <v>2</v>
      </c>
      <c r="I26" t="s">
        <v>102</v>
      </c>
      <c r="J26" t="s">
        <v>354</v>
      </c>
      <c r="K26">
        <v>2</v>
      </c>
    </row>
    <row r="27" spans="2:22" x14ac:dyDescent="0.25">
      <c r="B27">
        <v>40</v>
      </c>
      <c r="C27" t="s">
        <v>114</v>
      </c>
      <c r="D27" t="s">
        <v>114</v>
      </c>
      <c r="E27" t="s">
        <v>112</v>
      </c>
      <c r="F27" t="s">
        <v>59</v>
      </c>
      <c r="G27" s="1">
        <v>45554.47215277778</v>
      </c>
      <c r="H27">
        <v>3</v>
      </c>
      <c r="I27" t="s">
        <v>102</v>
      </c>
      <c r="J27" t="s">
        <v>354</v>
      </c>
      <c r="K27">
        <v>2</v>
      </c>
    </row>
    <row r="28" spans="2:22" x14ac:dyDescent="0.25">
      <c r="B28">
        <v>41</v>
      </c>
      <c r="C28" t="s">
        <v>115</v>
      </c>
      <c r="D28" t="s">
        <v>115</v>
      </c>
      <c r="E28" t="s">
        <v>112</v>
      </c>
      <c r="F28" t="s">
        <v>59</v>
      </c>
      <c r="G28" s="1">
        <v>45554.47215277778</v>
      </c>
      <c r="H28">
        <v>4</v>
      </c>
      <c r="I28" t="s">
        <v>102</v>
      </c>
      <c r="J28" t="s">
        <v>354</v>
      </c>
      <c r="K28">
        <v>2</v>
      </c>
    </row>
    <row r="29" spans="2:22" x14ac:dyDescent="0.25">
      <c r="B29">
        <v>42</v>
      </c>
      <c r="C29" t="s">
        <v>116</v>
      </c>
      <c r="D29" t="s">
        <v>116</v>
      </c>
      <c r="E29" t="s">
        <v>112</v>
      </c>
      <c r="F29" t="s">
        <v>59</v>
      </c>
      <c r="G29" s="1">
        <v>45554.47215277778</v>
      </c>
      <c r="H29">
        <v>5</v>
      </c>
      <c r="I29" t="s">
        <v>102</v>
      </c>
      <c r="J29" t="s">
        <v>354</v>
      </c>
      <c r="K29">
        <v>2</v>
      </c>
    </row>
    <row r="30" spans="2:22" x14ac:dyDescent="0.25">
      <c r="B30">
        <v>43</v>
      </c>
      <c r="C30" t="s">
        <v>117</v>
      </c>
      <c r="D30" t="s">
        <v>117</v>
      </c>
      <c r="E30" t="s">
        <v>118</v>
      </c>
      <c r="F30" t="s">
        <v>59</v>
      </c>
      <c r="G30" s="1">
        <v>45554.47215277778</v>
      </c>
      <c r="H30">
        <v>1</v>
      </c>
      <c r="I30" t="s">
        <v>102</v>
      </c>
      <c r="J30" t="s">
        <v>354</v>
      </c>
      <c r="K30">
        <v>2</v>
      </c>
    </row>
    <row r="31" spans="2:22" x14ac:dyDescent="0.25">
      <c r="B31">
        <v>44</v>
      </c>
      <c r="C31" t="s">
        <v>119</v>
      </c>
      <c r="D31" t="s">
        <v>119</v>
      </c>
      <c r="E31" t="s">
        <v>118</v>
      </c>
      <c r="F31" t="s">
        <v>59</v>
      </c>
      <c r="G31" s="1">
        <v>45554.47215277778</v>
      </c>
      <c r="H31">
        <v>2</v>
      </c>
      <c r="I31" t="s">
        <v>102</v>
      </c>
      <c r="J31" t="s">
        <v>354</v>
      </c>
      <c r="K31">
        <v>2</v>
      </c>
    </row>
    <row r="32" spans="2:22" x14ac:dyDescent="0.25">
      <c r="B32">
        <v>45</v>
      </c>
      <c r="C32" t="s">
        <v>120</v>
      </c>
      <c r="D32" t="s">
        <v>120</v>
      </c>
      <c r="E32" t="s">
        <v>121</v>
      </c>
      <c r="F32" t="s">
        <v>59</v>
      </c>
      <c r="G32" s="1">
        <v>45554.47215277778</v>
      </c>
      <c r="H32">
        <v>1</v>
      </c>
      <c r="I32" t="s">
        <v>102</v>
      </c>
      <c r="J32" t="s">
        <v>354</v>
      </c>
      <c r="K32">
        <v>2</v>
      </c>
    </row>
    <row r="33" spans="2:11" x14ac:dyDescent="0.25">
      <c r="B33">
        <v>46</v>
      </c>
      <c r="C33" t="s">
        <v>122</v>
      </c>
      <c r="D33" t="s">
        <v>122</v>
      </c>
      <c r="E33" t="s">
        <v>121</v>
      </c>
      <c r="F33" t="s">
        <v>59</v>
      </c>
      <c r="G33" s="1">
        <v>45554.47215277778</v>
      </c>
      <c r="H33">
        <v>2</v>
      </c>
      <c r="I33" t="s">
        <v>102</v>
      </c>
      <c r="J33" t="s">
        <v>354</v>
      </c>
      <c r="K33">
        <v>2</v>
      </c>
    </row>
    <row r="34" spans="2:11" x14ac:dyDescent="0.25">
      <c r="B34">
        <v>47</v>
      </c>
      <c r="C34" t="s">
        <v>123</v>
      </c>
      <c r="D34" t="s">
        <v>123</v>
      </c>
      <c r="E34" t="s">
        <v>121</v>
      </c>
      <c r="F34" t="s">
        <v>59</v>
      </c>
      <c r="G34" s="1">
        <v>45554.47215277778</v>
      </c>
      <c r="H34">
        <v>3</v>
      </c>
      <c r="I34" t="s">
        <v>102</v>
      </c>
      <c r="J34" t="s">
        <v>354</v>
      </c>
      <c r="K34">
        <v>2</v>
      </c>
    </row>
    <row r="35" spans="2:11" x14ac:dyDescent="0.25">
      <c r="B35">
        <v>48</v>
      </c>
      <c r="C35" t="s">
        <v>124</v>
      </c>
      <c r="D35" t="s">
        <v>124</v>
      </c>
      <c r="E35" t="s">
        <v>121</v>
      </c>
      <c r="F35" t="s">
        <v>59</v>
      </c>
      <c r="G35" s="1">
        <v>45554.47215277778</v>
      </c>
      <c r="H35">
        <v>4</v>
      </c>
      <c r="I35" t="s">
        <v>102</v>
      </c>
      <c r="J35" t="s">
        <v>354</v>
      </c>
      <c r="K35">
        <v>2</v>
      </c>
    </row>
    <row r="36" spans="2:11" x14ac:dyDescent="0.25">
      <c r="B36">
        <v>49</v>
      </c>
      <c r="C36" t="s">
        <v>125</v>
      </c>
      <c r="D36" t="s">
        <v>125</v>
      </c>
      <c r="E36" t="s">
        <v>121</v>
      </c>
      <c r="F36" t="s">
        <v>59</v>
      </c>
      <c r="G36" s="1">
        <v>45554.47215277778</v>
      </c>
      <c r="H36">
        <v>5</v>
      </c>
      <c r="I36" t="s">
        <v>102</v>
      </c>
      <c r="J36" t="s">
        <v>354</v>
      </c>
      <c r="K36">
        <v>2</v>
      </c>
    </row>
    <row r="37" spans="2:11" x14ac:dyDescent="0.25">
      <c r="B37">
        <v>50</v>
      </c>
      <c r="C37" t="s">
        <v>126</v>
      </c>
      <c r="D37" t="s">
        <v>126</v>
      </c>
      <c r="E37" t="s">
        <v>121</v>
      </c>
      <c r="F37" t="s">
        <v>59</v>
      </c>
      <c r="G37" s="1">
        <v>45554.47215277778</v>
      </c>
      <c r="H37">
        <v>6</v>
      </c>
      <c r="I37" t="s">
        <v>102</v>
      </c>
      <c r="J37" t="s">
        <v>354</v>
      </c>
      <c r="K37">
        <v>2</v>
      </c>
    </row>
    <row r="38" spans="2:11" x14ac:dyDescent="0.25">
      <c r="B38">
        <v>55</v>
      </c>
      <c r="C38" t="s">
        <v>63</v>
      </c>
      <c r="D38" t="s">
        <v>63</v>
      </c>
      <c r="E38" t="s">
        <v>58</v>
      </c>
      <c r="F38" t="s">
        <v>59</v>
      </c>
      <c r="G38" s="1">
        <v>45554.47216435185</v>
      </c>
      <c r="H38">
        <v>5</v>
      </c>
      <c r="I38" t="s">
        <v>60</v>
      </c>
      <c r="J38" t="s">
        <v>354</v>
      </c>
      <c r="K38">
        <v>3</v>
      </c>
    </row>
    <row r="39" spans="2:11" x14ac:dyDescent="0.25">
      <c r="B39">
        <v>56</v>
      </c>
      <c r="C39" t="s">
        <v>64</v>
      </c>
      <c r="D39" t="s">
        <v>64</v>
      </c>
      <c r="E39" t="s">
        <v>65</v>
      </c>
      <c r="F39" t="s">
        <v>59</v>
      </c>
      <c r="G39" s="1">
        <v>45554.47216435185</v>
      </c>
      <c r="H39">
        <v>1</v>
      </c>
      <c r="I39" t="s">
        <v>60</v>
      </c>
      <c r="J39" t="s">
        <v>354</v>
      </c>
      <c r="K39">
        <v>3</v>
      </c>
    </row>
    <row r="40" spans="2:11" x14ac:dyDescent="0.25">
      <c r="B40">
        <v>57</v>
      </c>
      <c r="C40" t="s">
        <v>66</v>
      </c>
      <c r="D40" t="s">
        <v>66</v>
      </c>
      <c r="E40" t="s">
        <v>67</v>
      </c>
      <c r="F40" t="s">
        <v>59</v>
      </c>
      <c r="G40" s="1">
        <v>45554.47216435185</v>
      </c>
      <c r="H40">
        <v>1</v>
      </c>
      <c r="I40" t="s">
        <v>60</v>
      </c>
      <c r="J40" t="s">
        <v>354</v>
      </c>
      <c r="K40">
        <v>3</v>
      </c>
    </row>
    <row r="41" spans="2:11" x14ac:dyDescent="0.25">
      <c r="B41">
        <v>58</v>
      </c>
      <c r="C41" t="s">
        <v>68</v>
      </c>
      <c r="D41" t="s">
        <v>68</v>
      </c>
      <c r="E41" t="s">
        <v>67</v>
      </c>
      <c r="F41" t="s">
        <v>59</v>
      </c>
      <c r="G41" s="1">
        <v>45554.47216435185</v>
      </c>
      <c r="H41">
        <v>2</v>
      </c>
      <c r="I41" t="s">
        <v>60</v>
      </c>
      <c r="J41" t="s">
        <v>354</v>
      </c>
      <c r="K41">
        <v>3</v>
      </c>
    </row>
    <row r="42" spans="2:11" x14ac:dyDescent="0.25">
      <c r="B42">
        <v>59</v>
      </c>
      <c r="C42" t="s">
        <v>69</v>
      </c>
      <c r="D42" t="s">
        <v>69</v>
      </c>
      <c r="E42" t="s">
        <v>67</v>
      </c>
      <c r="F42" t="s">
        <v>59</v>
      </c>
      <c r="G42" s="1">
        <v>45554.47216435185</v>
      </c>
      <c r="H42">
        <v>3</v>
      </c>
      <c r="I42" t="s">
        <v>60</v>
      </c>
      <c r="J42" t="s">
        <v>354</v>
      </c>
      <c r="K42">
        <v>3</v>
      </c>
    </row>
    <row r="43" spans="2:11" x14ac:dyDescent="0.25">
      <c r="B43">
        <v>60</v>
      </c>
      <c r="C43" t="s">
        <v>70</v>
      </c>
      <c r="D43" t="s">
        <v>70</v>
      </c>
      <c r="E43" t="s">
        <v>67</v>
      </c>
      <c r="F43" t="s">
        <v>59</v>
      </c>
      <c r="G43" s="1">
        <v>45554.47216435185</v>
      </c>
      <c r="H43">
        <v>4</v>
      </c>
      <c r="I43" t="s">
        <v>60</v>
      </c>
      <c r="J43" t="s">
        <v>354</v>
      </c>
      <c r="K43">
        <v>3</v>
      </c>
    </row>
    <row r="44" spans="2:11" x14ac:dyDescent="0.25">
      <c r="B44">
        <v>61</v>
      </c>
      <c r="C44" t="s">
        <v>71</v>
      </c>
      <c r="D44" t="s">
        <v>71</v>
      </c>
      <c r="E44" t="s">
        <v>67</v>
      </c>
      <c r="F44" t="s">
        <v>59</v>
      </c>
      <c r="G44" s="1">
        <v>45554.47216435185</v>
      </c>
      <c r="H44">
        <v>5</v>
      </c>
      <c r="I44" t="s">
        <v>60</v>
      </c>
      <c r="J44" t="s">
        <v>354</v>
      </c>
      <c r="K44">
        <v>3</v>
      </c>
    </row>
    <row r="45" spans="2:11" x14ac:dyDescent="0.25">
      <c r="B45">
        <v>62</v>
      </c>
      <c r="C45" t="s">
        <v>72</v>
      </c>
      <c r="D45" t="s">
        <v>72</v>
      </c>
      <c r="E45" t="s">
        <v>67</v>
      </c>
      <c r="F45" t="s">
        <v>59</v>
      </c>
      <c r="G45" s="1">
        <v>45554.47216435185</v>
      </c>
      <c r="H45">
        <v>6</v>
      </c>
      <c r="I45" t="s">
        <v>60</v>
      </c>
      <c r="J45" t="s">
        <v>354</v>
      </c>
      <c r="K45">
        <v>3</v>
      </c>
    </row>
    <row r="46" spans="2:11" x14ac:dyDescent="0.25">
      <c r="B46">
        <v>63</v>
      </c>
      <c r="C46" t="s">
        <v>73</v>
      </c>
      <c r="D46" t="s">
        <v>73</v>
      </c>
      <c r="E46" t="s">
        <v>67</v>
      </c>
      <c r="F46" t="s">
        <v>59</v>
      </c>
      <c r="G46" s="1">
        <v>45554.47216435185</v>
      </c>
      <c r="H46">
        <v>7</v>
      </c>
      <c r="I46" t="s">
        <v>60</v>
      </c>
      <c r="J46" t="s">
        <v>354</v>
      </c>
      <c r="K46">
        <v>3</v>
      </c>
    </row>
    <row r="47" spans="2:11" x14ac:dyDescent="0.25">
      <c r="B47">
        <v>64</v>
      </c>
      <c r="C47" t="s">
        <v>74</v>
      </c>
      <c r="D47" t="s">
        <v>74</v>
      </c>
      <c r="E47" t="s">
        <v>67</v>
      </c>
      <c r="F47" t="s">
        <v>59</v>
      </c>
      <c r="G47" s="1">
        <v>45554.47216435185</v>
      </c>
      <c r="H47">
        <v>8</v>
      </c>
      <c r="I47" t="s">
        <v>60</v>
      </c>
      <c r="J47" t="s">
        <v>354</v>
      </c>
      <c r="K47">
        <v>3</v>
      </c>
    </row>
    <row r="48" spans="2:11" x14ac:dyDescent="0.25">
      <c r="B48">
        <v>65</v>
      </c>
      <c r="C48" t="s">
        <v>75</v>
      </c>
      <c r="D48" t="s">
        <v>75</v>
      </c>
      <c r="E48" t="s">
        <v>67</v>
      </c>
      <c r="F48" t="s">
        <v>59</v>
      </c>
      <c r="G48" s="1">
        <v>45554.47216435185</v>
      </c>
      <c r="H48">
        <v>9</v>
      </c>
      <c r="I48" t="s">
        <v>60</v>
      </c>
      <c r="J48" t="s">
        <v>354</v>
      </c>
      <c r="K48">
        <v>3</v>
      </c>
    </row>
    <row r="49" spans="2:11" x14ac:dyDescent="0.25">
      <c r="B49">
        <v>66</v>
      </c>
      <c r="C49" t="s">
        <v>76</v>
      </c>
      <c r="D49" t="s">
        <v>76</v>
      </c>
      <c r="E49" t="s">
        <v>77</v>
      </c>
      <c r="F49" t="s">
        <v>59</v>
      </c>
      <c r="G49" s="1">
        <v>45554.47216435185</v>
      </c>
      <c r="H49">
        <v>1</v>
      </c>
      <c r="I49" t="s">
        <v>60</v>
      </c>
      <c r="J49" t="s">
        <v>354</v>
      </c>
      <c r="K49">
        <v>3</v>
      </c>
    </row>
    <row r="50" spans="2:11" x14ac:dyDescent="0.25">
      <c r="B50">
        <v>67</v>
      </c>
      <c r="C50" t="s">
        <v>78</v>
      </c>
      <c r="D50" t="s">
        <v>78</v>
      </c>
      <c r="E50" t="s">
        <v>77</v>
      </c>
      <c r="F50" t="s">
        <v>59</v>
      </c>
      <c r="G50" s="1">
        <v>45554.47216435185</v>
      </c>
      <c r="H50">
        <v>2</v>
      </c>
      <c r="I50" t="s">
        <v>60</v>
      </c>
      <c r="J50" t="s">
        <v>354</v>
      </c>
      <c r="K50">
        <v>3</v>
      </c>
    </row>
    <row r="51" spans="2:11" x14ac:dyDescent="0.25">
      <c r="B51">
        <v>68</v>
      </c>
      <c r="C51" t="s">
        <v>79</v>
      </c>
      <c r="D51" t="s">
        <v>79</v>
      </c>
      <c r="E51" t="s">
        <v>77</v>
      </c>
      <c r="F51" t="s">
        <v>59</v>
      </c>
      <c r="G51" s="1">
        <v>45554.47216435185</v>
      </c>
      <c r="H51">
        <v>3</v>
      </c>
      <c r="I51" t="s">
        <v>60</v>
      </c>
      <c r="J51" t="s">
        <v>354</v>
      </c>
      <c r="K51">
        <v>3</v>
      </c>
    </row>
    <row r="52" spans="2:11" x14ac:dyDescent="0.25">
      <c r="B52">
        <v>69</v>
      </c>
      <c r="C52" t="s">
        <v>80</v>
      </c>
      <c r="D52" t="s">
        <v>80</v>
      </c>
      <c r="E52" t="s">
        <v>77</v>
      </c>
      <c r="F52" t="s">
        <v>59</v>
      </c>
      <c r="G52" s="1">
        <v>45554.47216435185</v>
      </c>
      <c r="H52">
        <v>4</v>
      </c>
      <c r="I52" t="s">
        <v>60</v>
      </c>
      <c r="J52" t="s">
        <v>354</v>
      </c>
      <c r="K52">
        <v>3</v>
      </c>
    </row>
    <row r="53" spans="2:11" x14ac:dyDescent="0.25">
      <c r="B53">
        <v>70</v>
      </c>
      <c r="C53" t="s">
        <v>81</v>
      </c>
      <c r="D53" t="s">
        <v>81</v>
      </c>
      <c r="E53" t="s">
        <v>82</v>
      </c>
      <c r="F53" t="s">
        <v>59</v>
      </c>
      <c r="G53" s="1">
        <v>45554.47216435185</v>
      </c>
      <c r="H53">
        <v>1</v>
      </c>
      <c r="I53" t="s">
        <v>60</v>
      </c>
      <c r="J53" t="s">
        <v>354</v>
      </c>
      <c r="K53">
        <v>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7"/>
  <sheetViews>
    <sheetView workbookViewId="0">
      <selection activeCell="C12" sqref="C12"/>
    </sheetView>
  </sheetViews>
  <sheetFormatPr defaultRowHeight="15" x14ac:dyDescent="0.25"/>
  <cols>
    <col min="1" max="1" width="5" bestFit="1" customWidth="1"/>
    <col min="2" max="2" width="17.140625" bestFit="1" customWidth="1"/>
    <col min="3" max="3" width="13.28515625" bestFit="1" customWidth="1"/>
    <col min="4" max="4" width="12.140625" bestFit="1" customWidth="1"/>
    <col min="5" max="5" width="11.7109375" bestFit="1" customWidth="1"/>
    <col min="6" max="6" width="5" customWidth="1"/>
    <col min="7" max="7" width="19" customWidth="1"/>
    <col min="8" max="8" width="10" customWidth="1"/>
    <col min="9" max="9" width="15.42578125" customWidth="1"/>
  </cols>
  <sheetData>
    <row r="1" spans="1:9" x14ac:dyDescent="0.25">
      <c r="A1" t="s">
        <v>22</v>
      </c>
      <c r="B1" t="s">
        <v>143</v>
      </c>
      <c r="C1" t="s">
        <v>144</v>
      </c>
    </row>
    <row r="2" spans="1:9" x14ac:dyDescent="0.25">
      <c r="A2">
        <v>1</v>
      </c>
      <c r="B2" t="s">
        <v>44</v>
      </c>
      <c r="C2" t="s">
        <v>145</v>
      </c>
    </row>
    <row r="3" spans="1:9" x14ac:dyDescent="0.25">
      <c r="A3">
        <v>2</v>
      </c>
      <c r="B3" t="s">
        <v>146</v>
      </c>
      <c r="C3" t="s">
        <v>145</v>
      </c>
    </row>
    <row r="4" spans="1:9" x14ac:dyDescent="0.25">
      <c r="A4">
        <v>17</v>
      </c>
      <c r="B4" t="s">
        <v>46</v>
      </c>
      <c r="C4" t="s">
        <v>147</v>
      </c>
      <c r="F4" t="s">
        <v>22</v>
      </c>
      <c r="G4" t="s">
        <v>127</v>
      </c>
      <c r="H4" t="s">
        <v>56</v>
      </c>
      <c r="I4" t="s">
        <v>30</v>
      </c>
    </row>
    <row r="5" spans="1:9" x14ac:dyDescent="0.25">
      <c r="A5">
        <v>18</v>
      </c>
      <c r="B5" t="s">
        <v>50</v>
      </c>
      <c r="C5" t="s">
        <v>147</v>
      </c>
      <c r="F5">
        <v>6</v>
      </c>
      <c r="G5" t="s">
        <v>128</v>
      </c>
      <c r="H5" t="s">
        <v>129</v>
      </c>
      <c r="I5" s="1">
        <v>45563.667997685188</v>
      </c>
    </row>
    <row r="6" spans="1:9" x14ac:dyDescent="0.25">
      <c r="A6">
        <v>19</v>
      </c>
      <c r="B6" t="s">
        <v>148</v>
      </c>
      <c r="C6" t="s">
        <v>147</v>
      </c>
      <c r="F6">
        <v>19</v>
      </c>
      <c r="G6" t="s">
        <v>131</v>
      </c>
      <c r="H6" t="s">
        <v>49</v>
      </c>
      <c r="I6" s="1">
        <v>45569.305289351854</v>
      </c>
    </row>
    <row r="7" spans="1:9" x14ac:dyDescent="0.25">
      <c r="A7">
        <v>20</v>
      </c>
      <c r="B7" t="s">
        <v>149</v>
      </c>
      <c r="C7" t="s">
        <v>147</v>
      </c>
      <c r="F7">
        <v>20</v>
      </c>
      <c r="G7" t="s">
        <v>133</v>
      </c>
      <c r="H7" t="s">
        <v>134</v>
      </c>
      <c r="I7" s="1">
        <v>45569.305532407408</v>
      </c>
    </row>
    <row r="8" spans="1:9" x14ac:dyDescent="0.25">
      <c r="A8">
        <v>21</v>
      </c>
      <c r="B8" t="s">
        <v>150</v>
      </c>
      <c r="C8" t="s">
        <v>147</v>
      </c>
      <c r="F8">
        <v>21</v>
      </c>
      <c r="G8" t="s">
        <v>135</v>
      </c>
      <c r="H8" t="s">
        <v>134</v>
      </c>
      <c r="I8" s="1">
        <v>45569.305960648147</v>
      </c>
    </row>
    <row r="9" spans="1:9" x14ac:dyDescent="0.25">
      <c r="A9">
        <v>22</v>
      </c>
      <c r="B9" t="s">
        <v>151</v>
      </c>
      <c r="C9" t="s">
        <v>147</v>
      </c>
      <c r="F9">
        <v>24</v>
      </c>
      <c r="G9" t="s">
        <v>136</v>
      </c>
      <c r="H9" t="s">
        <v>49</v>
      </c>
      <c r="I9" s="1">
        <v>45569.306851851848</v>
      </c>
    </row>
    <row r="10" spans="1:9" x14ac:dyDescent="0.25">
      <c r="A10">
        <v>23</v>
      </c>
      <c r="B10" t="s">
        <v>152</v>
      </c>
      <c r="C10" t="s">
        <v>147</v>
      </c>
      <c r="F10">
        <v>1</v>
      </c>
      <c r="G10" t="s">
        <v>137</v>
      </c>
      <c r="H10" t="s">
        <v>49</v>
      </c>
      <c r="I10" s="1">
        <v>45563.663124999999</v>
      </c>
    </row>
    <row r="11" spans="1:9" x14ac:dyDescent="0.25">
      <c r="A11">
        <v>24</v>
      </c>
      <c r="B11" t="s">
        <v>153</v>
      </c>
      <c r="C11" t="s">
        <v>147</v>
      </c>
      <c r="F11">
        <v>2</v>
      </c>
      <c r="G11" t="s">
        <v>138</v>
      </c>
      <c r="H11" t="s">
        <v>49</v>
      </c>
      <c r="I11" s="1">
        <v>45563.665358796294</v>
      </c>
    </row>
    <row r="12" spans="1:9" x14ac:dyDescent="0.25">
      <c r="A12">
        <v>25</v>
      </c>
      <c r="B12" t="s">
        <v>154</v>
      </c>
      <c r="C12" t="s">
        <v>147</v>
      </c>
      <c r="F12">
        <v>3</v>
      </c>
      <c r="G12" t="s">
        <v>139</v>
      </c>
      <c r="H12" t="s">
        <v>49</v>
      </c>
      <c r="I12" s="1">
        <v>45563.665706018517</v>
      </c>
    </row>
    <row r="13" spans="1:9" x14ac:dyDescent="0.25">
      <c r="A13">
        <v>26</v>
      </c>
      <c r="B13" t="s">
        <v>155</v>
      </c>
      <c r="C13" t="s">
        <v>147</v>
      </c>
      <c r="F13">
        <v>13</v>
      </c>
      <c r="G13" t="s">
        <v>140</v>
      </c>
      <c r="H13" t="s">
        <v>49</v>
      </c>
      <c r="I13" s="1">
        <v>45563.685682870368</v>
      </c>
    </row>
    <row r="14" spans="1:9" x14ac:dyDescent="0.25">
      <c r="A14">
        <v>36</v>
      </c>
      <c r="B14" t="s">
        <v>156</v>
      </c>
      <c r="C14" t="s">
        <v>147</v>
      </c>
      <c r="F14">
        <v>7</v>
      </c>
      <c r="G14" t="s">
        <v>141</v>
      </c>
      <c r="H14" t="s">
        <v>49</v>
      </c>
      <c r="I14" s="1">
        <v>45563.668668981481</v>
      </c>
    </row>
    <row r="15" spans="1:9" x14ac:dyDescent="0.25">
      <c r="A15">
        <v>37</v>
      </c>
      <c r="B15" t="s">
        <v>157</v>
      </c>
      <c r="C15" t="s">
        <v>147</v>
      </c>
      <c r="F15">
        <v>18</v>
      </c>
      <c r="G15" t="s">
        <v>142</v>
      </c>
      <c r="H15" t="s">
        <v>49</v>
      </c>
      <c r="I15" s="1">
        <v>45568.691365740742</v>
      </c>
    </row>
    <row r="16" spans="1:9" x14ac:dyDescent="0.25">
      <c r="A16">
        <v>29</v>
      </c>
      <c r="B16" t="s">
        <v>158</v>
      </c>
      <c r="C16" t="s">
        <v>147</v>
      </c>
      <c r="F16">
        <v>26</v>
      </c>
      <c r="G16" t="s">
        <v>358</v>
      </c>
      <c r="I16" s="1">
        <v>45576.723993055559</v>
      </c>
    </row>
    <row r="17" spans="1:9" x14ac:dyDescent="0.25">
      <c r="A17">
        <v>30</v>
      </c>
      <c r="B17" t="s">
        <v>159</v>
      </c>
      <c r="C17" t="s">
        <v>147</v>
      </c>
      <c r="F17">
        <v>27</v>
      </c>
      <c r="G17" t="s">
        <v>359</v>
      </c>
      <c r="I17" s="1">
        <v>45578.7344212963</v>
      </c>
    </row>
    <row r="18" spans="1:9" x14ac:dyDescent="0.25">
      <c r="A18">
        <v>31</v>
      </c>
      <c r="B18" t="s">
        <v>160</v>
      </c>
      <c r="C18" t="s">
        <v>147</v>
      </c>
      <c r="F18">
        <v>28</v>
      </c>
      <c r="G18" t="s">
        <v>360</v>
      </c>
      <c r="I18" s="1">
        <v>45578.7344212963</v>
      </c>
    </row>
    <row r="19" spans="1:9" x14ac:dyDescent="0.25">
      <c r="A19">
        <v>32</v>
      </c>
      <c r="B19" t="s">
        <v>161</v>
      </c>
      <c r="C19" t="s">
        <v>147</v>
      </c>
    </row>
    <row r="20" spans="1:9" x14ac:dyDescent="0.25">
      <c r="A20">
        <v>33</v>
      </c>
      <c r="B20" t="s">
        <v>162</v>
      </c>
      <c r="C20" t="s">
        <v>147</v>
      </c>
    </row>
    <row r="21" spans="1:9" x14ac:dyDescent="0.25">
      <c r="A21">
        <v>34</v>
      </c>
      <c r="B21" t="s">
        <v>163</v>
      </c>
      <c r="C21" t="s">
        <v>147</v>
      </c>
    </row>
    <row r="22" spans="1:9" x14ac:dyDescent="0.25">
      <c r="A22">
        <v>53</v>
      </c>
      <c r="B22" t="s">
        <v>142</v>
      </c>
      <c r="C22" t="s">
        <v>147</v>
      </c>
    </row>
    <row r="23" spans="1:9" x14ac:dyDescent="0.25">
      <c r="A23">
        <v>3</v>
      </c>
      <c r="B23" t="s">
        <v>164</v>
      </c>
      <c r="C23" t="s">
        <v>147</v>
      </c>
    </row>
    <row r="24" spans="1:9" x14ac:dyDescent="0.25">
      <c r="A24">
        <v>4</v>
      </c>
      <c r="B24" t="s">
        <v>165</v>
      </c>
      <c r="C24" t="s">
        <v>147</v>
      </c>
    </row>
    <row r="25" spans="1:9" x14ac:dyDescent="0.25">
      <c r="A25">
        <v>5</v>
      </c>
      <c r="B25" t="s">
        <v>166</v>
      </c>
      <c r="C25" t="s">
        <v>147</v>
      </c>
    </row>
    <row r="26" spans="1:9" x14ac:dyDescent="0.25">
      <c r="A26">
        <v>6</v>
      </c>
      <c r="B26" t="s">
        <v>167</v>
      </c>
      <c r="C26" t="s">
        <v>147</v>
      </c>
    </row>
    <row r="27" spans="1:9" x14ac:dyDescent="0.25">
      <c r="A27">
        <v>8</v>
      </c>
      <c r="B27" t="s">
        <v>168</v>
      </c>
      <c r="C27" t="s">
        <v>147</v>
      </c>
    </row>
    <row r="28" spans="1:9" x14ac:dyDescent="0.25">
      <c r="A28">
        <v>9</v>
      </c>
      <c r="B28" t="s">
        <v>169</v>
      </c>
      <c r="C28" t="s">
        <v>147</v>
      </c>
    </row>
    <row r="29" spans="1:9" x14ac:dyDescent="0.25">
      <c r="A29">
        <v>10</v>
      </c>
      <c r="B29" t="s">
        <v>170</v>
      </c>
      <c r="C29" t="s">
        <v>147</v>
      </c>
    </row>
    <row r="30" spans="1:9" x14ac:dyDescent="0.25">
      <c r="A30">
        <v>28</v>
      </c>
      <c r="B30" t="s">
        <v>171</v>
      </c>
      <c r="C30" t="s">
        <v>147</v>
      </c>
    </row>
    <row r="31" spans="1:9" x14ac:dyDescent="0.25">
      <c r="A31">
        <v>54</v>
      </c>
      <c r="B31" t="s">
        <v>40</v>
      </c>
      <c r="C31" t="s">
        <v>147</v>
      </c>
    </row>
    <row r="32" spans="1:9" x14ac:dyDescent="0.25">
      <c r="A32">
        <v>40</v>
      </c>
      <c r="B32" t="s">
        <v>141</v>
      </c>
      <c r="C32" t="s">
        <v>147</v>
      </c>
    </row>
    <row r="33" spans="1:3" x14ac:dyDescent="0.25">
      <c r="A33">
        <v>47</v>
      </c>
      <c r="B33" t="s">
        <v>172</v>
      </c>
      <c r="C33" t="s">
        <v>147</v>
      </c>
    </row>
    <row r="34" spans="1:3" x14ac:dyDescent="0.25">
      <c r="A34">
        <v>49</v>
      </c>
      <c r="B34" t="s">
        <v>173</v>
      </c>
      <c r="C34" t="s">
        <v>147</v>
      </c>
    </row>
    <row r="35" spans="1:3" x14ac:dyDescent="0.25">
      <c r="A35">
        <v>51</v>
      </c>
      <c r="B35" t="s">
        <v>174</v>
      </c>
      <c r="C35" t="s">
        <v>147</v>
      </c>
    </row>
    <row r="36" spans="1:3" x14ac:dyDescent="0.25">
      <c r="A36">
        <v>52</v>
      </c>
      <c r="B36" t="s">
        <v>136</v>
      </c>
      <c r="C36" t="s">
        <v>147</v>
      </c>
    </row>
    <row r="37" spans="1:3" x14ac:dyDescent="0.25">
      <c r="A37">
        <v>84</v>
      </c>
      <c r="B37" t="s">
        <v>357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/>
  </sheetViews>
  <sheetFormatPr defaultRowHeight="15" x14ac:dyDescent="0.25"/>
  <cols>
    <col min="1" max="1" width="16.7109375" bestFit="1" customWidth="1"/>
    <col min="2" max="2" width="5.7109375" bestFit="1" customWidth="1"/>
    <col min="3" max="3" width="8.7109375" bestFit="1" customWidth="1"/>
  </cols>
  <sheetData>
    <row r="1" spans="1:3" x14ac:dyDescent="0.25">
      <c r="A1" s="45" t="s">
        <v>294</v>
      </c>
    </row>
    <row r="2" spans="1:3" x14ac:dyDescent="0.25">
      <c r="A2" s="46" t="s">
        <v>295</v>
      </c>
      <c r="B2" s="46" t="s">
        <v>296</v>
      </c>
      <c r="C2" s="46" t="s">
        <v>297</v>
      </c>
    </row>
    <row r="4" spans="1:3" x14ac:dyDescent="0.25">
      <c r="A4" s="45" t="s">
        <v>298</v>
      </c>
    </row>
    <row r="5" spans="1:3" x14ac:dyDescent="0.25">
      <c r="A5" s="46" t="s">
        <v>295</v>
      </c>
      <c r="B5" s="46" t="s">
        <v>299</v>
      </c>
      <c r="C5" s="46" t="s">
        <v>297</v>
      </c>
    </row>
    <row r="8" spans="1:3" x14ac:dyDescent="0.25">
      <c r="A8" s="45" t="s">
        <v>300</v>
      </c>
      <c r="B8" t="s">
        <v>301</v>
      </c>
    </row>
    <row r="9" spans="1:3" x14ac:dyDescent="0.25">
      <c r="B9" t="s">
        <v>302</v>
      </c>
    </row>
    <row r="11" spans="1:3" x14ac:dyDescent="0.25">
      <c r="B11" t="s">
        <v>303</v>
      </c>
    </row>
    <row r="12" spans="1:3" x14ac:dyDescent="0.25">
      <c r="B12" t="s">
        <v>304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I58"/>
  <sheetViews>
    <sheetView topLeftCell="AR1" workbookViewId="0">
      <selection activeCell="BD11" sqref="BD11"/>
    </sheetView>
  </sheetViews>
  <sheetFormatPr defaultRowHeight="15" x14ac:dyDescent="0.25"/>
  <cols>
    <col min="2" max="2" width="14.5703125" customWidth="1"/>
    <col min="3" max="3" width="10.5703125" customWidth="1"/>
    <col min="4" max="4" width="9.42578125" customWidth="1"/>
    <col min="5" max="5" width="20.5703125" customWidth="1"/>
    <col min="6" max="6" width="13.28515625" hidden="1" customWidth="1"/>
    <col min="7" max="7" width="12.85546875" customWidth="1"/>
    <col min="8" max="8" width="5.42578125" customWidth="1"/>
    <col min="9" max="9" width="16" hidden="1" customWidth="1"/>
    <col min="10" max="10" width="32.140625" customWidth="1"/>
    <col min="11" max="11" width="19.85546875" hidden="1" customWidth="1"/>
    <col min="12" max="12" width="8.85546875" hidden="1" customWidth="1"/>
    <col min="13" max="13" width="13.42578125" hidden="1" customWidth="1"/>
    <col min="14" max="14" width="12.28515625" customWidth="1"/>
    <col min="15" max="15" width="14" customWidth="1"/>
    <col min="16" max="16" width="11.140625" customWidth="1"/>
    <col min="17" max="17" width="12.7109375" customWidth="1"/>
    <col min="18" max="18" width="12.42578125" customWidth="1"/>
    <col min="19" max="19" width="10.5703125" customWidth="1"/>
    <col min="20" max="20" width="13.140625" customWidth="1"/>
    <col min="21" max="21" width="9.5703125" customWidth="1"/>
    <col min="22" max="22" width="9.42578125" customWidth="1"/>
    <col min="23" max="23" width="14.5703125" customWidth="1"/>
    <col min="24" max="24" width="6.85546875" hidden="1" customWidth="1"/>
    <col min="25" max="25" width="11.7109375" hidden="1" customWidth="1"/>
    <col min="26" max="26" width="14.140625" hidden="1" customWidth="1"/>
    <col min="27" max="27" width="6.7109375" hidden="1" customWidth="1"/>
    <col min="28" max="28" width="20" hidden="1" customWidth="1"/>
    <col min="29" max="29" width="7.42578125" hidden="1" customWidth="1"/>
    <col min="30" max="30" width="11" hidden="1" customWidth="1"/>
    <col min="31" max="31" width="13" hidden="1" customWidth="1"/>
    <col min="32" max="32" width="14.28515625" hidden="1" customWidth="1"/>
    <col min="33" max="33" width="9" hidden="1" customWidth="1"/>
    <col min="34" max="34" width="14.140625" hidden="1" customWidth="1"/>
    <col min="35" max="35" width="13.5703125" hidden="1" customWidth="1"/>
    <col min="36" max="36" width="16.85546875" hidden="1" customWidth="1"/>
    <col min="37" max="37" width="16.7109375" hidden="1" customWidth="1"/>
    <col min="38" max="38" width="21.42578125" hidden="1" customWidth="1"/>
    <col min="39" max="39" width="10.7109375" hidden="1" customWidth="1"/>
    <col min="40" max="40" width="17" hidden="1" customWidth="1"/>
    <col min="41" max="41" width="12.7109375" customWidth="1"/>
    <col min="42" max="42" width="12.140625" customWidth="1"/>
    <col min="43" max="44" width="17.140625" customWidth="1"/>
    <col min="45" max="45" width="12.5703125" customWidth="1"/>
    <col min="46" max="46" width="8" style="47" customWidth="1"/>
    <col min="47" max="47" width="11.28515625" style="47" customWidth="1"/>
    <col min="48" max="48" width="15.7109375" style="47" customWidth="1"/>
    <col min="49" max="49" width="14.42578125" style="47" customWidth="1"/>
    <col min="50" max="50" width="13.85546875" customWidth="1"/>
    <col min="51" max="51" width="12.5703125" customWidth="1"/>
    <col min="54" max="54" width="5" customWidth="1"/>
    <col min="55" max="55" width="13" customWidth="1"/>
    <col min="56" max="56" width="9" customWidth="1"/>
    <col min="57" max="57" width="11.140625" customWidth="1"/>
    <col min="58" max="58" width="12.7109375" customWidth="1"/>
    <col min="59" max="59" width="11.85546875" customWidth="1"/>
    <col min="60" max="60" width="9" customWidth="1"/>
    <col min="61" max="61" width="14.140625" customWidth="1"/>
    <col min="62" max="62" width="9" customWidth="1"/>
    <col min="63" max="63" width="14.140625" customWidth="1"/>
  </cols>
  <sheetData>
    <row r="2" spans="2:61" x14ac:dyDescent="0.25">
      <c r="B2" s="103" t="s">
        <v>373</v>
      </c>
      <c r="C2" s="103"/>
      <c r="D2" s="103"/>
      <c r="BD2" t="s">
        <v>372</v>
      </c>
    </row>
    <row r="3" spans="2:61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  <c r="S3" t="s">
        <v>17</v>
      </c>
      <c r="T3" t="s">
        <v>18</v>
      </c>
      <c r="U3" t="s">
        <v>19</v>
      </c>
      <c r="V3" t="s">
        <v>20</v>
      </c>
      <c r="W3" t="s">
        <v>21</v>
      </c>
      <c r="X3" t="s">
        <v>22</v>
      </c>
      <c r="Y3" t="s">
        <v>23</v>
      </c>
      <c r="Z3" t="s">
        <v>24</v>
      </c>
      <c r="AA3" t="s">
        <v>25</v>
      </c>
      <c r="AB3" t="s">
        <v>26</v>
      </c>
      <c r="AC3" t="s">
        <v>27</v>
      </c>
      <c r="AD3" t="s">
        <v>28</v>
      </c>
      <c r="AE3" t="s">
        <v>29</v>
      </c>
      <c r="AF3" t="s">
        <v>30</v>
      </c>
      <c r="AG3" t="s">
        <v>31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 t="s">
        <v>38</v>
      </c>
      <c r="AO3" t="s">
        <v>39</v>
      </c>
      <c r="AP3" t="s">
        <v>306</v>
      </c>
      <c r="AQ3" t="s">
        <v>307</v>
      </c>
      <c r="AR3" t="s">
        <v>308</v>
      </c>
      <c r="AS3" t="s">
        <v>309</v>
      </c>
      <c r="AT3" s="47" t="s">
        <v>380</v>
      </c>
      <c r="AU3" s="47" t="s">
        <v>400</v>
      </c>
      <c r="AV3" s="47" t="s">
        <v>407</v>
      </c>
      <c r="AW3" s="47" t="s">
        <v>408</v>
      </c>
      <c r="BB3" t="s">
        <v>22</v>
      </c>
      <c r="BC3" t="s">
        <v>29</v>
      </c>
      <c r="BD3" t="s">
        <v>367</v>
      </c>
      <c r="BE3" t="s">
        <v>368</v>
      </c>
      <c r="BF3" t="s">
        <v>369</v>
      </c>
      <c r="BG3" t="s">
        <v>370</v>
      </c>
      <c r="BH3" t="s">
        <v>54</v>
      </c>
      <c r="BI3" t="s">
        <v>371</v>
      </c>
    </row>
    <row r="4" spans="2:61" x14ac:dyDescent="0.25">
      <c r="B4" t="s">
        <v>40</v>
      </c>
      <c r="C4" t="s">
        <v>392</v>
      </c>
      <c r="E4" t="s">
        <v>41</v>
      </c>
      <c r="G4" t="s">
        <v>132</v>
      </c>
      <c r="H4" t="s">
        <v>381</v>
      </c>
      <c r="I4" t="s">
        <v>49</v>
      </c>
      <c r="J4" t="s">
        <v>42</v>
      </c>
      <c r="K4" t="s">
        <v>49</v>
      </c>
      <c r="L4" t="s">
        <v>49</v>
      </c>
      <c r="N4">
        <v>21215</v>
      </c>
      <c r="O4" t="s">
        <v>43</v>
      </c>
      <c r="P4">
        <v>0</v>
      </c>
      <c r="Q4">
        <v>0</v>
      </c>
      <c r="R4">
        <v>21332</v>
      </c>
      <c r="S4">
        <v>5121</v>
      </c>
      <c r="T4">
        <v>109241172</v>
      </c>
      <c r="U4">
        <v>0</v>
      </c>
      <c r="V4">
        <v>0</v>
      </c>
      <c r="W4" t="s">
        <v>44</v>
      </c>
      <c r="X4">
        <v>999</v>
      </c>
      <c r="Y4">
        <v>20</v>
      </c>
      <c r="Z4">
        <v>54</v>
      </c>
      <c r="AB4">
        <v>1</v>
      </c>
      <c r="AD4" t="s">
        <v>312</v>
      </c>
      <c r="AE4">
        <v>20</v>
      </c>
      <c r="AF4" s="1">
        <v>45604.713379629633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1022</v>
      </c>
      <c r="AP4">
        <v>344</v>
      </c>
      <c r="AQ4">
        <v>54</v>
      </c>
      <c r="AR4">
        <v>1</v>
      </c>
      <c r="AU4" s="110"/>
      <c r="AV4" s="43">
        <v>0</v>
      </c>
      <c r="AW4" s="110"/>
      <c r="BB4">
        <v>344</v>
      </c>
      <c r="BC4">
        <v>20</v>
      </c>
      <c r="BD4">
        <v>1234</v>
      </c>
      <c r="BE4">
        <v>109241172</v>
      </c>
      <c r="BF4" s="85">
        <v>45602</v>
      </c>
      <c r="BG4" s="85">
        <v>45604</v>
      </c>
      <c r="BH4" t="s">
        <v>59</v>
      </c>
      <c r="BI4">
        <v>1</v>
      </c>
    </row>
    <row r="5" spans="2:61" x14ac:dyDescent="0.25">
      <c r="B5" t="s">
        <v>40</v>
      </c>
      <c r="C5" t="s">
        <v>311</v>
      </c>
      <c r="E5" t="s">
        <v>41</v>
      </c>
      <c r="G5" t="s">
        <v>132</v>
      </c>
      <c r="H5" t="s">
        <v>409</v>
      </c>
      <c r="I5" t="s">
        <v>49</v>
      </c>
      <c r="J5" t="s">
        <v>42</v>
      </c>
      <c r="K5" t="s">
        <v>49</v>
      </c>
      <c r="L5" t="s">
        <v>49</v>
      </c>
      <c r="N5">
        <v>213221</v>
      </c>
      <c r="O5" t="s">
        <v>43</v>
      </c>
      <c r="P5">
        <v>0</v>
      </c>
      <c r="Q5">
        <v>0</v>
      </c>
      <c r="R5">
        <v>1232</v>
      </c>
      <c r="S5">
        <v>12312</v>
      </c>
      <c r="T5">
        <v>15168384</v>
      </c>
      <c r="U5">
        <v>0</v>
      </c>
      <c r="V5">
        <v>0</v>
      </c>
      <c r="W5" t="s">
        <v>146</v>
      </c>
      <c r="X5">
        <v>1000</v>
      </c>
      <c r="Y5">
        <v>20</v>
      </c>
      <c r="Z5">
        <v>54</v>
      </c>
      <c r="AB5">
        <v>2</v>
      </c>
      <c r="AD5" t="s">
        <v>310</v>
      </c>
      <c r="AE5">
        <v>20</v>
      </c>
      <c r="AF5" s="1">
        <v>45604.713935185187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1022</v>
      </c>
      <c r="AP5">
        <v>345</v>
      </c>
      <c r="AQ5">
        <v>54</v>
      </c>
      <c r="AR5">
        <v>2</v>
      </c>
      <c r="AU5" s="110"/>
      <c r="AV5" s="43">
        <v>0</v>
      </c>
      <c r="AW5" s="110"/>
      <c r="BB5">
        <v>345</v>
      </c>
      <c r="BC5">
        <v>20</v>
      </c>
      <c r="BD5">
        <v>9218</v>
      </c>
      <c r="BE5">
        <v>1050314526</v>
      </c>
      <c r="BF5" s="85">
        <v>45603</v>
      </c>
      <c r="BG5" s="85">
        <v>45605</v>
      </c>
      <c r="BH5" t="s">
        <v>59</v>
      </c>
      <c r="BI5">
        <v>1</v>
      </c>
    </row>
    <row r="6" spans="2:61" x14ac:dyDescent="0.25">
      <c r="B6" t="s">
        <v>40</v>
      </c>
      <c r="C6" t="s">
        <v>311</v>
      </c>
      <c r="E6" t="s">
        <v>45</v>
      </c>
      <c r="G6" t="s">
        <v>132</v>
      </c>
      <c r="H6" t="s">
        <v>409</v>
      </c>
      <c r="I6" t="s">
        <v>49</v>
      </c>
      <c r="J6" t="s">
        <v>42</v>
      </c>
      <c r="K6" t="s">
        <v>49</v>
      </c>
      <c r="L6" t="s">
        <v>49</v>
      </c>
      <c r="N6">
        <v>2312</v>
      </c>
      <c r="O6" t="s">
        <v>43</v>
      </c>
      <c r="P6">
        <v>0</v>
      </c>
      <c r="Q6">
        <v>0</v>
      </c>
      <c r="R6">
        <v>3213</v>
      </c>
      <c r="S6">
        <v>123412</v>
      </c>
      <c r="T6">
        <v>396522756</v>
      </c>
      <c r="U6">
        <v>0</v>
      </c>
      <c r="V6">
        <v>0</v>
      </c>
      <c r="W6" t="s">
        <v>146</v>
      </c>
      <c r="X6">
        <v>1001</v>
      </c>
      <c r="Y6">
        <v>21</v>
      </c>
      <c r="Z6">
        <v>54</v>
      </c>
      <c r="AB6">
        <v>2</v>
      </c>
      <c r="AD6" t="s">
        <v>310</v>
      </c>
      <c r="AE6">
        <v>20</v>
      </c>
      <c r="AF6" s="1">
        <v>45604.713935185187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1023</v>
      </c>
      <c r="AP6">
        <v>345</v>
      </c>
      <c r="AQ6">
        <v>54</v>
      </c>
      <c r="AR6">
        <v>2</v>
      </c>
      <c r="AU6" s="110"/>
      <c r="AV6" s="43">
        <v>0</v>
      </c>
      <c r="AW6" s="110"/>
      <c r="BB6">
        <v>346</v>
      </c>
      <c r="BC6">
        <v>20</v>
      </c>
      <c r="BD6">
        <v>3242</v>
      </c>
      <c r="BE6">
        <v>451663401</v>
      </c>
      <c r="BF6" s="85">
        <v>45601</v>
      </c>
      <c r="BG6" s="85">
        <v>45603</v>
      </c>
      <c r="BH6" t="s">
        <v>59</v>
      </c>
      <c r="BI6">
        <v>1</v>
      </c>
    </row>
    <row r="7" spans="2:61" x14ac:dyDescent="0.25">
      <c r="B7" t="s">
        <v>40</v>
      </c>
      <c r="C7" t="s">
        <v>311</v>
      </c>
      <c r="E7" t="s">
        <v>87</v>
      </c>
      <c r="G7" t="s">
        <v>132</v>
      </c>
      <c r="H7" t="s">
        <v>409</v>
      </c>
      <c r="I7" t="s">
        <v>49</v>
      </c>
      <c r="J7" t="s">
        <v>42</v>
      </c>
      <c r="K7" t="s">
        <v>49</v>
      </c>
      <c r="L7" t="s">
        <v>49</v>
      </c>
      <c r="N7">
        <v>2123</v>
      </c>
      <c r="O7" t="s">
        <v>43</v>
      </c>
      <c r="P7">
        <v>0</v>
      </c>
      <c r="Q7">
        <v>0</v>
      </c>
      <c r="R7">
        <v>3123</v>
      </c>
      <c r="S7">
        <v>31234</v>
      </c>
      <c r="T7">
        <v>97543782</v>
      </c>
      <c r="U7">
        <v>0</v>
      </c>
      <c r="V7">
        <v>0</v>
      </c>
      <c r="W7" t="s">
        <v>146</v>
      </c>
      <c r="X7">
        <v>1002</v>
      </c>
      <c r="Y7">
        <v>22</v>
      </c>
      <c r="Z7">
        <v>54</v>
      </c>
      <c r="AB7">
        <v>2</v>
      </c>
      <c r="AD7" t="s">
        <v>310</v>
      </c>
      <c r="AE7">
        <v>20</v>
      </c>
      <c r="AF7" s="1">
        <v>45604.713935185187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1024</v>
      </c>
      <c r="AP7">
        <v>345</v>
      </c>
      <c r="AQ7">
        <v>54</v>
      </c>
      <c r="AR7">
        <v>2</v>
      </c>
      <c r="AU7" s="110"/>
      <c r="AV7" s="43">
        <v>0</v>
      </c>
      <c r="AW7" s="110"/>
      <c r="BB7">
        <v>347</v>
      </c>
      <c r="BC7">
        <v>20</v>
      </c>
      <c r="BD7">
        <v>1231</v>
      </c>
      <c r="BE7">
        <v>256234698</v>
      </c>
      <c r="BF7" s="85">
        <v>45607</v>
      </c>
      <c r="BG7" s="85">
        <v>45617</v>
      </c>
      <c r="BH7" t="s">
        <v>59</v>
      </c>
      <c r="BI7">
        <v>1</v>
      </c>
    </row>
    <row r="8" spans="2:61" x14ac:dyDescent="0.25">
      <c r="B8" t="s">
        <v>40</v>
      </c>
      <c r="C8" t="s">
        <v>311</v>
      </c>
      <c r="E8" t="s">
        <v>96</v>
      </c>
      <c r="G8" t="s">
        <v>132</v>
      </c>
      <c r="H8" t="s">
        <v>409</v>
      </c>
      <c r="I8" t="s">
        <v>49</v>
      </c>
      <c r="J8" t="s">
        <v>42</v>
      </c>
      <c r="K8" t="s">
        <v>49</v>
      </c>
      <c r="L8" t="s">
        <v>49</v>
      </c>
      <c r="N8">
        <v>2312</v>
      </c>
      <c r="O8" t="s">
        <v>43</v>
      </c>
      <c r="P8">
        <v>0</v>
      </c>
      <c r="Q8">
        <v>0</v>
      </c>
      <c r="R8">
        <v>4341</v>
      </c>
      <c r="S8">
        <v>123412</v>
      </c>
      <c r="T8">
        <v>535731492</v>
      </c>
      <c r="U8">
        <v>0</v>
      </c>
      <c r="V8">
        <v>0</v>
      </c>
      <c r="W8" t="s">
        <v>146</v>
      </c>
      <c r="X8">
        <v>1003</v>
      </c>
      <c r="Y8">
        <v>23</v>
      </c>
      <c r="Z8">
        <v>54</v>
      </c>
      <c r="AB8">
        <v>2</v>
      </c>
      <c r="AD8" t="s">
        <v>310</v>
      </c>
      <c r="AE8">
        <v>20</v>
      </c>
      <c r="AF8" s="1">
        <v>45604.713935185187</v>
      </c>
      <c r="AG8">
        <v>1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1025</v>
      </c>
      <c r="AP8">
        <v>345</v>
      </c>
      <c r="AQ8">
        <v>54</v>
      </c>
      <c r="AR8">
        <v>2</v>
      </c>
      <c r="AU8" s="110"/>
      <c r="AV8" s="43">
        <v>0</v>
      </c>
      <c r="AW8" s="110"/>
      <c r="BB8">
        <v>348</v>
      </c>
      <c r="BC8">
        <v>20</v>
      </c>
      <c r="BD8">
        <v>2352</v>
      </c>
      <c r="BE8">
        <v>243323242</v>
      </c>
      <c r="BF8" s="85">
        <v>45609</v>
      </c>
      <c r="BG8" s="85">
        <v>45619</v>
      </c>
      <c r="BH8" t="s">
        <v>59</v>
      </c>
      <c r="BI8">
        <v>1</v>
      </c>
    </row>
    <row r="9" spans="2:61" x14ac:dyDescent="0.25">
      <c r="B9" t="s">
        <v>40</v>
      </c>
      <c r="C9" t="s">
        <v>311</v>
      </c>
      <c r="E9" t="s">
        <v>99</v>
      </c>
      <c r="G9" t="s">
        <v>132</v>
      </c>
      <c r="H9" t="s">
        <v>409</v>
      </c>
      <c r="I9" t="s">
        <v>49</v>
      </c>
      <c r="J9" t="s">
        <v>42</v>
      </c>
      <c r="K9" t="s">
        <v>49</v>
      </c>
      <c r="L9" t="s">
        <v>49</v>
      </c>
      <c r="N9">
        <v>1241</v>
      </c>
      <c r="O9" t="s">
        <v>43</v>
      </c>
      <c r="P9">
        <v>0</v>
      </c>
      <c r="Q9">
        <v>0</v>
      </c>
      <c r="R9">
        <v>1232</v>
      </c>
      <c r="S9">
        <v>4341</v>
      </c>
      <c r="T9">
        <v>5348112</v>
      </c>
      <c r="U9">
        <v>0</v>
      </c>
      <c r="V9">
        <v>0</v>
      </c>
      <c r="W9" t="s">
        <v>146</v>
      </c>
      <c r="X9">
        <v>1004</v>
      </c>
      <c r="Y9">
        <v>24</v>
      </c>
      <c r="Z9">
        <v>54</v>
      </c>
      <c r="AB9">
        <v>2</v>
      </c>
      <c r="AD9" t="s">
        <v>310</v>
      </c>
      <c r="AE9">
        <v>20</v>
      </c>
      <c r="AF9" s="1">
        <v>45604.713935185187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1026</v>
      </c>
      <c r="AP9">
        <v>345</v>
      </c>
      <c r="AQ9">
        <v>54</v>
      </c>
      <c r="AR9">
        <v>2</v>
      </c>
      <c r="AU9" s="110"/>
      <c r="AV9" s="43">
        <v>0</v>
      </c>
      <c r="AW9" s="110"/>
      <c r="BB9">
        <v>349</v>
      </c>
      <c r="BC9">
        <v>20</v>
      </c>
      <c r="BD9">
        <v>2345</v>
      </c>
      <c r="BE9">
        <v>509589978</v>
      </c>
      <c r="BF9" s="85">
        <v>45604</v>
      </c>
      <c r="BG9" s="85">
        <v>45607</v>
      </c>
      <c r="BH9" t="s">
        <v>59</v>
      </c>
      <c r="BI9">
        <v>1</v>
      </c>
    </row>
    <row r="10" spans="2:61" x14ac:dyDescent="0.25">
      <c r="B10" t="s">
        <v>40</v>
      </c>
      <c r="C10" t="s">
        <v>375</v>
      </c>
      <c r="E10" t="s">
        <v>41</v>
      </c>
      <c r="G10" t="s">
        <v>132</v>
      </c>
      <c r="H10" t="s">
        <v>404</v>
      </c>
      <c r="I10" t="s">
        <v>49</v>
      </c>
      <c r="J10" t="s">
        <v>42</v>
      </c>
      <c r="K10" t="s">
        <v>49</v>
      </c>
      <c r="L10" t="s">
        <v>49</v>
      </c>
      <c r="N10">
        <v>12312</v>
      </c>
      <c r="O10" t="s">
        <v>43</v>
      </c>
      <c r="P10">
        <v>0</v>
      </c>
      <c r="Q10">
        <v>0</v>
      </c>
      <c r="R10">
        <v>2412</v>
      </c>
      <c r="S10">
        <v>123132</v>
      </c>
      <c r="T10">
        <v>296994384</v>
      </c>
      <c r="U10">
        <v>0</v>
      </c>
      <c r="V10">
        <v>0</v>
      </c>
      <c r="W10" t="s">
        <v>46</v>
      </c>
      <c r="X10">
        <v>1005</v>
      </c>
      <c r="Y10">
        <v>20</v>
      </c>
      <c r="Z10">
        <v>54</v>
      </c>
      <c r="AB10">
        <v>17</v>
      </c>
      <c r="AD10" t="s">
        <v>311</v>
      </c>
      <c r="AE10">
        <v>20</v>
      </c>
      <c r="AF10" s="1">
        <v>45604.714930555558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1022</v>
      </c>
      <c r="AP10">
        <v>346</v>
      </c>
      <c r="AQ10">
        <v>54</v>
      </c>
      <c r="AR10">
        <v>17</v>
      </c>
      <c r="AU10" s="110"/>
      <c r="AV10" s="43">
        <v>0</v>
      </c>
      <c r="AW10" s="110"/>
      <c r="BB10">
        <v>350</v>
      </c>
      <c r="BC10">
        <v>20</v>
      </c>
      <c r="BD10">
        <v>4884</v>
      </c>
      <c r="BE10">
        <v>325728240</v>
      </c>
      <c r="BF10" s="85">
        <v>45603</v>
      </c>
      <c r="BG10" s="85">
        <v>45611</v>
      </c>
      <c r="BH10" t="s">
        <v>59</v>
      </c>
      <c r="BI10">
        <v>1</v>
      </c>
    </row>
    <row r="11" spans="2:61" x14ac:dyDescent="0.25">
      <c r="B11" t="s">
        <v>40</v>
      </c>
      <c r="C11" t="s">
        <v>375</v>
      </c>
      <c r="E11" t="s">
        <v>45</v>
      </c>
      <c r="G11" t="s">
        <v>132</v>
      </c>
      <c r="H11" t="s">
        <v>404</v>
      </c>
      <c r="I11" t="s">
        <v>49</v>
      </c>
      <c r="J11" t="s">
        <v>42</v>
      </c>
      <c r="K11" t="s">
        <v>49</v>
      </c>
      <c r="L11" t="s">
        <v>49</v>
      </c>
      <c r="N11">
        <v>321</v>
      </c>
      <c r="O11" t="s">
        <v>43</v>
      </c>
      <c r="P11">
        <v>0</v>
      </c>
      <c r="Q11">
        <v>0</v>
      </c>
      <c r="R11">
        <v>1231</v>
      </c>
      <c r="S11">
        <v>1231</v>
      </c>
      <c r="T11">
        <v>1515361</v>
      </c>
      <c r="U11">
        <v>0</v>
      </c>
      <c r="V11">
        <v>0</v>
      </c>
      <c r="W11" t="s">
        <v>46</v>
      </c>
      <c r="X11">
        <v>1006</v>
      </c>
      <c r="Y11">
        <v>21</v>
      </c>
      <c r="Z11">
        <v>54</v>
      </c>
      <c r="AB11">
        <v>17</v>
      </c>
      <c r="AD11" t="s">
        <v>311</v>
      </c>
      <c r="AE11">
        <v>20</v>
      </c>
      <c r="AF11" s="1">
        <v>45604.714930555558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1023</v>
      </c>
      <c r="AP11">
        <v>346</v>
      </c>
      <c r="AQ11">
        <v>54</v>
      </c>
      <c r="AR11">
        <v>17</v>
      </c>
      <c r="AU11" s="110"/>
      <c r="AV11" s="43">
        <v>0</v>
      </c>
      <c r="AW11" s="110"/>
      <c r="BB11">
        <v>351</v>
      </c>
      <c r="BC11">
        <v>20</v>
      </c>
      <c r="BD11">
        <v>2343</v>
      </c>
      <c r="BE11">
        <v>947142876</v>
      </c>
      <c r="BF11" s="85">
        <v>45605</v>
      </c>
      <c r="BG11" s="85">
        <v>45606</v>
      </c>
      <c r="BH11" t="s">
        <v>59</v>
      </c>
      <c r="BI11">
        <v>1</v>
      </c>
    </row>
    <row r="12" spans="2:61" x14ac:dyDescent="0.25">
      <c r="B12" t="s">
        <v>40</v>
      </c>
      <c r="C12" t="s">
        <v>375</v>
      </c>
      <c r="E12" t="s">
        <v>96</v>
      </c>
      <c r="G12" t="s">
        <v>132</v>
      </c>
      <c r="H12" t="s">
        <v>404</v>
      </c>
      <c r="I12" t="s">
        <v>49</v>
      </c>
      <c r="J12" t="s">
        <v>42</v>
      </c>
      <c r="K12" t="s">
        <v>49</v>
      </c>
      <c r="L12" t="s">
        <v>49</v>
      </c>
      <c r="N12">
        <v>1212</v>
      </c>
      <c r="O12" t="s">
        <v>43</v>
      </c>
      <c r="P12">
        <v>0</v>
      </c>
      <c r="Q12">
        <v>0</v>
      </c>
      <c r="R12">
        <v>1232</v>
      </c>
      <c r="S12">
        <v>31234</v>
      </c>
      <c r="T12">
        <v>38480288</v>
      </c>
      <c r="U12">
        <v>0</v>
      </c>
      <c r="V12">
        <v>0</v>
      </c>
      <c r="W12" t="s">
        <v>46</v>
      </c>
      <c r="X12">
        <v>1007</v>
      </c>
      <c r="Y12">
        <v>23</v>
      </c>
      <c r="Z12">
        <v>54</v>
      </c>
      <c r="AB12">
        <v>17</v>
      </c>
      <c r="AD12" t="s">
        <v>311</v>
      </c>
      <c r="AE12">
        <v>20</v>
      </c>
      <c r="AF12" s="1">
        <v>45604.714930555558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1025</v>
      </c>
      <c r="AP12">
        <v>346</v>
      </c>
      <c r="AQ12">
        <v>54</v>
      </c>
      <c r="AR12">
        <v>17</v>
      </c>
      <c r="AU12" s="110"/>
      <c r="AV12" s="43">
        <v>0</v>
      </c>
      <c r="AW12" s="110"/>
      <c r="BB12">
        <v>352</v>
      </c>
      <c r="BC12">
        <v>20</v>
      </c>
      <c r="BD12">
        <v>7378</v>
      </c>
      <c r="BE12">
        <v>342085256</v>
      </c>
      <c r="BF12" s="85">
        <v>45604</v>
      </c>
      <c r="BG12" s="85">
        <v>45608</v>
      </c>
      <c r="BH12" t="s">
        <v>59</v>
      </c>
      <c r="BI12">
        <v>1</v>
      </c>
    </row>
    <row r="13" spans="2:61" x14ac:dyDescent="0.25">
      <c r="B13" t="s">
        <v>40</v>
      </c>
      <c r="C13" t="s">
        <v>375</v>
      </c>
      <c r="E13" t="s">
        <v>99</v>
      </c>
      <c r="G13" t="s">
        <v>132</v>
      </c>
      <c r="H13" t="s">
        <v>404</v>
      </c>
      <c r="I13" t="s">
        <v>49</v>
      </c>
      <c r="J13" t="s">
        <v>42</v>
      </c>
      <c r="K13" t="s">
        <v>49</v>
      </c>
      <c r="L13" t="s">
        <v>49</v>
      </c>
      <c r="N13">
        <v>4332</v>
      </c>
      <c r="O13" t="s">
        <v>43</v>
      </c>
      <c r="P13">
        <v>0</v>
      </c>
      <c r="Q13">
        <v>0</v>
      </c>
      <c r="R13">
        <v>5233</v>
      </c>
      <c r="S13">
        <v>12312</v>
      </c>
      <c r="T13">
        <v>64428696</v>
      </c>
      <c r="U13">
        <v>0</v>
      </c>
      <c r="V13">
        <v>0</v>
      </c>
      <c r="W13" t="s">
        <v>46</v>
      </c>
      <c r="X13">
        <v>1008</v>
      </c>
      <c r="Y13">
        <v>24</v>
      </c>
      <c r="Z13">
        <v>54</v>
      </c>
      <c r="AB13">
        <v>17</v>
      </c>
      <c r="AD13" t="s">
        <v>311</v>
      </c>
      <c r="AE13">
        <v>20</v>
      </c>
      <c r="AF13" s="1">
        <v>45604.714930555558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1026</v>
      </c>
      <c r="AP13">
        <v>346</v>
      </c>
      <c r="AQ13">
        <v>54</v>
      </c>
      <c r="AR13">
        <v>17</v>
      </c>
      <c r="AU13" s="110"/>
      <c r="AV13" s="43">
        <v>0</v>
      </c>
      <c r="AW13" s="110"/>
      <c r="BB13">
        <v>353</v>
      </c>
      <c r="BC13">
        <v>20</v>
      </c>
      <c r="BD13">
        <v>2921</v>
      </c>
      <c r="BE13">
        <v>380478000</v>
      </c>
      <c r="BF13" s="85">
        <v>45604</v>
      </c>
      <c r="BG13" s="85">
        <v>45608</v>
      </c>
      <c r="BH13" t="s">
        <v>59</v>
      </c>
      <c r="BI13">
        <v>0</v>
      </c>
    </row>
    <row r="14" spans="2:61" x14ac:dyDescent="0.25">
      <c r="B14" t="s">
        <v>40</v>
      </c>
      <c r="C14" t="s">
        <v>375</v>
      </c>
      <c r="E14" t="s">
        <v>92</v>
      </c>
      <c r="G14" t="s">
        <v>132</v>
      </c>
      <c r="H14" t="s">
        <v>404</v>
      </c>
      <c r="I14" t="s">
        <v>49</v>
      </c>
      <c r="J14" t="s">
        <v>42</v>
      </c>
      <c r="K14" t="s">
        <v>49</v>
      </c>
      <c r="L14" t="s">
        <v>49</v>
      </c>
      <c r="N14">
        <v>12312</v>
      </c>
      <c r="O14" t="s">
        <v>43</v>
      </c>
      <c r="P14">
        <v>0</v>
      </c>
      <c r="Q14">
        <v>0</v>
      </c>
      <c r="R14">
        <v>3212</v>
      </c>
      <c r="S14">
        <v>3232</v>
      </c>
      <c r="T14">
        <v>10381184</v>
      </c>
      <c r="U14">
        <v>0</v>
      </c>
      <c r="V14">
        <v>0</v>
      </c>
      <c r="W14" t="s">
        <v>46</v>
      </c>
      <c r="X14">
        <v>1009</v>
      </c>
      <c r="Y14">
        <v>37</v>
      </c>
      <c r="Z14">
        <v>54</v>
      </c>
      <c r="AB14">
        <v>17</v>
      </c>
      <c r="AD14" t="s">
        <v>311</v>
      </c>
      <c r="AE14">
        <v>20</v>
      </c>
      <c r="AF14" s="1">
        <v>45604.714930555558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1028</v>
      </c>
      <c r="AP14">
        <v>346</v>
      </c>
      <c r="AQ14">
        <v>54</v>
      </c>
      <c r="AR14">
        <v>17</v>
      </c>
      <c r="AU14" s="110"/>
      <c r="AV14" s="43">
        <v>0</v>
      </c>
      <c r="AW14" s="110"/>
      <c r="BB14">
        <v>354</v>
      </c>
      <c r="BC14">
        <v>20</v>
      </c>
      <c r="BD14">
        <v>1552</v>
      </c>
      <c r="BE14">
        <v>2142855000</v>
      </c>
      <c r="BF14" s="85">
        <v>45603</v>
      </c>
      <c r="BG14" s="85">
        <v>45607</v>
      </c>
      <c r="BH14" t="s">
        <v>59</v>
      </c>
      <c r="BI14">
        <v>0</v>
      </c>
    </row>
    <row r="15" spans="2:61" x14ac:dyDescent="0.25">
      <c r="B15" t="s">
        <v>40</v>
      </c>
      <c r="C15" t="s">
        <v>375</v>
      </c>
      <c r="E15" t="s">
        <v>94</v>
      </c>
      <c r="G15" t="s">
        <v>132</v>
      </c>
      <c r="H15" t="s">
        <v>404</v>
      </c>
      <c r="I15" t="s">
        <v>49</v>
      </c>
      <c r="J15" t="s">
        <v>42</v>
      </c>
      <c r="K15" t="s">
        <v>49</v>
      </c>
      <c r="L15" t="s">
        <v>49</v>
      </c>
      <c r="N15">
        <v>2122</v>
      </c>
      <c r="O15" t="s">
        <v>43</v>
      </c>
      <c r="P15">
        <v>0</v>
      </c>
      <c r="Q15">
        <v>0</v>
      </c>
      <c r="R15">
        <v>3232</v>
      </c>
      <c r="S15">
        <v>12334</v>
      </c>
      <c r="T15">
        <v>39863488</v>
      </c>
      <c r="U15">
        <v>0</v>
      </c>
      <c r="V15">
        <v>0</v>
      </c>
      <c r="W15" t="s">
        <v>46</v>
      </c>
      <c r="X15">
        <v>1010</v>
      </c>
      <c r="Y15">
        <v>38</v>
      </c>
      <c r="Z15">
        <v>54</v>
      </c>
      <c r="AB15">
        <v>17</v>
      </c>
      <c r="AD15" t="s">
        <v>311</v>
      </c>
      <c r="AE15">
        <v>20</v>
      </c>
      <c r="AF15" s="1">
        <v>45604.714930555558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1029</v>
      </c>
      <c r="AP15">
        <v>346</v>
      </c>
      <c r="AQ15">
        <v>54</v>
      </c>
      <c r="AR15">
        <v>17</v>
      </c>
      <c r="AU15" s="110"/>
      <c r="AV15" s="43">
        <v>0</v>
      </c>
      <c r="AW15" s="110"/>
      <c r="BB15">
        <v>355</v>
      </c>
      <c r="BC15">
        <v>20</v>
      </c>
      <c r="BD15">
        <v>3888</v>
      </c>
      <c r="BE15">
        <v>1571427000</v>
      </c>
      <c r="BF15" s="85">
        <v>45603</v>
      </c>
      <c r="BG15" s="85">
        <v>45608</v>
      </c>
      <c r="BH15" t="s">
        <v>59</v>
      </c>
      <c r="BI15">
        <v>0</v>
      </c>
    </row>
    <row r="16" spans="2:61" x14ac:dyDescent="0.25">
      <c r="B16" t="s">
        <v>40</v>
      </c>
      <c r="C16" t="s">
        <v>386</v>
      </c>
      <c r="E16" t="s">
        <v>89</v>
      </c>
      <c r="G16" t="s">
        <v>132</v>
      </c>
      <c r="H16" t="s">
        <v>410</v>
      </c>
      <c r="I16" t="s">
        <v>49</v>
      </c>
      <c r="J16" t="s">
        <v>42</v>
      </c>
      <c r="K16" t="s">
        <v>49</v>
      </c>
      <c r="L16" t="s">
        <v>49</v>
      </c>
      <c r="N16">
        <v>12312</v>
      </c>
      <c r="O16" t="s">
        <v>43</v>
      </c>
      <c r="P16">
        <v>0</v>
      </c>
      <c r="Q16">
        <v>0</v>
      </c>
      <c r="R16">
        <v>2312</v>
      </c>
      <c r="S16">
        <v>12431</v>
      </c>
      <c r="T16">
        <v>28740472</v>
      </c>
      <c r="U16">
        <v>0</v>
      </c>
      <c r="V16">
        <v>0</v>
      </c>
      <c r="W16" t="s">
        <v>50</v>
      </c>
      <c r="X16">
        <v>1011</v>
      </c>
      <c r="Y16">
        <v>36</v>
      </c>
      <c r="Z16">
        <v>54</v>
      </c>
      <c r="AB16">
        <v>18</v>
      </c>
      <c r="AD16" t="s">
        <v>405</v>
      </c>
      <c r="AE16">
        <v>20</v>
      </c>
      <c r="AF16" s="1">
        <v>45604.715497685182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1027</v>
      </c>
      <c r="AP16">
        <v>347</v>
      </c>
      <c r="AQ16">
        <v>54</v>
      </c>
      <c r="AR16">
        <v>18</v>
      </c>
      <c r="AU16" s="110"/>
      <c r="AV16" s="43">
        <v>0</v>
      </c>
      <c r="AW16" s="110"/>
      <c r="BB16">
        <v>356</v>
      </c>
      <c r="BC16">
        <v>20</v>
      </c>
      <c r="BD16">
        <v>8528</v>
      </c>
      <c r="BE16">
        <v>1428570000</v>
      </c>
      <c r="BF16" s="85">
        <v>45603</v>
      </c>
      <c r="BG16" s="85">
        <v>45607</v>
      </c>
      <c r="BH16" t="s">
        <v>59</v>
      </c>
      <c r="BI16">
        <v>0</v>
      </c>
    </row>
    <row r="17" spans="2:61" x14ac:dyDescent="0.25">
      <c r="B17" t="s">
        <v>40</v>
      </c>
      <c r="C17" t="s">
        <v>386</v>
      </c>
      <c r="E17" t="s">
        <v>92</v>
      </c>
      <c r="G17" t="s">
        <v>132</v>
      </c>
      <c r="H17" t="s">
        <v>410</v>
      </c>
      <c r="I17" t="s">
        <v>49</v>
      </c>
      <c r="J17" t="s">
        <v>42</v>
      </c>
      <c r="K17" t="s">
        <v>49</v>
      </c>
      <c r="L17" t="s">
        <v>49</v>
      </c>
      <c r="N17">
        <v>3242</v>
      </c>
      <c r="O17" t="s">
        <v>43</v>
      </c>
      <c r="P17">
        <v>0</v>
      </c>
      <c r="Q17">
        <v>0</v>
      </c>
      <c r="R17">
        <v>4322</v>
      </c>
      <c r="S17">
        <v>4322</v>
      </c>
      <c r="T17">
        <v>18679684</v>
      </c>
      <c r="U17">
        <v>0</v>
      </c>
      <c r="V17">
        <v>0</v>
      </c>
      <c r="W17" t="s">
        <v>50</v>
      </c>
      <c r="X17">
        <v>1012</v>
      </c>
      <c r="Y17">
        <v>37</v>
      </c>
      <c r="Z17">
        <v>54</v>
      </c>
      <c r="AB17">
        <v>18</v>
      </c>
      <c r="AD17" t="s">
        <v>405</v>
      </c>
      <c r="AE17">
        <v>20</v>
      </c>
      <c r="AF17" s="1">
        <v>45604.715497685182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1028</v>
      </c>
      <c r="AP17">
        <v>347</v>
      </c>
      <c r="AQ17">
        <v>54</v>
      </c>
      <c r="AR17">
        <v>18</v>
      </c>
      <c r="AU17" s="110"/>
      <c r="AV17" s="43">
        <v>0</v>
      </c>
      <c r="AW17" s="110"/>
      <c r="BB17">
        <v>357</v>
      </c>
      <c r="BC17">
        <v>20</v>
      </c>
      <c r="BD17">
        <v>3727</v>
      </c>
      <c r="BE17">
        <v>0</v>
      </c>
      <c r="BF17" s="85">
        <v>45603</v>
      </c>
      <c r="BG17" s="85">
        <v>45605</v>
      </c>
      <c r="BH17" t="s">
        <v>59</v>
      </c>
      <c r="BI17">
        <v>0</v>
      </c>
    </row>
    <row r="18" spans="2:61" x14ac:dyDescent="0.25">
      <c r="B18" t="s">
        <v>40</v>
      </c>
      <c r="C18" t="s">
        <v>386</v>
      </c>
      <c r="E18" t="s">
        <v>94</v>
      </c>
      <c r="G18" t="s">
        <v>132</v>
      </c>
      <c r="H18" t="s">
        <v>410</v>
      </c>
      <c r="I18" t="s">
        <v>49</v>
      </c>
      <c r="J18" t="s">
        <v>42</v>
      </c>
      <c r="K18" t="s">
        <v>49</v>
      </c>
      <c r="L18" t="s">
        <v>49</v>
      </c>
      <c r="N18">
        <v>23423</v>
      </c>
      <c r="O18" t="s">
        <v>43</v>
      </c>
      <c r="P18">
        <v>0</v>
      </c>
      <c r="Q18">
        <v>0</v>
      </c>
      <c r="R18">
        <v>2342</v>
      </c>
      <c r="S18">
        <v>2342</v>
      </c>
      <c r="T18">
        <v>5484964</v>
      </c>
      <c r="U18">
        <v>0</v>
      </c>
      <c r="V18">
        <v>0</v>
      </c>
      <c r="W18" t="s">
        <v>50</v>
      </c>
      <c r="X18">
        <v>1013</v>
      </c>
      <c r="Y18">
        <v>38</v>
      </c>
      <c r="Z18">
        <v>54</v>
      </c>
      <c r="AB18">
        <v>18</v>
      </c>
      <c r="AD18" t="s">
        <v>405</v>
      </c>
      <c r="AE18">
        <v>20</v>
      </c>
      <c r="AF18" s="1">
        <v>45604.715497685182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1029</v>
      </c>
      <c r="AP18">
        <v>347</v>
      </c>
      <c r="AQ18">
        <v>54</v>
      </c>
      <c r="AR18">
        <v>18</v>
      </c>
      <c r="AU18" s="110"/>
      <c r="AV18" s="43">
        <v>0</v>
      </c>
      <c r="AW18" s="110"/>
      <c r="BB18">
        <v>358</v>
      </c>
      <c r="BC18">
        <v>20</v>
      </c>
      <c r="BD18">
        <v>6630</v>
      </c>
      <c r="BE18">
        <v>285714000</v>
      </c>
      <c r="BF18" s="85">
        <v>45603</v>
      </c>
      <c r="BG18" s="85">
        <v>45607</v>
      </c>
      <c r="BH18" t="s">
        <v>59</v>
      </c>
      <c r="BI18">
        <v>0</v>
      </c>
    </row>
    <row r="19" spans="2:61" x14ac:dyDescent="0.25">
      <c r="B19" t="s">
        <v>40</v>
      </c>
      <c r="C19" t="s">
        <v>386</v>
      </c>
      <c r="E19" t="s">
        <v>100</v>
      </c>
      <c r="G19" t="s">
        <v>132</v>
      </c>
      <c r="H19" t="s">
        <v>410</v>
      </c>
      <c r="I19" t="s">
        <v>49</v>
      </c>
      <c r="J19" t="s">
        <v>42</v>
      </c>
      <c r="K19" t="s">
        <v>49</v>
      </c>
      <c r="L19" t="s">
        <v>49</v>
      </c>
      <c r="N19">
        <v>23332</v>
      </c>
      <c r="O19" t="s">
        <v>43</v>
      </c>
      <c r="P19">
        <v>0</v>
      </c>
      <c r="Q19">
        <v>0</v>
      </c>
      <c r="R19">
        <v>3243</v>
      </c>
      <c r="S19">
        <v>23523</v>
      </c>
      <c r="T19">
        <v>76285089</v>
      </c>
      <c r="U19">
        <v>0</v>
      </c>
      <c r="V19">
        <v>0</v>
      </c>
      <c r="W19" t="s">
        <v>50</v>
      </c>
      <c r="X19">
        <v>1014</v>
      </c>
      <c r="Y19">
        <v>25</v>
      </c>
      <c r="Z19">
        <v>54</v>
      </c>
      <c r="AB19">
        <v>18</v>
      </c>
      <c r="AD19" t="s">
        <v>405</v>
      </c>
      <c r="AE19">
        <v>20</v>
      </c>
      <c r="AF19" s="1">
        <v>45604.715497685182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1030</v>
      </c>
      <c r="AP19">
        <v>347</v>
      </c>
      <c r="AQ19">
        <v>54</v>
      </c>
      <c r="AR19">
        <v>18</v>
      </c>
      <c r="AU19" s="110"/>
      <c r="AV19" s="43">
        <v>0</v>
      </c>
      <c r="AW19" s="110"/>
      <c r="BB19">
        <v>359</v>
      </c>
      <c r="BC19">
        <v>20</v>
      </c>
      <c r="BD19">
        <v>7403</v>
      </c>
      <c r="BE19">
        <v>0</v>
      </c>
      <c r="BF19" s="85">
        <v>45603</v>
      </c>
      <c r="BG19" s="85">
        <v>45608</v>
      </c>
      <c r="BH19" t="s">
        <v>59</v>
      </c>
      <c r="BI19">
        <v>0</v>
      </c>
    </row>
    <row r="20" spans="2:61" x14ac:dyDescent="0.25">
      <c r="B20" t="s">
        <v>40</v>
      </c>
      <c r="C20" t="s">
        <v>386</v>
      </c>
      <c r="E20" t="s">
        <v>103</v>
      </c>
      <c r="G20" t="s">
        <v>132</v>
      </c>
      <c r="H20" t="s">
        <v>410</v>
      </c>
      <c r="I20" t="s">
        <v>49</v>
      </c>
      <c r="J20" t="s">
        <v>42</v>
      </c>
      <c r="K20" t="s">
        <v>49</v>
      </c>
      <c r="L20" t="s">
        <v>49</v>
      </c>
      <c r="N20">
        <v>2343</v>
      </c>
      <c r="O20" t="s">
        <v>43</v>
      </c>
      <c r="P20">
        <v>0</v>
      </c>
      <c r="Q20">
        <v>0</v>
      </c>
      <c r="R20">
        <v>2343</v>
      </c>
      <c r="S20">
        <v>54223</v>
      </c>
      <c r="T20">
        <v>127044489</v>
      </c>
      <c r="U20">
        <v>0</v>
      </c>
      <c r="V20">
        <v>0</v>
      </c>
      <c r="W20" t="s">
        <v>50</v>
      </c>
      <c r="X20">
        <v>1015</v>
      </c>
      <c r="Y20">
        <v>26</v>
      </c>
      <c r="Z20">
        <v>54</v>
      </c>
      <c r="AB20">
        <v>18</v>
      </c>
      <c r="AD20" t="s">
        <v>405</v>
      </c>
      <c r="AE20">
        <v>20</v>
      </c>
      <c r="AF20" s="1">
        <v>45604.715497685182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1031</v>
      </c>
      <c r="AP20">
        <v>347</v>
      </c>
      <c r="AQ20">
        <v>54</v>
      </c>
      <c r="AR20">
        <v>18</v>
      </c>
      <c r="AU20" s="110"/>
      <c r="AV20" s="43">
        <v>0</v>
      </c>
      <c r="AW20" s="110"/>
      <c r="BB20">
        <v>360</v>
      </c>
      <c r="BC20">
        <v>20</v>
      </c>
      <c r="BD20">
        <v>3806</v>
      </c>
      <c r="BE20">
        <v>0</v>
      </c>
      <c r="BF20" s="85">
        <v>45610</v>
      </c>
      <c r="BG20" s="85">
        <v>45612</v>
      </c>
      <c r="BH20" t="s">
        <v>59</v>
      </c>
      <c r="BI20">
        <v>0</v>
      </c>
    </row>
    <row r="21" spans="2:61" x14ac:dyDescent="0.25">
      <c r="B21" t="s">
        <v>40</v>
      </c>
      <c r="C21" t="s">
        <v>314</v>
      </c>
      <c r="E21" t="s">
        <v>41</v>
      </c>
      <c r="G21" t="s">
        <v>132</v>
      </c>
      <c r="H21" t="s">
        <v>411</v>
      </c>
      <c r="I21" t="s">
        <v>49</v>
      </c>
      <c r="J21" t="s">
        <v>377</v>
      </c>
      <c r="K21" t="s">
        <v>49</v>
      </c>
      <c r="L21" t="s">
        <v>49</v>
      </c>
      <c r="N21">
        <v>2342</v>
      </c>
      <c r="O21" t="s">
        <v>43</v>
      </c>
      <c r="P21">
        <v>0</v>
      </c>
      <c r="Q21">
        <v>0</v>
      </c>
      <c r="R21">
        <v>6545</v>
      </c>
      <c r="S21">
        <v>23423</v>
      </c>
      <c r="T21">
        <v>153303535</v>
      </c>
      <c r="U21">
        <v>0</v>
      </c>
      <c r="V21">
        <v>0</v>
      </c>
      <c r="W21" t="s">
        <v>148</v>
      </c>
      <c r="X21">
        <v>1016</v>
      </c>
      <c r="Y21">
        <v>20</v>
      </c>
      <c r="Z21">
        <v>54</v>
      </c>
      <c r="AB21">
        <v>19</v>
      </c>
      <c r="AD21" t="s">
        <v>401</v>
      </c>
      <c r="AE21">
        <v>20</v>
      </c>
      <c r="AF21" s="1">
        <v>45604.71607638889</v>
      </c>
      <c r="AG21">
        <v>13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1022</v>
      </c>
      <c r="AP21">
        <v>348</v>
      </c>
      <c r="AQ21">
        <v>54</v>
      </c>
      <c r="AR21">
        <v>19</v>
      </c>
      <c r="AU21" s="110"/>
      <c r="AV21" s="43">
        <v>0</v>
      </c>
      <c r="AW21" s="110"/>
      <c r="BB21">
        <v>361</v>
      </c>
      <c r="BC21">
        <v>20</v>
      </c>
      <c r="BD21">
        <v>4703</v>
      </c>
      <c r="BE21">
        <v>428571000</v>
      </c>
      <c r="BF21" s="85">
        <v>45602</v>
      </c>
      <c r="BG21" s="85">
        <v>45610</v>
      </c>
      <c r="BH21" t="s">
        <v>59</v>
      </c>
      <c r="BI21">
        <v>0</v>
      </c>
    </row>
    <row r="22" spans="2:61" x14ac:dyDescent="0.25">
      <c r="B22" t="s">
        <v>40</v>
      </c>
      <c r="C22" t="s">
        <v>314</v>
      </c>
      <c r="E22" t="s">
        <v>45</v>
      </c>
      <c r="G22" t="s">
        <v>132</v>
      </c>
      <c r="H22" t="s">
        <v>411</v>
      </c>
      <c r="I22" t="s">
        <v>49</v>
      </c>
      <c r="J22" t="s">
        <v>377</v>
      </c>
      <c r="K22" t="s">
        <v>49</v>
      </c>
      <c r="L22" t="s">
        <v>49</v>
      </c>
      <c r="N22">
        <v>23423</v>
      </c>
      <c r="O22" t="s">
        <v>43</v>
      </c>
      <c r="P22">
        <v>0</v>
      </c>
      <c r="Q22">
        <v>0</v>
      </c>
      <c r="R22">
        <v>3333</v>
      </c>
      <c r="S22">
        <v>23423</v>
      </c>
      <c r="T22">
        <v>78068859</v>
      </c>
      <c r="U22">
        <v>0</v>
      </c>
      <c r="V22">
        <v>0</v>
      </c>
      <c r="W22" t="s">
        <v>148</v>
      </c>
      <c r="X22">
        <v>1017</v>
      </c>
      <c r="Y22">
        <v>21</v>
      </c>
      <c r="Z22">
        <v>54</v>
      </c>
      <c r="AB22">
        <v>19</v>
      </c>
      <c r="AD22" t="s">
        <v>401</v>
      </c>
      <c r="AE22">
        <v>20</v>
      </c>
      <c r="AF22" s="1">
        <v>45604.71607638889</v>
      </c>
      <c r="AG22">
        <v>13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1023</v>
      </c>
      <c r="AP22">
        <v>348</v>
      </c>
      <c r="AQ22">
        <v>54</v>
      </c>
      <c r="AR22">
        <v>19</v>
      </c>
      <c r="AU22" s="110"/>
      <c r="AV22" s="43">
        <v>0</v>
      </c>
      <c r="AW22" s="110"/>
      <c r="BB22">
        <v>362</v>
      </c>
      <c r="BC22">
        <v>20</v>
      </c>
      <c r="BD22">
        <v>1488</v>
      </c>
      <c r="BE22">
        <v>485570943</v>
      </c>
      <c r="BF22" s="85">
        <v>45603</v>
      </c>
      <c r="BG22" s="85">
        <v>45605</v>
      </c>
      <c r="BH22" t="s">
        <v>59</v>
      </c>
      <c r="BI22">
        <v>0</v>
      </c>
    </row>
    <row r="23" spans="2:61" x14ac:dyDescent="0.25">
      <c r="B23" t="s">
        <v>40</v>
      </c>
      <c r="C23" t="s">
        <v>314</v>
      </c>
      <c r="E23" t="s">
        <v>87</v>
      </c>
      <c r="G23" t="s">
        <v>132</v>
      </c>
      <c r="H23" t="s">
        <v>411</v>
      </c>
      <c r="I23" t="s">
        <v>49</v>
      </c>
      <c r="J23" t="s">
        <v>377</v>
      </c>
      <c r="K23" t="s">
        <v>49</v>
      </c>
      <c r="L23" t="s">
        <v>49</v>
      </c>
      <c r="N23">
        <v>23423</v>
      </c>
      <c r="O23" t="s">
        <v>43</v>
      </c>
      <c r="P23">
        <v>0</v>
      </c>
      <c r="Q23">
        <v>0</v>
      </c>
      <c r="R23">
        <v>2344</v>
      </c>
      <c r="S23">
        <v>4563</v>
      </c>
      <c r="T23">
        <v>10695672</v>
      </c>
      <c r="U23">
        <v>0</v>
      </c>
      <c r="V23">
        <v>0</v>
      </c>
      <c r="W23" t="s">
        <v>148</v>
      </c>
      <c r="X23">
        <v>1018</v>
      </c>
      <c r="Y23">
        <v>22</v>
      </c>
      <c r="Z23">
        <v>54</v>
      </c>
      <c r="AB23">
        <v>19</v>
      </c>
      <c r="AD23" t="s">
        <v>401</v>
      </c>
      <c r="AE23">
        <v>20</v>
      </c>
      <c r="AF23" s="1">
        <v>45604.71607638889</v>
      </c>
      <c r="AG23">
        <v>13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1024</v>
      </c>
      <c r="AP23">
        <v>348</v>
      </c>
      <c r="AQ23">
        <v>54</v>
      </c>
      <c r="AR23">
        <v>19</v>
      </c>
      <c r="AU23" s="110"/>
      <c r="AV23" s="43">
        <v>0</v>
      </c>
      <c r="AW23" s="110"/>
      <c r="BB23">
        <v>363</v>
      </c>
      <c r="BC23">
        <v>20</v>
      </c>
      <c r="BD23">
        <v>4393</v>
      </c>
      <c r="BE23">
        <v>620570808</v>
      </c>
      <c r="BF23" s="85">
        <v>45610</v>
      </c>
      <c r="BG23" s="85">
        <v>45612</v>
      </c>
      <c r="BH23" t="s">
        <v>59</v>
      </c>
      <c r="BI23">
        <v>0</v>
      </c>
    </row>
    <row r="24" spans="2:61" x14ac:dyDescent="0.25">
      <c r="B24" t="s">
        <v>40</v>
      </c>
      <c r="C24" t="s">
        <v>314</v>
      </c>
      <c r="E24" t="s">
        <v>92</v>
      </c>
      <c r="G24" t="s">
        <v>132</v>
      </c>
      <c r="H24" t="s">
        <v>411</v>
      </c>
      <c r="I24" t="s">
        <v>49</v>
      </c>
      <c r="J24" t="s">
        <v>377</v>
      </c>
      <c r="K24" t="s">
        <v>49</v>
      </c>
      <c r="L24" t="s">
        <v>49</v>
      </c>
      <c r="N24">
        <v>3242</v>
      </c>
      <c r="O24" t="s">
        <v>43</v>
      </c>
      <c r="P24">
        <v>0</v>
      </c>
      <c r="Q24">
        <v>0</v>
      </c>
      <c r="R24">
        <v>234</v>
      </c>
      <c r="S24">
        <v>5364</v>
      </c>
      <c r="T24">
        <v>1255176</v>
      </c>
      <c r="U24">
        <v>0</v>
      </c>
      <c r="V24">
        <v>0</v>
      </c>
      <c r="W24" t="s">
        <v>148</v>
      </c>
      <c r="X24">
        <v>1019</v>
      </c>
      <c r="Y24">
        <v>37</v>
      </c>
      <c r="Z24">
        <v>54</v>
      </c>
      <c r="AB24">
        <v>19</v>
      </c>
      <c r="AD24" t="s">
        <v>401</v>
      </c>
      <c r="AE24">
        <v>20</v>
      </c>
      <c r="AF24" s="1">
        <v>45604.71607638889</v>
      </c>
      <c r="AG24">
        <v>13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1028</v>
      </c>
      <c r="AP24">
        <v>348</v>
      </c>
      <c r="AQ24">
        <v>54</v>
      </c>
      <c r="AR24">
        <v>19</v>
      </c>
      <c r="AU24" s="110"/>
      <c r="AV24" s="43">
        <v>0</v>
      </c>
      <c r="AW24" s="110"/>
      <c r="BB24">
        <v>364</v>
      </c>
      <c r="BC24">
        <v>20</v>
      </c>
      <c r="BD24">
        <v>2321</v>
      </c>
      <c r="BE24">
        <v>0</v>
      </c>
      <c r="BF24" s="85">
        <v>45610</v>
      </c>
      <c r="BG24" s="85">
        <v>45612</v>
      </c>
      <c r="BH24" t="s">
        <v>59</v>
      </c>
      <c r="BI24">
        <v>0</v>
      </c>
    </row>
    <row r="25" spans="2:61" x14ac:dyDescent="0.25">
      <c r="B25" t="s">
        <v>40</v>
      </c>
      <c r="C25" t="s">
        <v>312</v>
      </c>
      <c r="E25" t="s">
        <v>89</v>
      </c>
      <c r="G25" t="s">
        <v>132</v>
      </c>
      <c r="H25" t="s">
        <v>412</v>
      </c>
      <c r="I25" t="s">
        <v>49</v>
      </c>
      <c r="J25" t="s">
        <v>42</v>
      </c>
      <c r="K25" t="s">
        <v>49</v>
      </c>
      <c r="L25" t="s">
        <v>49</v>
      </c>
      <c r="N25">
        <v>5435</v>
      </c>
      <c r="O25" t="s">
        <v>43</v>
      </c>
      <c r="P25">
        <v>0</v>
      </c>
      <c r="Q25">
        <v>0</v>
      </c>
      <c r="R25">
        <v>6544</v>
      </c>
      <c r="S25">
        <v>3234</v>
      </c>
      <c r="T25">
        <v>21163296</v>
      </c>
      <c r="U25">
        <v>0</v>
      </c>
      <c r="V25">
        <v>0</v>
      </c>
      <c r="W25" t="s">
        <v>149</v>
      </c>
      <c r="X25">
        <v>1020</v>
      </c>
      <c r="Y25">
        <v>36</v>
      </c>
      <c r="Z25">
        <v>54</v>
      </c>
      <c r="AB25">
        <v>20</v>
      </c>
      <c r="AD25" t="s">
        <v>386</v>
      </c>
      <c r="AE25">
        <v>20</v>
      </c>
      <c r="AF25" s="1">
        <v>45604.717037037037</v>
      </c>
      <c r="AG25">
        <v>1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1027</v>
      </c>
      <c r="AP25">
        <v>349</v>
      </c>
      <c r="AQ25">
        <v>54</v>
      </c>
      <c r="AR25">
        <v>20</v>
      </c>
      <c r="AU25" s="110"/>
      <c r="AV25" s="43">
        <v>0</v>
      </c>
      <c r="AW25" s="110"/>
      <c r="BB25">
        <v>365</v>
      </c>
      <c r="BC25">
        <v>20</v>
      </c>
      <c r="BD25">
        <v>2342</v>
      </c>
      <c r="BE25">
        <v>0</v>
      </c>
      <c r="BF25" s="85">
        <v>45604</v>
      </c>
      <c r="BG25" s="85">
        <v>45612</v>
      </c>
      <c r="BH25" t="s">
        <v>59</v>
      </c>
      <c r="BI25">
        <v>0</v>
      </c>
    </row>
    <row r="26" spans="2:61" x14ac:dyDescent="0.25">
      <c r="B26" t="s">
        <v>40</v>
      </c>
      <c r="C26" t="s">
        <v>312</v>
      </c>
      <c r="E26" t="s">
        <v>94</v>
      </c>
      <c r="G26" t="s">
        <v>132</v>
      </c>
      <c r="H26" t="s">
        <v>412</v>
      </c>
      <c r="I26" t="s">
        <v>49</v>
      </c>
      <c r="J26" t="s">
        <v>42</v>
      </c>
      <c r="K26" t="s">
        <v>49</v>
      </c>
      <c r="L26" t="s">
        <v>49</v>
      </c>
      <c r="N26">
        <v>6534</v>
      </c>
      <c r="O26" t="s">
        <v>43</v>
      </c>
      <c r="P26">
        <v>0</v>
      </c>
      <c r="Q26">
        <v>0</v>
      </c>
      <c r="R26">
        <v>6534</v>
      </c>
      <c r="S26">
        <v>3434</v>
      </c>
      <c r="T26">
        <v>22437756</v>
      </c>
      <c r="U26">
        <v>0</v>
      </c>
      <c r="V26">
        <v>0</v>
      </c>
      <c r="W26" t="s">
        <v>149</v>
      </c>
      <c r="X26">
        <v>1021</v>
      </c>
      <c r="Y26">
        <v>38</v>
      </c>
      <c r="Z26">
        <v>54</v>
      </c>
      <c r="AB26">
        <v>20</v>
      </c>
      <c r="AD26" t="s">
        <v>386</v>
      </c>
      <c r="AE26">
        <v>20</v>
      </c>
      <c r="AF26" s="1">
        <v>45604.717037037037</v>
      </c>
      <c r="AG26">
        <v>1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1029</v>
      </c>
      <c r="AP26">
        <v>349</v>
      </c>
      <c r="AQ26">
        <v>54</v>
      </c>
      <c r="AR26">
        <v>20</v>
      </c>
      <c r="AU26" s="110"/>
      <c r="AV26" s="43">
        <v>0</v>
      </c>
      <c r="AW26" s="110"/>
    </row>
    <row r="27" spans="2:61" x14ac:dyDescent="0.25">
      <c r="B27" t="s">
        <v>40</v>
      </c>
      <c r="C27" t="s">
        <v>312</v>
      </c>
      <c r="E27" t="s">
        <v>100</v>
      </c>
      <c r="G27" t="s">
        <v>132</v>
      </c>
      <c r="H27" t="s">
        <v>412</v>
      </c>
      <c r="I27" t="s">
        <v>49</v>
      </c>
      <c r="J27" t="s">
        <v>42</v>
      </c>
      <c r="K27" t="s">
        <v>49</v>
      </c>
      <c r="L27" t="s">
        <v>49</v>
      </c>
      <c r="N27">
        <v>34543</v>
      </c>
      <c r="O27" t="s">
        <v>43</v>
      </c>
      <c r="P27">
        <v>0</v>
      </c>
      <c r="Q27">
        <v>0</v>
      </c>
      <c r="R27">
        <v>4354</v>
      </c>
      <c r="S27">
        <v>45343</v>
      </c>
      <c r="T27">
        <v>197423422</v>
      </c>
      <c r="U27">
        <v>0</v>
      </c>
      <c r="V27">
        <v>0</v>
      </c>
      <c r="W27" t="s">
        <v>149</v>
      </c>
      <c r="X27">
        <v>1022</v>
      </c>
      <c r="Y27">
        <v>25</v>
      </c>
      <c r="Z27">
        <v>54</v>
      </c>
      <c r="AB27">
        <v>20</v>
      </c>
      <c r="AD27" t="s">
        <v>386</v>
      </c>
      <c r="AE27">
        <v>20</v>
      </c>
      <c r="AF27" s="1">
        <v>45604.717037037037</v>
      </c>
      <c r="AG27">
        <v>1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1030</v>
      </c>
      <c r="AP27">
        <v>349</v>
      </c>
      <c r="AQ27">
        <v>54</v>
      </c>
      <c r="AR27">
        <v>20</v>
      </c>
      <c r="AU27" s="110"/>
      <c r="AV27" s="43">
        <v>0</v>
      </c>
      <c r="AW27" s="110"/>
    </row>
    <row r="28" spans="2:61" x14ac:dyDescent="0.25">
      <c r="B28" t="s">
        <v>40</v>
      </c>
      <c r="C28" t="s">
        <v>312</v>
      </c>
      <c r="E28" t="s">
        <v>103</v>
      </c>
      <c r="G28" t="s">
        <v>132</v>
      </c>
      <c r="H28" t="s">
        <v>412</v>
      </c>
      <c r="I28" t="s">
        <v>49</v>
      </c>
      <c r="J28" t="s">
        <v>42</v>
      </c>
      <c r="K28" t="s">
        <v>49</v>
      </c>
      <c r="L28" t="s">
        <v>49</v>
      </c>
      <c r="N28">
        <v>45344</v>
      </c>
      <c r="O28" t="s">
        <v>43</v>
      </c>
      <c r="P28">
        <v>0</v>
      </c>
      <c r="Q28">
        <v>0</v>
      </c>
      <c r="R28">
        <v>4333</v>
      </c>
      <c r="S28">
        <v>23423</v>
      </c>
      <c r="T28">
        <v>101491859</v>
      </c>
      <c r="U28">
        <v>0</v>
      </c>
      <c r="V28">
        <v>0</v>
      </c>
      <c r="W28" t="s">
        <v>149</v>
      </c>
      <c r="X28">
        <v>1023</v>
      </c>
      <c r="Y28">
        <v>26</v>
      </c>
      <c r="Z28">
        <v>54</v>
      </c>
      <c r="AB28">
        <v>20</v>
      </c>
      <c r="AD28" t="s">
        <v>386</v>
      </c>
      <c r="AE28">
        <v>20</v>
      </c>
      <c r="AF28" s="1">
        <v>45604.717037037037</v>
      </c>
      <c r="AG28">
        <v>1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1031</v>
      </c>
      <c r="AP28">
        <v>349</v>
      </c>
      <c r="AQ28">
        <v>54</v>
      </c>
      <c r="AR28">
        <v>20</v>
      </c>
      <c r="AU28" s="110"/>
      <c r="AV28" s="43">
        <v>0</v>
      </c>
      <c r="AW28" s="110"/>
    </row>
    <row r="29" spans="2:61" x14ac:dyDescent="0.25">
      <c r="B29" t="s">
        <v>40</v>
      </c>
      <c r="C29" t="s">
        <v>312</v>
      </c>
      <c r="E29" t="s">
        <v>105</v>
      </c>
      <c r="G29" t="s">
        <v>132</v>
      </c>
      <c r="H29" t="s">
        <v>412</v>
      </c>
      <c r="I29" t="s">
        <v>49</v>
      </c>
      <c r="J29" t="s">
        <v>42</v>
      </c>
      <c r="K29" t="s">
        <v>49</v>
      </c>
      <c r="L29" t="s">
        <v>49</v>
      </c>
      <c r="N29">
        <v>3454</v>
      </c>
      <c r="O29" t="s">
        <v>43</v>
      </c>
      <c r="P29">
        <v>0</v>
      </c>
      <c r="Q29">
        <v>0</v>
      </c>
      <c r="R29">
        <v>4354</v>
      </c>
      <c r="S29">
        <v>35634</v>
      </c>
      <c r="T29">
        <v>155150436</v>
      </c>
      <c r="U29">
        <v>0</v>
      </c>
      <c r="V29">
        <v>0</v>
      </c>
      <c r="W29" t="s">
        <v>149</v>
      </c>
      <c r="X29">
        <v>1024</v>
      </c>
      <c r="Y29">
        <v>28</v>
      </c>
      <c r="Z29">
        <v>54</v>
      </c>
      <c r="AB29">
        <v>20</v>
      </c>
      <c r="AD29" t="s">
        <v>386</v>
      </c>
      <c r="AE29">
        <v>20</v>
      </c>
      <c r="AF29" s="1">
        <v>45604.717037037037</v>
      </c>
      <c r="AG29">
        <v>1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1033</v>
      </c>
      <c r="AP29">
        <v>349</v>
      </c>
      <c r="AQ29">
        <v>54</v>
      </c>
      <c r="AR29">
        <v>20</v>
      </c>
      <c r="AU29" s="110"/>
      <c r="AV29" s="43">
        <v>0</v>
      </c>
      <c r="AW29" s="110"/>
    </row>
    <row r="30" spans="2:61" x14ac:dyDescent="0.25">
      <c r="B30" t="s">
        <v>40</v>
      </c>
      <c r="C30" t="s">
        <v>312</v>
      </c>
      <c r="E30" t="s">
        <v>104</v>
      </c>
      <c r="G30" t="s">
        <v>132</v>
      </c>
      <c r="H30" t="s">
        <v>412</v>
      </c>
      <c r="I30" t="s">
        <v>49</v>
      </c>
      <c r="J30" t="s">
        <v>42</v>
      </c>
      <c r="K30" t="s">
        <v>49</v>
      </c>
      <c r="L30" t="s">
        <v>49</v>
      </c>
      <c r="N30">
        <v>3563</v>
      </c>
      <c r="O30" t="s">
        <v>43</v>
      </c>
      <c r="P30">
        <v>0</v>
      </c>
      <c r="Q30">
        <v>0</v>
      </c>
      <c r="R30">
        <v>3453</v>
      </c>
      <c r="S30">
        <v>3453</v>
      </c>
      <c r="T30">
        <v>11923209</v>
      </c>
      <c r="U30">
        <v>0</v>
      </c>
      <c r="V30">
        <v>0</v>
      </c>
      <c r="W30" t="s">
        <v>149</v>
      </c>
      <c r="X30">
        <v>1025</v>
      </c>
      <c r="Y30">
        <v>27</v>
      </c>
      <c r="Z30">
        <v>54</v>
      </c>
      <c r="AB30">
        <v>20</v>
      </c>
      <c r="AD30" t="s">
        <v>386</v>
      </c>
      <c r="AE30">
        <v>20</v>
      </c>
      <c r="AF30" s="1">
        <v>45604.717037037037</v>
      </c>
      <c r="AG30">
        <v>1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1032</v>
      </c>
      <c r="AP30">
        <v>349</v>
      </c>
      <c r="AQ30">
        <v>54</v>
      </c>
      <c r="AR30">
        <v>20</v>
      </c>
      <c r="AU30" s="110"/>
      <c r="AV30" s="43">
        <v>0</v>
      </c>
      <c r="AW30" s="110"/>
    </row>
    <row r="31" spans="2:61" x14ac:dyDescent="0.25">
      <c r="B31" t="s">
        <v>40</v>
      </c>
      <c r="C31" t="s">
        <v>311</v>
      </c>
      <c r="E31" t="s">
        <v>105</v>
      </c>
      <c r="G31" t="s">
        <v>132</v>
      </c>
      <c r="H31" t="s">
        <v>413</v>
      </c>
      <c r="I31" t="s">
        <v>49</v>
      </c>
      <c r="J31" t="s">
        <v>42</v>
      </c>
      <c r="K31" t="s">
        <v>49</v>
      </c>
      <c r="L31" t="s">
        <v>49</v>
      </c>
      <c r="N31">
        <v>9329</v>
      </c>
      <c r="O31" t="s">
        <v>43</v>
      </c>
      <c r="P31">
        <v>0</v>
      </c>
      <c r="Q31">
        <v>0</v>
      </c>
      <c r="R31">
        <v>9888</v>
      </c>
      <c r="S31">
        <v>19328</v>
      </c>
      <c r="T31">
        <v>191115264</v>
      </c>
      <c r="U31">
        <v>0</v>
      </c>
      <c r="V31">
        <v>0</v>
      </c>
      <c r="W31" t="s">
        <v>151</v>
      </c>
      <c r="X31">
        <v>1026</v>
      </c>
      <c r="Y31">
        <v>28</v>
      </c>
      <c r="Z31">
        <v>54</v>
      </c>
      <c r="AB31">
        <v>22</v>
      </c>
      <c r="AD31" t="s">
        <v>315</v>
      </c>
      <c r="AE31">
        <v>20</v>
      </c>
      <c r="AF31" s="1">
        <v>45604.721076388887</v>
      </c>
      <c r="AG31">
        <v>1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1033</v>
      </c>
      <c r="AP31">
        <v>350</v>
      </c>
      <c r="AQ31">
        <v>54</v>
      </c>
      <c r="AR31">
        <v>22</v>
      </c>
      <c r="AU31" s="110"/>
      <c r="AV31" s="43">
        <v>0</v>
      </c>
      <c r="AW31" s="110"/>
    </row>
    <row r="32" spans="2:61" x14ac:dyDescent="0.25">
      <c r="B32" t="s">
        <v>40</v>
      </c>
      <c r="C32" t="s">
        <v>311</v>
      </c>
      <c r="E32" t="s">
        <v>106</v>
      </c>
      <c r="G32" t="s">
        <v>132</v>
      </c>
      <c r="H32" t="s">
        <v>413</v>
      </c>
      <c r="I32" t="s">
        <v>49</v>
      </c>
      <c r="J32" t="s">
        <v>42</v>
      </c>
      <c r="K32" t="s">
        <v>49</v>
      </c>
      <c r="L32" t="s">
        <v>49</v>
      </c>
      <c r="N32">
        <v>34234</v>
      </c>
      <c r="O32" t="s">
        <v>43</v>
      </c>
      <c r="P32">
        <v>0</v>
      </c>
      <c r="Q32">
        <v>0</v>
      </c>
      <c r="R32">
        <v>2342</v>
      </c>
      <c r="S32">
        <v>34233</v>
      </c>
      <c r="T32">
        <v>80173686</v>
      </c>
      <c r="U32">
        <v>0</v>
      </c>
      <c r="V32">
        <v>0</v>
      </c>
      <c r="W32" t="s">
        <v>151</v>
      </c>
      <c r="X32">
        <v>1027</v>
      </c>
      <c r="Y32">
        <v>29</v>
      </c>
      <c r="Z32">
        <v>54</v>
      </c>
      <c r="AB32">
        <v>22</v>
      </c>
      <c r="AD32" t="s">
        <v>315</v>
      </c>
      <c r="AE32">
        <v>20</v>
      </c>
      <c r="AF32" s="1">
        <v>45604.721076388887</v>
      </c>
      <c r="AG32">
        <v>1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1034</v>
      </c>
      <c r="AP32">
        <v>350</v>
      </c>
      <c r="AQ32">
        <v>54</v>
      </c>
      <c r="AR32">
        <v>22</v>
      </c>
      <c r="AU32" s="110"/>
      <c r="AV32" s="43">
        <v>0</v>
      </c>
      <c r="AW32" s="110"/>
    </row>
    <row r="33" spans="2:49" x14ac:dyDescent="0.25">
      <c r="B33" t="s">
        <v>40</v>
      </c>
      <c r="C33" t="s">
        <v>311</v>
      </c>
      <c r="E33" t="s">
        <v>47</v>
      </c>
      <c r="G33" t="s">
        <v>132</v>
      </c>
      <c r="H33" t="s">
        <v>413</v>
      </c>
      <c r="I33" t="s">
        <v>49</v>
      </c>
      <c r="J33" t="s">
        <v>42</v>
      </c>
      <c r="K33" t="s">
        <v>49</v>
      </c>
      <c r="L33" t="s">
        <v>49</v>
      </c>
      <c r="N33">
        <v>3222</v>
      </c>
      <c r="O33" t="s">
        <v>43</v>
      </c>
      <c r="P33">
        <v>0</v>
      </c>
      <c r="Q33">
        <v>0</v>
      </c>
      <c r="R33">
        <v>2322</v>
      </c>
      <c r="S33">
        <v>23445</v>
      </c>
      <c r="T33">
        <v>54439290</v>
      </c>
      <c r="U33">
        <v>0</v>
      </c>
      <c r="V33">
        <v>0</v>
      </c>
      <c r="W33" t="s">
        <v>151</v>
      </c>
      <c r="X33">
        <v>1028</v>
      </c>
      <c r="Y33">
        <v>30</v>
      </c>
      <c r="Z33">
        <v>54</v>
      </c>
      <c r="AB33">
        <v>22</v>
      </c>
      <c r="AD33" t="s">
        <v>315</v>
      </c>
      <c r="AE33">
        <v>20</v>
      </c>
      <c r="AF33" s="1">
        <v>45604.721076388887</v>
      </c>
      <c r="AG33">
        <v>1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1035</v>
      </c>
      <c r="AP33">
        <v>350</v>
      </c>
      <c r="AQ33">
        <v>54</v>
      </c>
      <c r="AR33">
        <v>22</v>
      </c>
      <c r="AU33" s="110"/>
      <c r="AV33" s="43">
        <v>0</v>
      </c>
      <c r="AW33" s="110"/>
    </row>
    <row r="34" spans="2:49" x14ac:dyDescent="0.25">
      <c r="B34" t="s">
        <v>40</v>
      </c>
      <c r="C34" t="s">
        <v>310</v>
      </c>
      <c r="E34" t="s">
        <v>107</v>
      </c>
      <c r="G34" t="s">
        <v>132</v>
      </c>
      <c r="H34" t="s">
        <v>414</v>
      </c>
      <c r="I34" t="s">
        <v>49</v>
      </c>
      <c r="J34" t="s">
        <v>42</v>
      </c>
      <c r="K34" t="s">
        <v>49</v>
      </c>
      <c r="L34" t="s">
        <v>49</v>
      </c>
      <c r="N34">
        <v>2322</v>
      </c>
      <c r="O34" t="s">
        <v>43</v>
      </c>
      <c r="P34">
        <v>0</v>
      </c>
      <c r="Q34">
        <v>0</v>
      </c>
      <c r="R34">
        <v>3433</v>
      </c>
      <c r="S34">
        <v>23233</v>
      </c>
      <c r="T34">
        <v>79758889</v>
      </c>
      <c r="U34">
        <v>0</v>
      </c>
      <c r="V34">
        <v>0</v>
      </c>
      <c r="W34" t="s">
        <v>153</v>
      </c>
      <c r="X34">
        <v>1029</v>
      </c>
      <c r="Y34">
        <v>31</v>
      </c>
      <c r="Z34">
        <v>54</v>
      </c>
      <c r="AB34">
        <v>24</v>
      </c>
      <c r="AD34" t="s">
        <v>374</v>
      </c>
      <c r="AE34">
        <v>20</v>
      </c>
      <c r="AF34" s="1">
        <v>45604.721458333333</v>
      </c>
      <c r="AG34">
        <v>1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1036</v>
      </c>
      <c r="AP34">
        <v>351</v>
      </c>
      <c r="AQ34">
        <v>54</v>
      </c>
      <c r="AR34">
        <v>24</v>
      </c>
      <c r="AU34" s="110"/>
      <c r="AV34" s="43">
        <v>0</v>
      </c>
      <c r="AW34" s="110"/>
    </row>
    <row r="35" spans="2:49" x14ac:dyDescent="0.25">
      <c r="B35" t="s">
        <v>40</v>
      </c>
      <c r="C35" t="s">
        <v>310</v>
      </c>
      <c r="E35" t="s">
        <v>108</v>
      </c>
      <c r="G35" t="s">
        <v>132</v>
      </c>
      <c r="H35" t="s">
        <v>414</v>
      </c>
      <c r="I35" t="s">
        <v>49</v>
      </c>
      <c r="J35" t="s">
        <v>42</v>
      </c>
      <c r="K35" t="s">
        <v>49</v>
      </c>
      <c r="L35" t="s">
        <v>49</v>
      </c>
      <c r="N35">
        <v>3829</v>
      </c>
      <c r="O35" t="s">
        <v>43</v>
      </c>
      <c r="P35">
        <v>0</v>
      </c>
      <c r="Q35">
        <v>0</v>
      </c>
      <c r="R35">
        <v>9389</v>
      </c>
      <c r="S35">
        <v>92383</v>
      </c>
      <c r="T35">
        <v>867383987</v>
      </c>
      <c r="U35">
        <v>0</v>
      </c>
      <c r="V35">
        <v>0</v>
      </c>
      <c r="W35" t="s">
        <v>153</v>
      </c>
      <c r="X35">
        <v>1030</v>
      </c>
      <c r="Y35">
        <v>32</v>
      </c>
      <c r="Z35">
        <v>54</v>
      </c>
      <c r="AB35">
        <v>24</v>
      </c>
      <c r="AD35" t="s">
        <v>374</v>
      </c>
      <c r="AE35">
        <v>20</v>
      </c>
      <c r="AF35" s="1">
        <v>45604.721458333333</v>
      </c>
      <c r="AG35">
        <v>1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1037</v>
      </c>
      <c r="AP35">
        <v>351</v>
      </c>
      <c r="AQ35">
        <v>54</v>
      </c>
      <c r="AR35">
        <v>24</v>
      </c>
      <c r="AU35" s="110"/>
      <c r="AV35" s="43">
        <v>0</v>
      </c>
      <c r="AW35" s="110"/>
    </row>
    <row r="36" spans="2:49" x14ac:dyDescent="0.25">
      <c r="B36" t="s">
        <v>40</v>
      </c>
      <c r="C36" t="s">
        <v>312</v>
      </c>
      <c r="E36" t="s">
        <v>87</v>
      </c>
      <c r="G36" t="s">
        <v>132</v>
      </c>
      <c r="H36" t="s">
        <v>415</v>
      </c>
      <c r="I36" t="s">
        <v>49</v>
      </c>
      <c r="J36" t="s">
        <v>402</v>
      </c>
      <c r="K36" t="s">
        <v>49</v>
      </c>
      <c r="L36" t="s">
        <v>49</v>
      </c>
      <c r="N36">
        <v>3999</v>
      </c>
      <c r="O36" t="s">
        <v>43</v>
      </c>
      <c r="P36">
        <v>0</v>
      </c>
      <c r="Q36">
        <v>0</v>
      </c>
      <c r="R36">
        <v>9499</v>
      </c>
      <c r="S36">
        <v>23229</v>
      </c>
      <c r="T36">
        <v>220652271</v>
      </c>
      <c r="U36">
        <v>0</v>
      </c>
      <c r="V36">
        <v>0</v>
      </c>
      <c r="W36" t="s">
        <v>154</v>
      </c>
      <c r="X36">
        <v>1031</v>
      </c>
      <c r="Y36">
        <v>22</v>
      </c>
      <c r="Z36">
        <v>54</v>
      </c>
      <c r="AB36">
        <v>25</v>
      </c>
      <c r="AD36" t="s">
        <v>385</v>
      </c>
      <c r="AE36">
        <v>20</v>
      </c>
      <c r="AF36" s="1">
        <v>45604.722858796296</v>
      </c>
      <c r="AG36">
        <v>3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1024</v>
      </c>
      <c r="AP36">
        <v>352</v>
      </c>
      <c r="AQ36">
        <v>54</v>
      </c>
      <c r="AR36">
        <v>25</v>
      </c>
      <c r="AU36" s="110"/>
      <c r="AV36" s="43">
        <v>0</v>
      </c>
      <c r="AW36" s="110"/>
    </row>
    <row r="37" spans="2:49" x14ac:dyDescent="0.25">
      <c r="B37" t="s">
        <v>40</v>
      </c>
      <c r="C37" t="s">
        <v>312</v>
      </c>
      <c r="E37" t="s">
        <v>96</v>
      </c>
      <c r="G37" t="s">
        <v>132</v>
      </c>
      <c r="H37" t="s">
        <v>415</v>
      </c>
      <c r="I37" t="s">
        <v>49</v>
      </c>
      <c r="J37" t="s">
        <v>402</v>
      </c>
      <c r="K37" t="s">
        <v>49</v>
      </c>
      <c r="L37" t="s">
        <v>49</v>
      </c>
      <c r="N37">
        <v>3233</v>
      </c>
      <c r="O37" t="s">
        <v>43</v>
      </c>
      <c r="P37">
        <v>0</v>
      </c>
      <c r="Q37">
        <v>0</v>
      </c>
      <c r="R37">
        <v>3423</v>
      </c>
      <c r="S37">
        <v>32423</v>
      </c>
      <c r="T37">
        <v>110983929</v>
      </c>
      <c r="U37">
        <v>0</v>
      </c>
      <c r="V37">
        <v>0</v>
      </c>
      <c r="W37" t="s">
        <v>154</v>
      </c>
      <c r="X37">
        <v>1032</v>
      </c>
      <c r="Y37">
        <v>23</v>
      </c>
      <c r="Z37">
        <v>54</v>
      </c>
      <c r="AB37">
        <v>25</v>
      </c>
      <c r="AD37" t="s">
        <v>385</v>
      </c>
      <c r="AE37">
        <v>20</v>
      </c>
      <c r="AF37" s="1">
        <v>45604.722858796296</v>
      </c>
      <c r="AG37">
        <v>3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1025</v>
      </c>
      <c r="AP37">
        <v>352</v>
      </c>
      <c r="AQ37">
        <v>54</v>
      </c>
      <c r="AR37">
        <v>25</v>
      </c>
      <c r="AU37" s="110"/>
      <c r="AV37" s="43">
        <v>0</v>
      </c>
      <c r="AW37" s="110"/>
    </row>
    <row r="38" spans="2:49" x14ac:dyDescent="0.25">
      <c r="B38" t="s">
        <v>40</v>
      </c>
      <c r="C38" t="s">
        <v>312</v>
      </c>
      <c r="E38" t="s">
        <v>100</v>
      </c>
      <c r="G38" t="s">
        <v>132</v>
      </c>
      <c r="H38" t="s">
        <v>415</v>
      </c>
      <c r="I38" t="s">
        <v>49</v>
      </c>
      <c r="J38" t="s">
        <v>402</v>
      </c>
      <c r="K38" t="s">
        <v>49</v>
      </c>
      <c r="L38" t="s">
        <v>49</v>
      </c>
      <c r="N38">
        <v>2342</v>
      </c>
      <c r="O38" t="s">
        <v>43</v>
      </c>
      <c r="P38">
        <v>0</v>
      </c>
      <c r="Q38">
        <v>0</v>
      </c>
      <c r="R38">
        <v>3233</v>
      </c>
      <c r="S38">
        <v>3232</v>
      </c>
      <c r="T38">
        <v>10449056</v>
      </c>
      <c r="U38">
        <v>0</v>
      </c>
      <c r="V38">
        <v>0</v>
      </c>
      <c r="W38" t="s">
        <v>154</v>
      </c>
      <c r="X38">
        <v>1033</v>
      </c>
      <c r="Y38">
        <v>25</v>
      </c>
      <c r="Z38">
        <v>54</v>
      </c>
      <c r="AB38">
        <v>25</v>
      </c>
      <c r="AD38" t="s">
        <v>385</v>
      </c>
      <c r="AE38">
        <v>20</v>
      </c>
      <c r="AF38" s="1">
        <v>45604.722858796296</v>
      </c>
      <c r="AG38">
        <v>3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1030</v>
      </c>
      <c r="AP38">
        <v>352</v>
      </c>
      <c r="AQ38">
        <v>54</v>
      </c>
      <c r="AR38">
        <v>25</v>
      </c>
      <c r="AU38" s="110"/>
      <c r="AV38" s="43">
        <v>0</v>
      </c>
      <c r="AW38" s="110"/>
    </row>
    <row r="39" spans="2:49" x14ac:dyDescent="0.25">
      <c r="B39" t="s">
        <v>142</v>
      </c>
      <c r="C39" t="s">
        <v>312</v>
      </c>
      <c r="E39" t="s">
        <v>41</v>
      </c>
      <c r="G39" t="s">
        <v>130</v>
      </c>
      <c r="H39" t="s">
        <v>416</v>
      </c>
      <c r="I39" t="s">
        <v>49</v>
      </c>
      <c r="J39" t="s">
        <v>378</v>
      </c>
      <c r="K39" t="s">
        <v>49</v>
      </c>
      <c r="L39" t="s">
        <v>49</v>
      </c>
      <c r="N39">
        <v>2000</v>
      </c>
      <c r="O39" t="s">
        <v>43</v>
      </c>
      <c r="P39">
        <v>0</v>
      </c>
      <c r="Q39">
        <v>0</v>
      </c>
      <c r="R39">
        <v>2000</v>
      </c>
      <c r="S39">
        <v>5121</v>
      </c>
      <c r="T39">
        <v>10242000</v>
      </c>
      <c r="U39">
        <v>0</v>
      </c>
      <c r="V39">
        <v>0</v>
      </c>
      <c r="W39" t="s">
        <v>40</v>
      </c>
      <c r="X39">
        <v>1034</v>
      </c>
      <c r="Y39">
        <v>20</v>
      </c>
      <c r="Z39">
        <v>53</v>
      </c>
      <c r="AB39">
        <v>54</v>
      </c>
      <c r="AD39" t="s">
        <v>385</v>
      </c>
      <c r="AE39">
        <v>20</v>
      </c>
      <c r="AF39" s="1">
        <v>45604.724039351851</v>
      </c>
      <c r="AG39">
        <v>2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353</v>
      </c>
      <c r="AQ39">
        <v>53</v>
      </c>
      <c r="AR39">
        <v>54</v>
      </c>
      <c r="AU39" s="110"/>
      <c r="AV39" s="43">
        <v>0</v>
      </c>
      <c r="AW39" s="110"/>
    </row>
    <row r="40" spans="2:49" x14ac:dyDescent="0.25">
      <c r="B40" t="s">
        <v>142</v>
      </c>
      <c r="C40" t="s">
        <v>312</v>
      </c>
      <c r="E40" t="s">
        <v>45</v>
      </c>
      <c r="G40" t="s">
        <v>130</v>
      </c>
      <c r="H40" t="s">
        <v>416</v>
      </c>
      <c r="I40" t="s">
        <v>49</v>
      </c>
      <c r="J40" t="s">
        <v>378</v>
      </c>
      <c r="K40" t="s">
        <v>49</v>
      </c>
      <c r="L40" t="s">
        <v>49</v>
      </c>
      <c r="N40">
        <v>3000</v>
      </c>
      <c r="O40" t="s">
        <v>43</v>
      </c>
      <c r="P40">
        <v>0</v>
      </c>
      <c r="Q40">
        <v>0</v>
      </c>
      <c r="R40">
        <v>3000</v>
      </c>
      <c r="S40">
        <v>123412</v>
      </c>
      <c r="T40">
        <v>370236000</v>
      </c>
      <c r="U40">
        <v>0</v>
      </c>
      <c r="V40">
        <v>0</v>
      </c>
      <c r="W40" t="s">
        <v>40</v>
      </c>
      <c r="X40">
        <v>1035</v>
      </c>
      <c r="Y40">
        <v>21</v>
      </c>
      <c r="Z40">
        <v>53</v>
      </c>
      <c r="AB40">
        <v>54</v>
      </c>
      <c r="AD40" t="s">
        <v>385</v>
      </c>
      <c r="AE40">
        <v>20</v>
      </c>
      <c r="AF40" s="1">
        <v>45604.724039351851</v>
      </c>
      <c r="AG40">
        <v>2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353</v>
      </c>
      <c r="AQ40">
        <v>53</v>
      </c>
      <c r="AR40">
        <v>54</v>
      </c>
      <c r="AU40" s="110"/>
      <c r="AV40" s="43">
        <v>0</v>
      </c>
      <c r="AW40" s="110"/>
    </row>
    <row r="41" spans="2:49" x14ac:dyDescent="0.25">
      <c r="B41" t="s">
        <v>150</v>
      </c>
      <c r="C41" t="s">
        <v>311</v>
      </c>
      <c r="E41" t="s">
        <v>41</v>
      </c>
      <c r="G41" t="s">
        <v>130</v>
      </c>
      <c r="H41" t="s">
        <v>417</v>
      </c>
      <c r="I41" t="s">
        <v>49</v>
      </c>
      <c r="J41" t="s">
        <v>382</v>
      </c>
      <c r="K41" t="s">
        <v>49</v>
      </c>
      <c r="L41" t="s">
        <v>49</v>
      </c>
      <c r="N41">
        <v>5000</v>
      </c>
      <c r="O41" t="s">
        <v>43</v>
      </c>
      <c r="P41">
        <v>0</v>
      </c>
      <c r="Q41">
        <v>0</v>
      </c>
      <c r="R41">
        <v>5000</v>
      </c>
      <c r="S41">
        <v>142857</v>
      </c>
      <c r="T41">
        <v>714285000</v>
      </c>
      <c r="U41">
        <v>0</v>
      </c>
      <c r="V41">
        <v>0</v>
      </c>
      <c r="W41" t="s">
        <v>40</v>
      </c>
      <c r="X41">
        <v>1036</v>
      </c>
      <c r="Y41">
        <v>20</v>
      </c>
      <c r="Z41">
        <v>21</v>
      </c>
      <c r="AB41">
        <v>54</v>
      </c>
      <c r="AD41" t="s">
        <v>386</v>
      </c>
      <c r="AE41">
        <v>20</v>
      </c>
      <c r="AF41" s="1">
        <v>45604.724999999999</v>
      </c>
      <c r="AG41">
        <v>10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354</v>
      </c>
      <c r="AQ41">
        <v>21</v>
      </c>
      <c r="AR41">
        <v>54</v>
      </c>
      <c r="AU41" s="110"/>
      <c r="AV41" s="43">
        <v>0</v>
      </c>
      <c r="AW41" s="110"/>
    </row>
    <row r="42" spans="2:49" x14ac:dyDescent="0.25">
      <c r="B42" t="s">
        <v>150</v>
      </c>
      <c r="C42" t="s">
        <v>311</v>
      </c>
      <c r="E42" t="s">
        <v>45</v>
      </c>
      <c r="G42" t="s">
        <v>130</v>
      </c>
      <c r="H42" t="s">
        <v>417</v>
      </c>
      <c r="I42" t="s">
        <v>49</v>
      </c>
      <c r="J42" t="s">
        <v>382</v>
      </c>
      <c r="K42" t="s">
        <v>49</v>
      </c>
      <c r="L42" t="s">
        <v>49</v>
      </c>
      <c r="N42">
        <v>3000</v>
      </c>
      <c r="O42" t="s">
        <v>418</v>
      </c>
      <c r="P42">
        <v>0</v>
      </c>
      <c r="Q42">
        <v>0</v>
      </c>
      <c r="R42">
        <v>3000</v>
      </c>
      <c r="S42">
        <v>142857</v>
      </c>
      <c r="T42">
        <v>428571000</v>
      </c>
      <c r="U42">
        <v>0</v>
      </c>
      <c r="V42">
        <v>0</v>
      </c>
      <c r="W42" t="s">
        <v>40</v>
      </c>
      <c r="X42">
        <v>1037</v>
      </c>
      <c r="Y42">
        <v>21</v>
      </c>
      <c r="Z42">
        <v>21</v>
      </c>
      <c r="AB42">
        <v>54</v>
      </c>
      <c r="AD42" t="s">
        <v>386</v>
      </c>
      <c r="AE42">
        <v>20</v>
      </c>
      <c r="AF42" s="1">
        <v>45604.724999999999</v>
      </c>
      <c r="AG42">
        <v>10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354</v>
      </c>
      <c r="AQ42">
        <v>21</v>
      </c>
      <c r="AR42">
        <v>54</v>
      </c>
      <c r="AU42" s="110"/>
      <c r="AV42" s="43">
        <v>0</v>
      </c>
      <c r="AW42" s="110"/>
    </row>
    <row r="43" spans="2:49" x14ac:dyDescent="0.25">
      <c r="B43" t="s">
        <v>150</v>
      </c>
      <c r="C43" t="s">
        <v>311</v>
      </c>
      <c r="E43" t="s">
        <v>87</v>
      </c>
      <c r="G43" t="s">
        <v>130</v>
      </c>
      <c r="H43" t="s">
        <v>417</v>
      </c>
      <c r="I43" t="s">
        <v>49</v>
      </c>
      <c r="J43" t="s">
        <v>382</v>
      </c>
      <c r="K43" t="s">
        <v>49</v>
      </c>
      <c r="L43" t="s">
        <v>49</v>
      </c>
      <c r="N43">
        <v>7000</v>
      </c>
      <c r="O43" t="s">
        <v>43</v>
      </c>
      <c r="P43">
        <v>0</v>
      </c>
      <c r="Q43">
        <v>0</v>
      </c>
      <c r="R43">
        <v>7000</v>
      </c>
      <c r="S43">
        <v>142857</v>
      </c>
      <c r="T43">
        <v>999999000</v>
      </c>
      <c r="U43">
        <v>0</v>
      </c>
      <c r="V43">
        <v>0</v>
      </c>
      <c r="W43" t="s">
        <v>40</v>
      </c>
      <c r="X43">
        <v>1038</v>
      </c>
      <c r="Y43">
        <v>22</v>
      </c>
      <c r="Z43">
        <v>21</v>
      </c>
      <c r="AB43">
        <v>54</v>
      </c>
      <c r="AD43" t="s">
        <v>386</v>
      </c>
      <c r="AE43">
        <v>20</v>
      </c>
      <c r="AF43" s="1">
        <v>45604.724999999999</v>
      </c>
      <c r="AG43">
        <v>10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354</v>
      </c>
      <c r="AQ43">
        <v>21</v>
      </c>
      <c r="AR43">
        <v>54</v>
      </c>
      <c r="AU43" s="110"/>
      <c r="AV43" s="43">
        <v>0</v>
      </c>
      <c r="AW43" s="110"/>
    </row>
    <row r="44" spans="2:49" x14ac:dyDescent="0.25">
      <c r="B44" t="s">
        <v>150</v>
      </c>
      <c r="C44" t="s">
        <v>311</v>
      </c>
      <c r="E44" t="s">
        <v>94</v>
      </c>
      <c r="G44" t="s">
        <v>130</v>
      </c>
      <c r="H44" t="s">
        <v>419</v>
      </c>
      <c r="I44" t="s">
        <v>49</v>
      </c>
      <c r="J44" t="s">
        <v>382</v>
      </c>
      <c r="K44" t="s">
        <v>49</v>
      </c>
      <c r="L44" t="s">
        <v>49</v>
      </c>
      <c r="N44">
        <v>5000</v>
      </c>
      <c r="O44" t="s">
        <v>43</v>
      </c>
      <c r="P44">
        <v>0</v>
      </c>
      <c r="Q44">
        <v>0</v>
      </c>
      <c r="R44">
        <v>5000</v>
      </c>
      <c r="S44">
        <v>142857</v>
      </c>
      <c r="T44">
        <v>714285000</v>
      </c>
      <c r="U44">
        <v>0</v>
      </c>
      <c r="V44">
        <v>0</v>
      </c>
      <c r="W44" t="s">
        <v>40</v>
      </c>
      <c r="X44">
        <v>1039</v>
      </c>
      <c r="Y44">
        <v>38</v>
      </c>
      <c r="Z44">
        <v>21</v>
      </c>
      <c r="AB44">
        <v>54</v>
      </c>
      <c r="AD44" t="s">
        <v>385</v>
      </c>
      <c r="AE44">
        <v>20</v>
      </c>
      <c r="AF44" s="1">
        <v>45604.725740740738</v>
      </c>
      <c r="AG44">
        <v>10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355</v>
      </c>
      <c r="AQ44">
        <v>21</v>
      </c>
      <c r="AR44">
        <v>54</v>
      </c>
      <c r="AU44" s="110"/>
      <c r="AV44" s="43">
        <v>0</v>
      </c>
      <c r="AW44" s="110"/>
    </row>
    <row r="45" spans="2:49" x14ac:dyDescent="0.25">
      <c r="B45" t="s">
        <v>150</v>
      </c>
      <c r="C45" t="s">
        <v>311</v>
      </c>
      <c r="E45" t="s">
        <v>100</v>
      </c>
      <c r="G45" t="s">
        <v>130</v>
      </c>
      <c r="H45" t="s">
        <v>419</v>
      </c>
      <c r="I45" t="s">
        <v>49</v>
      </c>
      <c r="J45" t="s">
        <v>382</v>
      </c>
      <c r="K45" t="s">
        <v>49</v>
      </c>
      <c r="L45" t="s">
        <v>49</v>
      </c>
      <c r="N45">
        <v>6000</v>
      </c>
      <c r="O45" t="s">
        <v>43</v>
      </c>
      <c r="P45">
        <v>0</v>
      </c>
      <c r="Q45">
        <v>0</v>
      </c>
      <c r="R45">
        <v>6000</v>
      </c>
      <c r="S45">
        <v>142857</v>
      </c>
      <c r="T45">
        <v>857142000</v>
      </c>
      <c r="U45">
        <v>0</v>
      </c>
      <c r="V45">
        <v>0</v>
      </c>
      <c r="W45" t="s">
        <v>40</v>
      </c>
      <c r="X45">
        <v>1040</v>
      </c>
      <c r="Y45">
        <v>25</v>
      </c>
      <c r="Z45">
        <v>21</v>
      </c>
      <c r="AB45">
        <v>54</v>
      </c>
      <c r="AD45" t="s">
        <v>385</v>
      </c>
      <c r="AE45">
        <v>20</v>
      </c>
      <c r="AF45" s="1">
        <v>45604.725740740738</v>
      </c>
      <c r="AG45">
        <v>10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355</v>
      </c>
      <c r="AQ45">
        <v>21</v>
      </c>
      <c r="AR45">
        <v>54</v>
      </c>
      <c r="AU45" s="110"/>
      <c r="AV45" s="43">
        <v>0</v>
      </c>
      <c r="AW45" s="110"/>
    </row>
    <row r="46" spans="2:49" x14ac:dyDescent="0.25">
      <c r="B46" t="s">
        <v>154</v>
      </c>
      <c r="C46" t="s">
        <v>311</v>
      </c>
      <c r="E46" t="s">
        <v>103</v>
      </c>
      <c r="G46" t="s">
        <v>130</v>
      </c>
      <c r="H46" t="s">
        <v>420</v>
      </c>
      <c r="I46" t="s">
        <v>49</v>
      </c>
      <c r="J46" t="s">
        <v>378</v>
      </c>
      <c r="K46" t="s">
        <v>49</v>
      </c>
      <c r="L46" t="s">
        <v>49</v>
      </c>
      <c r="N46">
        <v>6000</v>
      </c>
      <c r="O46" t="s">
        <v>43</v>
      </c>
      <c r="P46">
        <v>0</v>
      </c>
      <c r="Q46">
        <v>0</v>
      </c>
      <c r="R46">
        <v>6000</v>
      </c>
      <c r="S46">
        <v>142857</v>
      </c>
      <c r="T46">
        <v>857142000</v>
      </c>
      <c r="U46">
        <v>0</v>
      </c>
      <c r="V46">
        <v>0</v>
      </c>
      <c r="W46" t="s">
        <v>40</v>
      </c>
      <c r="X46">
        <v>1041</v>
      </c>
      <c r="Y46">
        <v>26</v>
      </c>
      <c r="Z46">
        <v>25</v>
      </c>
      <c r="AB46">
        <v>54</v>
      </c>
      <c r="AD46" t="s">
        <v>386</v>
      </c>
      <c r="AE46">
        <v>20</v>
      </c>
      <c r="AF46" s="1">
        <v>45604.726631944446</v>
      </c>
      <c r="AG46">
        <v>2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356</v>
      </c>
      <c r="AQ46">
        <v>25</v>
      </c>
      <c r="AR46">
        <v>54</v>
      </c>
      <c r="AU46" s="110"/>
      <c r="AV46" s="43">
        <v>0</v>
      </c>
      <c r="AW46" s="110"/>
    </row>
    <row r="47" spans="2:49" x14ac:dyDescent="0.25">
      <c r="B47" t="s">
        <v>154</v>
      </c>
      <c r="C47" t="s">
        <v>311</v>
      </c>
      <c r="E47" t="s">
        <v>105</v>
      </c>
      <c r="G47" t="s">
        <v>130</v>
      </c>
      <c r="H47" t="s">
        <v>420</v>
      </c>
      <c r="I47" t="s">
        <v>49</v>
      </c>
      <c r="J47" t="s">
        <v>378</v>
      </c>
      <c r="K47" t="s">
        <v>49</v>
      </c>
      <c r="L47" t="s">
        <v>49</v>
      </c>
      <c r="N47">
        <v>1000</v>
      </c>
      <c r="O47" t="s">
        <v>43</v>
      </c>
      <c r="P47">
        <v>0</v>
      </c>
      <c r="Q47">
        <v>0</v>
      </c>
      <c r="R47">
        <v>1000</v>
      </c>
      <c r="S47">
        <v>142857</v>
      </c>
      <c r="T47">
        <v>142857000</v>
      </c>
      <c r="U47">
        <v>0</v>
      </c>
      <c r="V47">
        <v>0</v>
      </c>
      <c r="W47" t="s">
        <v>40</v>
      </c>
      <c r="X47">
        <v>1042</v>
      </c>
      <c r="Y47">
        <v>28</v>
      </c>
      <c r="Z47">
        <v>25</v>
      </c>
      <c r="AB47">
        <v>54</v>
      </c>
      <c r="AD47" t="s">
        <v>386</v>
      </c>
      <c r="AE47">
        <v>20</v>
      </c>
      <c r="AF47" s="1">
        <v>45604.726643518516</v>
      </c>
      <c r="AG47">
        <v>2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356</v>
      </c>
      <c r="AQ47">
        <v>25</v>
      </c>
      <c r="AR47">
        <v>54</v>
      </c>
      <c r="AU47" s="110"/>
      <c r="AV47" s="43">
        <v>0</v>
      </c>
      <c r="AW47" s="110"/>
    </row>
    <row r="48" spans="2:49" x14ac:dyDescent="0.25">
      <c r="B48" t="s">
        <v>154</v>
      </c>
      <c r="C48" t="s">
        <v>311</v>
      </c>
      <c r="E48" t="s">
        <v>106</v>
      </c>
      <c r="G48" t="s">
        <v>130</v>
      </c>
      <c r="H48" t="s">
        <v>420</v>
      </c>
      <c r="I48" t="s">
        <v>49</v>
      </c>
      <c r="J48" t="s">
        <v>378</v>
      </c>
      <c r="K48" t="s">
        <v>49</v>
      </c>
      <c r="L48" t="s">
        <v>49</v>
      </c>
      <c r="N48">
        <v>3000</v>
      </c>
      <c r="O48" t="s">
        <v>43</v>
      </c>
      <c r="P48">
        <v>0</v>
      </c>
      <c r="Q48">
        <v>0</v>
      </c>
      <c r="R48">
        <v>3000</v>
      </c>
      <c r="S48">
        <v>142857</v>
      </c>
      <c r="T48">
        <v>428571000</v>
      </c>
      <c r="U48">
        <v>0</v>
      </c>
      <c r="V48">
        <v>0</v>
      </c>
      <c r="W48" t="s">
        <v>40</v>
      </c>
      <c r="X48">
        <v>1043</v>
      </c>
      <c r="Y48">
        <v>29</v>
      </c>
      <c r="Z48">
        <v>25</v>
      </c>
      <c r="AB48">
        <v>54</v>
      </c>
      <c r="AD48" t="s">
        <v>386</v>
      </c>
      <c r="AE48">
        <v>20</v>
      </c>
      <c r="AF48" s="1">
        <v>45604.726747685185</v>
      </c>
      <c r="AG48">
        <v>2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356</v>
      </c>
      <c r="AQ48">
        <v>25</v>
      </c>
      <c r="AR48">
        <v>54</v>
      </c>
      <c r="AU48" s="110"/>
      <c r="AV48" s="43">
        <v>0</v>
      </c>
      <c r="AW48" s="110"/>
    </row>
    <row r="49" spans="3:49" x14ac:dyDescent="0.25">
      <c r="C49" t="s">
        <v>311</v>
      </c>
      <c r="E49" t="s">
        <v>89</v>
      </c>
      <c r="G49" t="s">
        <v>130</v>
      </c>
      <c r="H49" t="s">
        <v>421</v>
      </c>
      <c r="I49" t="s">
        <v>49</v>
      </c>
      <c r="J49" t="s">
        <v>383</v>
      </c>
      <c r="K49" t="s">
        <v>49</v>
      </c>
      <c r="L49" t="s">
        <v>49</v>
      </c>
      <c r="N49">
        <v>3000</v>
      </c>
      <c r="O49" t="s">
        <v>43</v>
      </c>
      <c r="P49">
        <v>0</v>
      </c>
      <c r="Q49">
        <v>0</v>
      </c>
      <c r="R49">
        <v>0</v>
      </c>
      <c r="S49">
        <v>142857</v>
      </c>
      <c r="T49">
        <v>428571000</v>
      </c>
      <c r="U49">
        <v>0</v>
      </c>
      <c r="V49">
        <v>12</v>
      </c>
      <c r="W49" t="s">
        <v>164</v>
      </c>
      <c r="X49">
        <v>1044</v>
      </c>
      <c r="Y49">
        <v>36</v>
      </c>
      <c r="Z49">
        <v>0</v>
      </c>
      <c r="AB49">
        <v>3</v>
      </c>
      <c r="AD49" t="s">
        <v>310</v>
      </c>
      <c r="AE49">
        <v>20</v>
      </c>
      <c r="AF49" s="1">
        <v>45604.72923611111</v>
      </c>
      <c r="AG49">
        <v>0</v>
      </c>
      <c r="AH49">
        <v>7</v>
      </c>
      <c r="AI49">
        <v>0</v>
      </c>
      <c r="AJ49">
        <v>0</v>
      </c>
      <c r="AK49">
        <v>24</v>
      </c>
      <c r="AL49">
        <v>0</v>
      </c>
      <c r="AM49">
        <v>5</v>
      </c>
      <c r="AN49">
        <v>0</v>
      </c>
      <c r="AO49">
        <v>0</v>
      </c>
      <c r="AP49">
        <v>357</v>
      </c>
      <c r="AQ49">
        <v>3</v>
      </c>
      <c r="AR49">
        <v>0</v>
      </c>
      <c r="AS49" t="s">
        <v>293</v>
      </c>
      <c r="AT49" s="47" t="s">
        <v>422</v>
      </c>
      <c r="AU49" s="110" t="s">
        <v>423</v>
      </c>
      <c r="AV49" s="43">
        <v>3000</v>
      </c>
      <c r="AW49" s="110" t="s">
        <v>424</v>
      </c>
    </row>
    <row r="50" spans="3:49" x14ac:dyDescent="0.25">
      <c r="C50" t="s">
        <v>311</v>
      </c>
      <c r="E50" t="s">
        <v>92</v>
      </c>
      <c r="G50" t="s">
        <v>130</v>
      </c>
      <c r="H50" t="s">
        <v>425</v>
      </c>
      <c r="I50" t="s">
        <v>49</v>
      </c>
      <c r="J50" t="s">
        <v>383</v>
      </c>
      <c r="K50" t="s">
        <v>49</v>
      </c>
      <c r="L50" t="s">
        <v>49</v>
      </c>
      <c r="N50">
        <v>2000</v>
      </c>
      <c r="O50" t="s">
        <v>43</v>
      </c>
      <c r="P50">
        <v>0</v>
      </c>
      <c r="Q50">
        <v>0</v>
      </c>
      <c r="R50">
        <v>2000</v>
      </c>
      <c r="S50">
        <v>142857</v>
      </c>
      <c r="T50">
        <v>285714000</v>
      </c>
      <c r="U50">
        <v>0</v>
      </c>
      <c r="V50">
        <v>2</v>
      </c>
      <c r="W50" t="s">
        <v>164</v>
      </c>
      <c r="X50">
        <v>1045</v>
      </c>
      <c r="Y50">
        <v>37</v>
      </c>
      <c r="Z50">
        <v>0</v>
      </c>
      <c r="AB50">
        <v>3</v>
      </c>
      <c r="AD50" t="s">
        <v>386</v>
      </c>
      <c r="AE50">
        <v>20</v>
      </c>
      <c r="AF50" s="1">
        <v>45604.730428240742</v>
      </c>
      <c r="AG50">
        <v>0</v>
      </c>
      <c r="AH50">
        <v>7</v>
      </c>
      <c r="AI50">
        <v>0</v>
      </c>
      <c r="AJ50">
        <v>0</v>
      </c>
      <c r="AK50">
        <v>24</v>
      </c>
      <c r="AL50">
        <v>0</v>
      </c>
      <c r="AM50">
        <v>11</v>
      </c>
      <c r="AN50">
        <v>0</v>
      </c>
      <c r="AO50">
        <v>0</v>
      </c>
      <c r="AP50">
        <v>358</v>
      </c>
      <c r="AQ50">
        <v>3</v>
      </c>
      <c r="AR50">
        <v>0</v>
      </c>
      <c r="AS50" t="s">
        <v>316</v>
      </c>
      <c r="AT50" s="47" t="s">
        <v>426</v>
      </c>
      <c r="AU50" s="110" t="s">
        <v>427</v>
      </c>
      <c r="AV50" s="43">
        <v>0</v>
      </c>
      <c r="AW50" s="110" t="s">
        <v>423</v>
      </c>
    </row>
    <row r="51" spans="3:49" x14ac:dyDescent="0.25">
      <c r="C51" t="s">
        <v>311</v>
      </c>
      <c r="E51" t="s">
        <v>89</v>
      </c>
      <c r="G51" t="s">
        <v>130</v>
      </c>
      <c r="H51" t="s">
        <v>428</v>
      </c>
      <c r="I51" t="s">
        <v>49</v>
      </c>
      <c r="J51" t="s">
        <v>379</v>
      </c>
      <c r="K51" t="s">
        <v>49</v>
      </c>
      <c r="L51" t="s">
        <v>49</v>
      </c>
      <c r="N51">
        <v>3000</v>
      </c>
      <c r="O51" t="s">
        <v>43</v>
      </c>
      <c r="P51">
        <v>0</v>
      </c>
      <c r="Q51">
        <v>0</v>
      </c>
      <c r="R51">
        <v>0</v>
      </c>
      <c r="S51">
        <v>142857</v>
      </c>
      <c r="T51">
        <v>428571000</v>
      </c>
      <c r="U51">
        <v>0</v>
      </c>
      <c r="V51">
        <v>2</v>
      </c>
      <c r="W51" t="s">
        <v>165</v>
      </c>
      <c r="X51">
        <v>1046</v>
      </c>
      <c r="Y51">
        <v>36</v>
      </c>
      <c r="Z51">
        <v>0</v>
      </c>
      <c r="AB51">
        <v>4</v>
      </c>
      <c r="AD51" t="s">
        <v>385</v>
      </c>
      <c r="AE51">
        <v>20</v>
      </c>
      <c r="AF51" s="1">
        <v>45604.73096064815</v>
      </c>
      <c r="AG51">
        <v>0</v>
      </c>
      <c r="AH51">
        <v>17</v>
      </c>
      <c r="AI51">
        <v>0</v>
      </c>
      <c r="AJ51">
        <v>0</v>
      </c>
      <c r="AK51">
        <v>26</v>
      </c>
      <c r="AL51">
        <v>0</v>
      </c>
      <c r="AM51">
        <v>54</v>
      </c>
      <c r="AN51">
        <v>0</v>
      </c>
      <c r="AO51">
        <v>0</v>
      </c>
      <c r="AP51">
        <v>359</v>
      </c>
      <c r="AQ51">
        <v>4</v>
      </c>
      <c r="AR51">
        <v>0</v>
      </c>
      <c r="AS51" t="s">
        <v>293</v>
      </c>
      <c r="AT51" s="47" t="s">
        <v>429</v>
      </c>
      <c r="AU51" s="110" t="s">
        <v>423</v>
      </c>
      <c r="AV51" s="43">
        <v>3000</v>
      </c>
      <c r="AW51" s="110" t="s">
        <v>430</v>
      </c>
    </row>
    <row r="52" spans="3:49" x14ac:dyDescent="0.25">
      <c r="C52" t="s">
        <v>388</v>
      </c>
      <c r="E52" t="s">
        <v>94</v>
      </c>
      <c r="G52" t="s">
        <v>130</v>
      </c>
      <c r="H52" t="s">
        <v>431</v>
      </c>
      <c r="I52" t="s">
        <v>49</v>
      </c>
      <c r="J52" t="s">
        <v>384</v>
      </c>
      <c r="K52" t="s">
        <v>49</v>
      </c>
      <c r="L52" t="s">
        <v>49</v>
      </c>
      <c r="N52">
        <v>3000</v>
      </c>
      <c r="O52" t="s">
        <v>43</v>
      </c>
      <c r="P52">
        <v>0</v>
      </c>
      <c r="Q52">
        <v>0</v>
      </c>
      <c r="R52">
        <v>0</v>
      </c>
      <c r="S52">
        <v>142857</v>
      </c>
      <c r="T52">
        <v>428571000</v>
      </c>
      <c r="U52">
        <v>0</v>
      </c>
      <c r="V52">
        <v>12</v>
      </c>
      <c r="W52" t="s">
        <v>171</v>
      </c>
      <c r="X52">
        <v>1047</v>
      </c>
      <c r="Y52">
        <v>38</v>
      </c>
      <c r="Z52">
        <v>0</v>
      </c>
      <c r="AB52">
        <v>28</v>
      </c>
      <c r="AD52" t="s">
        <v>376</v>
      </c>
      <c r="AE52">
        <v>20</v>
      </c>
      <c r="AF52" s="1">
        <v>45604.733622685184</v>
      </c>
      <c r="AG52">
        <v>0</v>
      </c>
      <c r="AH52">
        <v>5</v>
      </c>
      <c r="AI52">
        <v>0</v>
      </c>
      <c r="AJ52">
        <v>0</v>
      </c>
      <c r="AK52">
        <v>25</v>
      </c>
      <c r="AL52">
        <v>0</v>
      </c>
      <c r="AM52">
        <v>33</v>
      </c>
      <c r="AN52">
        <v>0</v>
      </c>
      <c r="AO52">
        <v>0</v>
      </c>
      <c r="AP52">
        <v>360</v>
      </c>
      <c r="AQ52">
        <v>28</v>
      </c>
      <c r="AR52">
        <v>0</v>
      </c>
      <c r="AS52" t="s">
        <v>293</v>
      </c>
      <c r="AT52" s="47" t="s">
        <v>432</v>
      </c>
      <c r="AU52" s="110" t="s">
        <v>423</v>
      </c>
      <c r="AV52" s="43">
        <v>3000</v>
      </c>
      <c r="AW52" s="110" t="s">
        <v>433</v>
      </c>
    </row>
    <row r="53" spans="3:49" x14ac:dyDescent="0.25">
      <c r="C53" t="s">
        <v>392</v>
      </c>
      <c r="E53" t="s">
        <v>103</v>
      </c>
      <c r="G53" t="s">
        <v>130</v>
      </c>
      <c r="H53" t="s">
        <v>434</v>
      </c>
      <c r="I53" t="s">
        <v>49</v>
      </c>
      <c r="J53" t="s">
        <v>313</v>
      </c>
      <c r="K53" t="s">
        <v>49</v>
      </c>
      <c r="L53" t="s">
        <v>49</v>
      </c>
      <c r="N53">
        <v>3000</v>
      </c>
      <c r="O53" t="s">
        <v>43</v>
      </c>
      <c r="P53">
        <v>0</v>
      </c>
      <c r="Q53">
        <v>0</v>
      </c>
      <c r="R53">
        <v>3000</v>
      </c>
      <c r="S53">
        <v>142857</v>
      </c>
      <c r="T53">
        <v>428571000</v>
      </c>
      <c r="U53">
        <v>0</v>
      </c>
      <c r="V53">
        <v>4</v>
      </c>
      <c r="W53" t="s">
        <v>167</v>
      </c>
      <c r="X53">
        <v>1048</v>
      </c>
      <c r="Y53">
        <v>26</v>
      </c>
      <c r="Z53">
        <v>0</v>
      </c>
      <c r="AB53">
        <v>6</v>
      </c>
      <c r="AD53" t="s">
        <v>388</v>
      </c>
      <c r="AE53">
        <v>20</v>
      </c>
      <c r="AF53" s="1">
        <v>45604.734247685185</v>
      </c>
      <c r="AG53">
        <v>0</v>
      </c>
      <c r="AH53">
        <v>1</v>
      </c>
      <c r="AI53">
        <v>0</v>
      </c>
      <c r="AJ53">
        <v>0</v>
      </c>
      <c r="AK53">
        <v>25</v>
      </c>
      <c r="AL53">
        <v>0</v>
      </c>
      <c r="AM53">
        <v>20</v>
      </c>
      <c r="AN53">
        <v>0</v>
      </c>
      <c r="AO53">
        <v>0</v>
      </c>
      <c r="AP53">
        <v>361</v>
      </c>
      <c r="AQ53">
        <v>6</v>
      </c>
      <c r="AR53">
        <v>0</v>
      </c>
      <c r="AS53" t="s">
        <v>316</v>
      </c>
      <c r="AT53" s="47" t="s">
        <v>435</v>
      </c>
      <c r="AU53" s="110" t="s">
        <v>436</v>
      </c>
      <c r="AV53" s="43">
        <v>0</v>
      </c>
      <c r="AW53" s="110" t="s">
        <v>423</v>
      </c>
    </row>
    <row r="54" spans="3:49" x14ac:dyDescent="0.25">
      <c r="C54" t="s">
        <v>311</v>
      </c>
      <c r="E54" t="s">
        <v>99</v>
      </c>
      <c r="G54" t="s">
        <v>130</v>
      </c>
      <c r="H54" t="s">
        <v>437</v>
      </c>
      <c r="I54" t="s">
        <v>49</v>
      </c>
      <c r="J54" t="s">
        <v>379</v>
      </c>
      <c r="K54" t="s">
        <v>49</v>
      </c>
      <c r="L54" t="s">
        <v>49</v>
      </c>
      <c r="N54">
        <v>3999</v>
      </c>
      <c r="O54" t="s">
        <v>438</v>
      </c>
      <c r="P54">
        <v>0</v>
      </c>
      <c r="Q54">
        <v>33</v>
      </c>
      <c r="R54">
        <v>3399</v>
      </c>
      <c r="S54">
        <v>142857</v>
      </c>
      <c r="T54">
        <v>485570943</v>
      </c>
      <c r="U54">
        <v>0</v>
      </c>
      <c r="V54">
        <v>5</v>
      </c>
      <c r="W54" t="s">
        <v>164</v>
      </c>
      <c r="X54">
        <v>1049</v>
      </c>
      <c r="Y54">
        <v>24</v>
      </c>
      <c r="Z54">
        <v>0</v>
      </c>
      <c r="AB54">
        <v>3</v>
      </c>
      <c r="AD54" t="s">
        <v>310</v>
      </c>
      <c r="AE54">
        <v>20</v>
      </c>
      <c r="AF54" s="1">
        <v>45604.734664351854</v>
      </c>
      <c r="AG54">
        <v>0</v>
      </c>
      <c r="AH54">
        <v>17</v>
      </c>
      <c r="AI54">
        <v>0</v>
      </c>
      <c r="AJ54">
        <v>0</v>
      </c>
      <c r="AK54">
        <v>25</v>
      </c>
      <c r="AL54">
        <v>0</v>
      </c>
      <c r="AM54">
        <v>22</v>
      </c>
      <c r="AN54">
        <v>0</v>
      </c>
      <c r="AO54">
        <v>0</v>
      </c>
      <c r="AP54">
        <v>362</v>
      </c>
      <c r="AQ54">
        <v>3</v>
      </c>
      <c r="AR54">
        <v>0</v>
      </c>
      <c r="AS54" t="s">
        <v>316</v>
      </c>
      <c r="AT54" s="47" t="s">
        <v>439</v>
      </c>
      <c r="AU54" s="110" t="s">
        <v>440</v>
      </c>
      <c r="AV54" s="43">
        <v>0</v>
      </c>
      <c r="AW54" s="110" t="s">
        <v>423</v>
      </c>
    </row>
    <row r="55" spans="3:49" x14ac:dyDescent="0.25">
      <c r="C55" t="s">
        <v>388</v>
      </c>
      <c r="E55" t="s">
        <v>89</v>
      </c>
      <c r="G55" t="s">
        <v>130</v>
      </c>
      <c r="H55" t="s">
        <v>441</v>
      </c>
      <c r="I55" t="s">
        <v>49</v>
      </c>
      <c r="J55" t="s">
        <v>384</v>
      </c>
      <c r="K55" t="s">
        <v>49</v>
      </c>
      <c r="L55" t="s">
        <v>49</v>
      </c>
      <c r="N55">
        <v>43343</v>
      </c>
      <c r="O55" t="s">
        <v>43</v>
      </c>
      <c r="P55">
        <v>0</v>
      </c>
      <c r="Q55">
        <v>0</v>
      </c>
      <c r="R55">
        <v>4344</v>
      </c>
      <c r="S55">
        <v>142857</v>
      </c>
      <c r="T55">
        <v>620570808</v>
      </c>
      <c r="U55">
        <v>0</v>
      </c>
      <c r="V55">
        <v>2</v>
      </c>
      <c r="W55" t="s">
        <v>165</v>
      </c>
      <c r="X55">
        <v>1050</v>
      </c>
      <c r="Y55">
        <v>36</v>
      </c>
      <c r="Z55">
        <v>0</v>
      </c>
      <c r="AB55">
        <v>4</v>
      </c>
      <c r="AD55" t="s">
        <v>376</v>
      </c>
      <c r="AE55">
        <v>20</v>
      </c>
      <c r="AF55" s="1">
        <v>45604.736805555556</v>
      </c>
      <c r="AG55">
        <v>0</v>
      </c>
      <c r="AH55">
        <v>5</v>
      </c>
      <c r="AI55">
        <v>0</v>
      </c>
      <c r="AJ55">
        <v>0</v>
      </c>
      <c r="AK55">
        <v>26</v>
      </c>
      <c r="AL55">
        <v>0</v>
      </c>
      <c r="AM55">
        <v>3</v>
      </c>
      <c r="AN55">
        <v>0</v>
      </c>
      <c r="AO55">
        <v>0</v>
      </c>
      <c r="AP55">
        <v>363</v>
      </c>
      <c r="AQ55">
        <v>4</v>
      </c>
      <c r="AR55">
        <v>0</v>
      </c>
      <c r="AS55" t="s">
        <v>316</v>
      </c>
      <c r="AT55" s="47" t="s">
        <v>442</v>
      </c>
      <c r="AU55" s="110" t="s">
        <v>443</v>
      </c>
      <c r="AV55" s="43">
        <v>0</v>
      </c>
      <c r="AW55" s="110" t="s">
        <v>423</v>
      </c>
    </row>
    <row r="56" spans="3:49" x14ac:dyDescent="0.25">
      <c r="C56" t="s">
        <v>388</v>
      </c>
      <c r="E56" t="s">
        <v>94</v>
      </c>
      <c r="G56" t="s">
        <v>130</v>
      </c>
      <c r="H56" t="s">
        <v>444</v>
      </c>
      <c r="I56" t="s">
        <v>49</v>
      </c>
      <c r="J56" t="s">
        <v>387</v>
      </c>
      <c r="K56" t="s">
        <v>49</v>
      </c>
      <c r="L56" t="s">
        <v>49</v>
      </c>
      <c r="N56">
        <v>4888</v>
      </c>
      <c r="O56" t="s">
        <v>43</v>
      </c>
      <c r="P56">
        <v>0</v>
      </c>
      <c r="Q56">
        <v>0</v>
      </c>
      <c r="R56">
        <v>0</v>
      </c>
      <c r="S56">
        <v>142857</v>
      </c>
      <c r="T56">
        <v>698285016</v>
      </c>
      <c r="U56">
        <v>0</v>
      </c>
      <c r="V56">
        <v>3</v>
      </c>
      <c r="W56" t="s">
        <v>164</v>
      </c>
      <c r="X56">
        <v>1051</v>
      </c>
      <c r="Y56">
        <v>38</v>
      </c>
      <c r="Z56">
        <v>0</v>
      </c>
      <c r="AB56">
        <v>3</v>
      </c>
      <c r="AD56" t="s">
        <v>376</v>
      </c>
      <c r="AE56">
        <v>20</v>
      </c>
      <c r="AF56" s="1">
        <v>45604.737280092595</v>
      </c>
      <c r="AG56">
        <v>0</v>
      </c>
      <c r="AH56">
        <v>6</v>
      </c>
      <c r="AI56">
        <v>0</v>
      </c>
      <c r="AJ56">
        <v>0</v>
      </c>
      <c r="AK56">
        <v>24</v>
      </c>
      <c r="AL56">
        <v>0</v>
      </c>
      <c r="AM56">
        <v>23</v>
      </c>
      <c r="AN56">
        <v>0</v>
      </c>
      <c r="AO56">
        <v>0</v>
      </c>
      <c r="AP56">
        <v>364</v>
      </c>
      <c r="AQ56">
        <v>3</v>
      </c>
      <c r="AR56">
        <v>0</v>
      </c>
      <c r="AS56" t="s">
        <v>293</v>
      </c>
      <c r="AT56" s="47" t="s">
        <v>445</v>
      </c>
      <c r="AU56" s="110" t="s">
        <v>423</v>
      </c>
      <c r="AV56" s="43">
        <v>4888</v>
      </c>
      <c r="AW56" s="110" t="s">
        <v>446</v>
      </c>
    </row>
    <row r="57" spans="3:49" x14ac:dyDescent="0.25">
      <c r="C57" t="s">
        <v>312</v>
      </c>
      <c r="E57" t="s">
        <v>89</v>
      </c>
      <c r="G57" t="s">
        <v>130</v>
      </c>
      <c r="H57" t="s">
        <v>403</v>
      </c>
      <c r="I57" t="s">
        <v>49</v>
      </c>
      <c r="J57" t="s">
        <v>313</v>
      </c>
      <c r="K57" t="s">
        <v>49</v>
      </c>
      <c r="L57" t="s">
        <v>49</v>
      </c>
      <c r="N57">
        <v>2323</v>
      </c>
      <c r="O57" t="s">
        <v>43</v>
      </c>
      <c r="P57">
        <v>0</v>
      </c>
      <c r="Q57">
        <v>0</v>
      </c>
      <c r="R57">
        <v>0</v>
      </c>
      <c r="S57">
        <v>142857</v>
      </c>
      <c r="T57">
        <v>33428538</v>
      </c>
      <c r="U57">
        <v>0</v>
      </c>
      <c r="V57">
        <v>3</v>
      </c>
      <c r="W57" t="s">
        <v>171</v>
      </c>
      <c r="X57">
        <v>1052</v>
      </c>
      <c r="Y57">
        <v>36</v>
      </c>
      <c r="Z57">
        <v>0</v>
      </c>
      <c r="AB57">
        <v>28</v>
      </c>
      <c r="AD57" t="s">
        <v>376</v>
      </c>
      <c r="AE57">
        <v>20</v>
      </c>
      <c r="AF57" s="1">
        <v>45604.737824074073</v>
      </c>
      <c r="AG57">
        <v>0</v>
      </c>
      <c r="AH57">
        <v>1</v>
      </c>
      <c r="AI57">
        <v>0</v>
      </c>
      <c r="AJ57">
        <v>0</v>
      </c>
      <c r="AK57">
        <v>24</v>
      </c>
      <c r="AL57">
        <v>0</v>
      </c>
      <c r="AM57">
        <v>65</v>
      </c>
      <c r="AN57">
        <v>0</v>
      </c>
      <c r="AO57">
        <v>0</v>
      </c>
      <c r="AP57">
        <v>365</v>
      </c>
      <c r="AQ57">
        <v>28</v>
      </c>
      <c r="AR57">
        <v>0</v>
      </c>
      <c r="AS57" t="s">
        <v>293</v>
      </c>
      <c r="AT57" s="47" t="s">
        <v>447</v>
      </c>
      <c r="AU57" s="110" t="s">
        <v>423</v>
      </c>
      <c r="AV57" s="43">
        <v>234</v>
      </c>
      <c r="AW57" s="110" t="s">
        <v>448</v>
      </c>
    </row>
    <row r="58" spans="3:49" x14ac:dyDescent="0.25">
      <c r="AF58" s="1"/>
      <c r="AU58"/>
      <c r="AV58"/>
      <c r="AW58"/>
    </row>
  </sheetData>
  <mergeCells count="1">
    <mergeCell ref="B2:D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11:AE102"/>
  <sheetViews>
    <sheetView topLeftCell="G1" workbookViewId="0">
      <selection activeCell="M24" sqref="M24"/>
    </sheetView>
  </sheetViews>
  <sheetFormatPr defaultRowHeight="15" x14ac:dyDescent="0.25"/>
  <cols>
    <col min="4" max="4" width="5" customWidth="1"/>
    <col min="5" max="5" width="19.42578125" customWidth="1"/>
    <col min="6" max="7" width="20.42578125" customWidth="1"/>
    <col min="8" max="8" width="17.28515625" customWidth="1"/>
    <col min="9" max="9" width="5" customWidth="1"/>
    <col min="10" max="10" width="20.5703125" customWidth="1"/>
    <col min="11" max="11" width="16.7109375" customWidth="1"/>
    <col min="12" max="12" width="17.140625" customWidth="1"/>
    <col min="13" max="13" width="13.5703125" customWidth="1"/>
    <col min="14" max="14" width="13.28515625" customWidth="1"/>
    <col min="15" max="15" width="9" customWidth="1"/>
    <col min="16" max="16" width="10.7109375" customWidth="1"/>
    <col min="17" max="17" width="22.140625" customWidth="1"/>
    <col min="18" max="18" width="15.85546875" customWidth="1"/>
    <col min="19" max="19" width="5" customWidth="1"/>
    <col min="20" max="20" width="14.140625" customWidth="1"/>
    <col min="21" max="21" width="19.85546875" customWidth="1"/>
    <col min="22" max="22" width="9.5703125" customWidth="1"/>
    <col min="23" max="23" width="17.28515625" customWidth="1"/>
    <col min="24" max="24" width="5" bestFit="1" customWidth="1"/>
    <col min="25" max="25" width="13" bestFit="1" customWidth="1"/>
    <col min="26" max="26" width="9.7109375" bestFit="1" customWidth="1"/>
    <col min="27" max="27" width="14.140625" bestFit="1" customWidth="1"/>
    <col min="28" max="28" width="8.140625" bestFit="1" customWidth="1"/>
    <col min="29" max="29" width="9" bestFit="1" customWidth="1"/>
    <col min="30" max="30" width="10" bestFit="1" customWidth="1"/>
    <col min="31" max="31" width="12.28515625" bestFit="1" customWidth="1"/>
    <col min="32" max="32" width="17.85546875" customWidth="1"/>
    <col min="33" max="33" width="18.85546875" bestFit="1" customWidth="1"/>
    <col min="34" max="34" width="14.140625" customWidth="1"/>
    <col min="35" max="35" width="18.140625" customWidth="1"/>
    <col min="36" max="36" width="21" bestFit="1" customWidth="1"/>
    <col min="37" max="37" width="17.42578125" bestFit="1" customWidth="1"/>
    <col min="38" max="38" width="15.28515625" customWidth="1"/>
    <col min="39" max="39" width="16.42578125" customWidth="1"/>
    <col min="40" max="40" width="18.85546875" bestFit="1" customWidth="1"/>
    <col min="41" max="41" width="10" customWidth="1"/>
    <col min="42" max="42" width="17.42578125" bestFit="1" customWidth="1"/>
    <col min="43" max="43" width="15.140625" bestFit="1" customWidth="1"/>
    <col min="44" max="44" width="15.140625" customWidth="1"/>
    <col min="45" max="45" width="8.85546875" customWidth="1"/>
    <col min="46" max="46" width="13.28515625" customWidth="1"/>
    <col min="47" max="47" width="19" bestFit="1" customWidth="1"/>
    <col min="48" max="48" width="7.5703125" customWidth="1"/>
    <col min="49" max="49" width="12.140625" bestFit="1" customWidth="1"/>
  </cols>
  <sheetData>
    <row r="11" spans="4:31" x14ac:dyDescent="0.25">
      <c r="D11" t="s">
        <v>22</v>
      </c>
      <c r="E11" t="s">
        <v>127</v>
      </c>
      <c r="F11" t="s">
        <v>217</v>
      </c>
      <c r="I11" t="s">
        <v>22</v>
      </c>
      <c r="J11" t="s">
        <v>228</v>
      </c>
      <c r="K11" t="s">
        <v>229</v>
      </c>
      <c r="L11" t="s">
        <v>230</v>
      </c>
      <c r="M11" t="s">
        <v>231</v>
      </c>
      <c r="N11" t="s">
        <v>144</v>
      </c>
      <c r="O11" t="s">
        <v>54</v>
      </c>
      <c r="P11" t="s">
        <v>232</v>
      </c>
      <c r="Q11" t="s">
        <v>233</v>
      </c>
      <c r="S11" t="s">
        <v>22</v>
      </c>
      <c r="T11" t="s">
        <v>32</v>
      </c>
      <c r="U11" t="s">
        <v>278</v>
      </c>
      <c r="X11" t="s">
        <v>22</v>
      </c>
      <c r="Y11" t="s">
        <v>29</v>
      </c>
      <c r="Z11" t="s">
        <v>362</v>
      </c>
      <c r="AA11" t="s">
        <v>32</v>
      </c>
      <c r="AB11" t="s">
        <v>363</v>
      </c>
      <c r="AC11" t="s">
        <v>364</v>
      </c>
      <c r="AD11" t="s">
        <v>365</v>
      </c>
      <c r="AE11" t="s">
        <v>366</v>
      </c>
    </row>
    <row r="12" spans="4:31" x14ac:dyDescent="0.25">
      <c r="D12">
        <v>1</v>
      </c>
      <c r="E12" t="s">
        <v>218</v>
      </c>
      <c r="F12" t="s">
        <v>219</v>
      </c>
      <c r="I12">
        <v>40</v>
      </c>
      <c r="J12" t="s">
        <v>234</v>
      </c>
      <c r="K12" t="s">
        <v>49</v>
      </c>
      <c r="L12" t="s">
        <v>49</v>
      </c>
      <c r="M12" t="s">
        <v>49</v>
      </c>
      <c r="N12" t="s">
        <v>147</v>
      </c>
      <c r="O12" t="s">
        <v>59</v>
      </c>
      <c r="P12">
        <v>1</v>
      </c>
      <c r="S12">
        <v>1</v>
      </c>
      <c r="T12">
        <v>1</v>
      </c>
      <c r="U12" t="s">
        <v>270</v>
      </c>
      <c r="X12">
        <v>91</v>
      </c>
      <c r="Y12">
        <v>20</v>
      </c>
      <c r="Z12">
        <v>28</v>
      </c>
      <c r="AA12">
        <v>1</v>
      </c>
      <c r="AB12" t="s">
        <v>340</v>
      </c>
      <c r="AC12" t="s">
        <v>340</v>
      </c>
      <c r="AD12" t="s">
        <v>341</v>
      </c>
      <c r="AE12">
        <v>9000</v>
      </c>
    </row>
    <row r="13" spans="4:31" x14ac:dyDescent="0.25">
      <c r="D13">
        <v>2</v>
      </c>
      <c r="E13" t="s">
        <v>220</v>
      </c>
      <c r="F13" t="s">
        <v>221</v>
      </c>
      <c r="I13">
        <v>41</v>
      </c>
      <c r="J13" t="s">
        <v>235</v>
      </c>
      <c r="K13" t="s">
        <v>49</v>
      </c>
      <c r="L13" t="s">
        <v>49</v>
      </c>
      <c r="M13" t="s">
        <v>49</v>
      </c>
      <c r="N13" t="s">
        <v>147</v>
      </c>
      <c r="O13" t="s">
        <v>59</v>
      </c>
      <c r="P13">
        <v>1</v>
      </c>
      <c r="S13">
        <v>2</v>
      </c>
      <c r="T13">
        <v>2</v>
      </c>
      <c r="U13" t="s">
        <v>271</v>
      </c>
      <c r="X13">
        <v>92</v>
      </c>
      <c r="Y13">
        <v>20</v>
      </c>
      <c r="Z13">
        <v>28</v>
      </c>
      <c r="AA13">
        <v>2</v>
      </c>
      <c r="AB13" t="s">
        <v>340</v>
      </c>
      <c r="AC13" t="s">
        <v>340</v>
      </c>
      <c r="AD13" t="s">
        <v>341</v>
      </c>
      <c r="AE13">
        <v>9000</v>
      </c>
    </row>
    <row r="14" spans="4:31" x14ac:dyDescent="0.25">
      <c r="D14">
        <v>3</v>
      </c>
      <c r="E14" t="s">
        <v>222</v>
      </c>
      <c r="F14" t="s">
        <v>223</v>
      </c>
      <c r="I14">
        <v>42</v>
      </c>
      <c r="J14" t="s">
        <v>236</v>
      </c>
      <c r="K14" t="s">
        <v>49</v>
      </c>
      <c r="L14" t="s">
        <v>49</v>
      </c>
      <c r="M14" t="s">
        <v>49</v>
      </c>
      <c r="N14" t="s">
        <v>147</v>
      </c>
      <c r="O14" t="s">
        <v>59</v>
      </c>
      <c r="P14">
        <v>1</v>
      </c>
      <c r="S14">
        <v>3</v>
      </c>
      <c r="T14">
        <v>6</v>
      </c>
      <c r="U14" t="s">
        <v>276</v>
      </c>
      <c r="X14">
        <v>93</v>
      </c>
      <c r="Y14">
        <v>20</v>
      </c>
      <c r="Z14">
        <v>28</v>
      </c>
      <c r="AA14">
        <v>6</v>
      </c>
      <c r="AB14" t="s">
        <v>340</v>
      </c>
      <c r="AC14" t="s">
        <v>340</v>
      </c>
      <c r="AD14" t="s">
        <v>341</v>
      </c>
      <c r="AE14">
        <v>9000</v>
      </c>
    </row>
    <row r="15" spans="4:31" x14ac:dyDescent="0.25">
      <c r="D15">
        <v>4</v>
      </c>
      <c r="E15" t="s">
        <v>224</v>
      </c>
      <c r="F15" t="s">
        <v>225</v>
      </c>
      <c r="I15">
        <v>43</v>
      </c>
      <c r="J15" t="s">
        <v>237</v>
      </c>
      <c r="K15" t="s">
        <v>49</v>
      </c>
      <c r="L15" t="s">
        <v>49</v>
      </c>
      <c r="M15" t="s">
        <v>49</v>
      </c>
      <c r="N15" t="s">
        <v>147</v>
      </c>
      <c r="O15" t="s">
        <v>59</v>
      </c>
      <c r="P15">
        <v>1</v>
      </c>
      <c r="S15">
        <v>4</v>
      </c>
      <c r="T15">
        <v>6</v>
      </c>
      <c r="U15" t="s">
        <v>279</v>
      </c>
      <c r="X15">
        <v>94</v>
      </c>
      <c r="Y15">
        <v>20</v>
      </c>
      <c r="Z15">
        <v>28</v>
      </c>
      <c r="AA15">
        <v>6</v>
      </c>
      <c r="AB15" t="s">
        <v>340</v>
      </c>
      <c r="AC15" t="s">
        <v>340</v>
      </c>
      <c r="AD15" t="s">
        <v>341</v>
      </c>
      <c r="AE15">
        <v>9000</v>
      </c>
    </row>
    <row r="16" spans="4:31" x14ac:dyDescent="0.25">
      <c r="D16">
        <v>5</v>
      </c>
      <c r="E16" t="s">
        <v>226</v>
      </c>
      <c r="F16" t="s">
        <v>227</v>
      </c>
      <c r="I16">
        <v>44</v>
      </c>
      <c r="J16" t="s">
        <v>238</v>
      </c>
      <c r="K16" t="s">
        <v>49</v>
      </c>
      <c r="L16" t="s">
        <v>49</v>
      </c>
      <c r="M16" t="s">
        <v>49</v>
      </c>
      <c r="N16" t="s">
        <v>147</v>
      </c>
      <c r="O16" t="s">
        <v>59</v>
      </c>
      <c r="P16">
        <v>1</v>
      </c>
      <c r="S16">
        <v>5</v>
      </c>
      <c r="T16">
        <v>9</v>
      </c>
      <c r="U16" t="s">
        <v>277</v>
      </c>
      <c r="X16">
        <v>95</v>
      </c>
      <c r="Y16">
        <v>20</v>
      </c>
      <c r="Z16">
        <v>28</v>
      </c>
      <c r="AA16">
        <v>9</v>
      </c>
      <c r="AB16" t="s">
        <v>340</v>
      </c>
      <c r="AC16" t="s">
        <v>340</v>
      </c>
      <c r="AD16" t="s">
        <v>341</v>
      </c>
      <c r="AE16">
        <v>9000</v>
      </c>
    </row>
    <row r="17" spans="9:31" x14ac:dyDescent="0.25">
      <c r="I17">
        <v>45</v>
      </c>
      <c r="J17" t="s">
        <v>239</v>
      </c>
      <c r="K17" t="s">
        <v>49</v>
      </c>
      <c r="L17" t="s">
        <v>49</v>
      </c>
      <c r="M17" t="s">
        <v>49</v>
      </c>
      <c r="N17" t="s">
        <v>147</v>
      </c>
      <c r="O17" t="s">
        <v>59</v>
      </c>
      <c r="P17">
        <v>1</v>
      </c>
      <c r="S17">
        <v>6</v>
      </c>
      <c r="T17">
        <v>9</v>
      </c>
      <c r="U17" t="s">
        <v>280</v>
      </c>
      <c r="X17">
        <v>96</v>
      </c>
      <c r="Y17">
        <v>20</v>
      </c>
      <c r="Z17">
        <v>28</v>
      </c>
      <c r="AA17">
        <v>9</v>
      </c>
      <c r="AB17" t="s">
        <v>340</v>
      </c>
      <c r="AC17" t="s">
        <v>340</v>
      </c>
      <c r="AD17" t="s">
        <v>341</v>
      </c>
      <c r="AE17">
        <v>9000</v>
      </c>
    </row>
    <row r="18" spans="9:31" x14ac:dyDescent="0.25">
      <c r="I18">
        <v>46</v>
      </c>
      <c r="J18" t="s">
        <v>240</v>
      </c>
      <c r="K18" t="s">
        <v>49</v>
      </c>
      <c r="L18" t="s">
        <v>49</v>
      </c>
      <c r="M18" t="s">
        <v>49</v>
      </c>
      <c r="N18" t="s">
        <v>147</v>
      </c>
      <c r="O18" t="s">
        <v>59</v>
      </c>
      <c r="P18">
        <v>1</v>
      </c>
      <c r="S18">
        <v>7</v>
      </c>
      <c r="T18">
        <v>11</v>
      </c>
      <c r="U18" t="s">
        <v>244</v>
      </c>
      <c r="X18">
        <v>97</v>
      </c>
      <c r="Y18">
        <v>20</v>
      </c>
      <c r="Z18">
        <v>28</v>
      </c>
      <c r="AA18">
        <v>5</v>
      </c>
      <c r="AB18" t="s">
        <v>340</v>
      </c>
      <c r="AC18" t="s">
        <v>340</v>
      </c>
      <c r="AD18" t="s">
        <v>341</v>
      </c>
      <c r="AE18">
        <v>9000</v>
      </c>
    </row>
    <row r="19" spans="9:31" x14ac:dyDescent="0.25">
      <c r="I19">
        <v>47</v>
      </c>
      <c r="J19" t="s">
        <v>241</v>
      </c>
      <c r="K19" t="s">
        <v>241</v>
      </c>
      <c r="L19" t="s">
        <v>49</v>
      </c>
      <c r="M19" t="s">
        <v>49</v>
      </c>
      <c r="N19" t="s">
        <v>147</v>
      </c>
      <c r="O19" t="s">
        <v>59</v>
      </c>
      <c r="P19">
        <v>1</v>
      </c>
      <c r="S19">
        <v>8</v>
      </c>
      <c r="T19">
        <v>11</v>
      </c>
      <c r="U19" t="s">
        <v>281</v>
      </c>
      <c r="X19">
        <v>98</v>
      </c>
      <c r="Y19">
        <v>20</v>
      </c>
      <c r="Z19">
        <v>28</v>
      </c>
      <c r="AA19">
        <v>8</v>
      </c>
      <c r="AB19" t="s">
        <v>340</v>
      </c>
      <c r="AC19" t="s">
        <v>340</v>
      </c>
      <c r="AD19" t="s">
        <v>341</v>
      </c>
      <c r="AE19">
        <v>9000</v>
      </c>
    </row>
    <row r="20" spans="9:31" x14ac:dyDescent="0.25">
      <c r="I20">
        <v>49</v>
      </c>
      <c r="J20" t="s">
        <v>242</v>
      </c>
      <c r="K20" t="s">
        <v>49</v>
      </c>
      <c r="L20" t="s">
        <v>49</v>
      </c>
      <c r="M20" t="s">
        <v>49</v>
      </c>
      <c r="N20" t="s">
        <v>147</v>
      </c>
      <c r="O20" t="s">
        <v>59</v>
      </c>
      <c r="P20">
        <v>1</v>
      </c>
      <c r="S20">
        <v>9</v>
      </c>
      <c r="T20">
        <v>11</v>
      </c>
      <c r="U20" t="s">
        <v>282</v>
      </c>
      <c r="X20">
        <v>99</v>
      </c>
      <c r="Y20">
        <v>20</v>
      </c>
      <c r="Z20">
        <v>28</v>
      </c>
      <c r="AA20">
        <v>4</v>
      </c>
      <c r="AB20" t="s">
        <v>340</v>
      </c>
      <c r="AC20" t="s">
        <v>340</v>
      </c>
      <c r="AD20" t="s">
        <v>341</v>
      </c>
      <c r="AE20">
        <v>9000</v>
      </c>
    </row>
    <row r="21" spans="9:31" x14ac:dyDescent="0.25">
      <c r="I21">
        <v>11</v>
      </c>
      <c r="J21" t="s">
        <v>243</v>
      </c>
      <c r="K21" t="s">
        <v>244</v>
      </c>
      <c r="L21" t="s">
        <v>49</v>
      </c>
      <c r="M21" t="s">
        <v>49</v>
      </c>
      <c r="N21" t="s">
        <v>147</v>
      </c>
      <c r="O21" t="s">
        <v>59</v>
      </c>
      <c r="P21">
        <v>3</v>
      </c>
      <c r="S21">
        <v>10</v>
      </c>
      <c r="T21">
        <v>17</v>
      </c>
      <c r="U21" t="s">
        <v>249</v>
      </c>
      <c r="X21">
        <v>100</v>
      </c>
      <c r="Y21">
        <v>20</v>
      </c>
      <c r="Z21">
        <v>28</v>
      </c>
      <c r="AA21">
        <v>3</v>
      </c>
      <c r="AB21" t="s">
        <v>340</v>
      </c>
      <c r="AC21" t="s">
        <v>340</v>
      </c>
      <c r="AD21" t="s">
        <v>341</v>
      </c>
      <c r="AE21">
        <v>9000</v>
      </c>
    </row>
    <row r="22" spans="9:31" x14ac:dyDescent="0.25">
      <c r="I22">
        <v>14</v>
      </c>
      <c r="J22" t="s">
        <v>245</v>
      </c>
      <c r="K22" t="s">
        <v>49</v>
      </c>
      <c r="L22" t="s">
        <v>49</v>
      </c>
      <c r="M22" t="s">
        <v>49</v>
      </c>
      <c r="N22" t="s">
        <v>147</v>
      </c>
      <c r="O22" t="s">
        <v>59</v>
      </c>
      <c r="P22">
        <v>3</v>
      </c>
      <c r="S22">
        <v>11</v>
      </c>
      <c r="T22">
        <v>17</v>
      </c>
      <c r="U22" t="s">
        <v>283</v>
      </c>
      <c r="X22">
        <v>101</v>
      </c>
      <c r="Y22">
        <v>20</v>
      </c>
      <c r="Z22">
        <v>10</v>
      </c>
      <c r="AA22">
        <v>1</v>
      </c>
      <c r="AB22" t="s">
        <v>340</v>
      </c>
      <c r="AC22" t="s">
        <v>340</v>
      </c>
      <c r="AD22" t="s">
        <v>341</v>
      </c>
      <c r="AE22">
        <v>9000</v>
      </c>
    </row>
    <row r="23" spans="9:31" x14ac:dyDescent="0.25">
      <c r="I23">
        <v>15</v>
      </c>
      <c r="J23" t="s">
        <v>246</v>
      </c>
      <c r="K23" t="s">
        <v>49</v>
      </c>
      <c r="L23" t="s">
        <v>49</v>
      </c>
      <c r="M23" t="s">
        <v>49</v>
      </c>
      <c r="N23" t="s">
        <v>147</v>
      </c>
      <c r="O23" t="s">
        <v>59</v>
      </c>
      <c r="P23">
        <v>3</v>
      </c>
      <c r="S23">
        <v>12</v>
      </c>
      <c r="T23">
        <v>17</v>
      </c>
      <c r="U23" t="s">
        <v>284</v>
      </c>
      <c r="X23">
        <v>102</v>
      </c>
      <c r="Y23">
        <v>20</v>
      </c>
      <c r="Z23">
        <v>10</v>
      </c>
      <c r="AA23">
        <v>2</v>
      </c>
      <c r="AB23" t="s">
        <v>340</v>
      </c>
      <c r="AC23" t="s">
        <v>340</v>
      </c>
      <c r="AD23" t="s">
        <v>341</v>
      </c>
      <c r="AE23">
        <v>9000</v>
      </c>
    </row>
    <row r="24" spans="9:31" x14ac:dyDescent="0.25">
      <c r="I24">
        <v>16</v>
      </c>
      <c r="J24" t="s">
        <v>247</v>
      </c>
      <c r="K24" t="s">
        <v>49</v>
      </c>
      <c r="L24" t="s">
        <v>49</v>
      </c>
      <c r="M24" t="s">
        <v>49</v>
      </c>
      <c r="N24" t="s">
        <v>147</v>
      </c>
      <c r="O24" t="s">
        <v>59</v>
      </c>
      <c r="P24">
        <v>3</v>
      </c>
      <c r="S24">
        <v>13</v>
      </c>
      <c r="T24">
        <v>28</v>
      </c>
      <c r="U24" t="s">
        <v>285</v>
      </c>
      <c r="X24">
        <v>103</v>
      </c>
      <c r="Y24">
        <v>20</v>
      </c>
      <c r="Z24">
        <v>10</v>
      </c>
      <c r="AA24">
        <v>6</v>
      </c>
      <c r="AB24" t="s">
        <v>340</v>
      </c>
      <c r="AC24" t="s">
        <v>340</v>
      </c>
      <c r="AD24" t="s">
        <v>341</v>
      </c>
      <c r="AE24">
        <v>9000</v>
      </c>
    </row>
    <row r="25" spans="9:31" x14ac:dyDescent="0.25">
      <c r="I25">
        <v>17</v>
      </c>
      <c r="J25" t="s">
        <v>248</v>
      </c>
      <c r="K25" t="s">
        <v>249</v>
      </c>
      <c r="L25" t="s">
        <v>49</v>
      </c>
      <c r="M25" t="s">
        <v>49</v>
      </c>
      <c r="N25" t="s">
        <v>147</v>
      </c>
      <c r="O25" t="s">
        <v>59</v>
      </c>
      <c r="P25">
        <v>3</v>
      </c>
      <c r="S25">
        <v>14</v>
      </c>
      <c r="T25">
        <v>28</v>
      </c>
      <c r="U25" t="s">
        <v>286</v>
      </c>
      <c r="X25">
        <v>104</v>
      </c>
      <c r="Y25">
        <v>20</v>
      </c>
      <c r="Z25">
        <v>10</v>
      </c>
      <c r="AA25">
        <v>6</v>
      </c>
      <c r="AB25" t="s">
        <v>340</v>
      </c>
      <c r="AC25" t="s">
        <v>340</v>
      </c>
      <c r="AD25" t="s">
        <v>341</v>
      </c>
      <c r="AE25">
        <v>9000</v>
      </c>
    </row>
    <row r="26" spans="9:31" x14ac:dyDescent="0.25">
      <c r="I26">
        <v>20</v>
      </c>
      <c r="J26" t="s">
        <v>250</v>
      </c>
      <c r="K26" t="s">
        <v>49</v>
      </c>
      <c r="L26" t="s">
        <v>49</v>
      </c>
      <c r="M26" t="s">
        <v>49</v>
      </c>
      <c r="N26" t="s">
        <v>147</v>
      </c>
      <c r="O26" t="s">
        <v>59</v>
      </c>
      <c r="P26">
        <v>3</v>
      </c>
      <c r="S26">
        <v>15</v>
      </c>
      <c r="T26">
        <v>47</v>
      </c>
      <c r="U26" t="s">
        <v>287</v>
      </c>
      <c r="X26">
        <v>105</v>
      </c>
      <c r="Y26">
        <v>20</v>
      </c>
      <c r="Z26">
        <v>10</v>
      </c>
      <c r="AA26">
        <v>9</v>
      </c>
      <c r="AB26" t="s">
        <v>340</v>
      </c>
      <c r="AC26" t="s">
        <v>340</v>
      </c>
      <c r="AD26" t="s">
        <v>341</v>
      </c>
      <c r="AE26">
        <v>9000</v>
      </c>
    </row>
    <row r="27" spans="9:31" x14ac:dyDescent="0.25">
      <c r="I27">
        <v>21</v>
      </c>
      <c r="J27" t="s">
        <v>251</v>
      </c>
      <c r="K27" t="s">
        <v>49</v>
      </c>
      <c r="L27" t="s">
        <v>49</v>
      </c>
      <c r="M27" t="s">
        <v>49</v>
      </c>
      <c r="N27" t="s">
        <v>147</v>
      </c>
      <c r="O27" t="s">
        <v>59</v>
      </c>
      <c r="P27">
        <v>3</v>
      </c>
      <c r="S27">
        <v>16</v>
      </c>
      <c r="T27">
        <v>47</v>
      </c>
      <c r="U27" t="s">
        <v>288</v>
      </c>
      <c r="X27">
        <v>106</v>
      </c>
      <c r="Y27">
        <v>20</v>
      </c>
      <c r="Z27">
        <v>10</v>
      </c>
      <c r="AA27">
        <v>9</v>
      </c>
      <c r="AB27" t="s">
        <v>340</v>
      </c>
      <c r="AC27" t="s">
        <v>340</v>
      </c>
      <c r="AD27" t="s">
        <v>341</v>
      </c>
      <c r="AE27">
        <v>9000</v>
      </c>
    </row>
    <row r="28" spans="9:31" x14ac:dyDescent="0.25">
      <c r="I28">
        <v>22</v>
      </c>
      <c r="J28" t="s">
        <v>252</v>
      </c>
      <c r="K28" t="s">
        <v>49</v>
      </c>
      <c r="L28" t="s">
        <v>49</v>
      </c>
      <c r="M28" t="s">
        <v>49</v>
      </c>
      <c r="N28" t="s">
        <v>147</v>
      </c>
      <c r="O28" t="s">
        <v>59</v>
      </c>
      <c r="P28">
        <v>3</v>
      </c>
      <c r="S28">
        <v>17</v>
      </c>
      <c r="T28">
        <v>3</v>
      </c>
      <c r="U28" t="s">
        <v>272</v>
      </c>
      <c r="X28">
        <v>107</v>
      </c>
      <c r="Y28">
        <v>20</v>
      </c>
      <c r="Z28">
        <v>10</v>
      </c>
      <c r="AA28">
        <v>5</v>
      </c>
      <c r="AB28" t="s">
        <v>340</v>
      </c>
      <c r="AC28" t="s">
        <v>340</v>
      </c>
      <c r="AD28" t="s">
        <v>341</v>
      </c>
      <c r="AE28">
        <v>9000</v>
      </c>
    </row>
    <row r="29" spans="9:31" x14ac:dyDescent="0.25">
      <c r="I29">
        <v>23</v>
      </c>
      <c r="J29" t="s">
        <v>253</v>
      </c>
      <c r="K29" t="s">
        <v>49</v>
      </c>
      <c r="L29" t="s">
        <v>49</v>
      </c>
      <c r="M29" t="s">
        <v>49</v>
      </c>
      <c r="N29" t="s">
        <v>147</v>
      </c>
      <c r="O29" t="s">
        <v>59</v>
      </c>
      <c r="P29">
        <v>3</v>
      </c>
      <c r="S29">
        <v>18</v>
      </c>
      <c r="T29">
        <v>4</v>
      </c>
      <c r="U29" t="s">
        <v>273</v>
      </c>
      <c r="X29">
        <v>108</v>
      </c>
      <c r="Y29">
        <v>20</v>
      </c>
      <c r="Z29">
        <v>10</v>
      </c>
      <c r="AA29">
        <v>8</v>
      </c>
      <c r="AB29" t="s">
        <v>340</v>
      </c>
      <c r="AC29" t="s">
        <v>340</v>
      </c>
      <c r="AD29" t="s">
        <v>341</v>
      </c>
      <c r="AE29">
        <v>9000</v>
      </c>
    </row>
    <row r="30" spans="9:31" x14ac:dyDescent="0.25">
      <c r="I30">
        <v>24</v>
      </c>
      <c r="J30" t="s">
        <v>254</v>
      </c>
      <c r="K30" t="s">
        <v>49</v>
      </c>
      <c r="L30" t="s">
        <v>49</v>
      </c>
      <c r="M30" t="s">
        <v>49</v>
      </c>
      <c r="N30" t="s">
        <v>147</v>
      </c>
      <c r="O30" t="s">
        <v>59</v>
      </c>
      <c r="P30">
        <v>3</v>
      </c>
      <c r="S30">
        <v>19</v>
      </c>
      <c r="T30">
        <v>5</v>
      </c>
      <c r="U30" t="s">
        <v>274</v>
      </c>
      <c r="X30">
        <v>109</v>
      </c>
      <c r="Y30">
        <v>20</v>
      </c>
      <c r="Z30">
        <v>10</v>
      </c>
      <c r="AA30">
        <v>4</v>
      </c>
      <c r="AB30" t="s">
        <v>340</v>
      </c>
      <c r="AC30" t="s">
        <v>340</v>
      </c>
      <c r="AD30" t="s">
        <v>341</v>
      </c>
      <c r="AE30">
        <v>9000</v>
      </c>
    </row>
    <row r="31" spans="9:31" x14ac:dyDescent="0.25">
      <c r="I31">
        <v>25</v>
      </c>
      <c r="J31" t="s">
        <v>255</v>
      </c>
      <c r="K31" t="s">
        <v>49</v>
      </c>
      <c r="L31" t="s">
        <v>49</v>
      </c>
      <c r="M31" t="s">
        <v>49</v>
      </c>
      <c r="N31" t="s">
        <v>147</v>
      </c>
      <c r="O31" t="s">
        <v>59</v>
      </c>
      <c r="P31">
        <v>3</v>
      </c>
      <c r="S31">
        <v>20</v>
      </c>
      <c r="T31">
        <v>8</v>
      </c>
      <c r="U31" t="s">
        <v>136</v>
      </c>
      <c r="X31">
        <v>110</v>
      </c>
      <c r="Y31">
        <v>20</v>
      </c>
      <c r="Z31">
        <v>10</v>
      </c>
      <c r="AA31">
        <v>3</v>
      </c>
      <c r="AB31" t="s">
        <v>340</v>
      </c>
      <c r="AC31" t="s">
        <v>340</v>
      </c>
      <c r="AD31" t="s">
        <v>341</v>
      </c>
      <c r="AE31">
        <v>9000</v>
      </c>
    </row>
    <row r="32" spans="9:31" x14ac:dyDescent="0.25">
      <c r="I32">
        <v>26</v>
      </c>
      <c r="J32" t="s">
        <v>256</v>
      </c>
      <c r="K32" t="s">
        <v>49</v>
      </c>
      <c r="L32" t="s">
        <v>49</v>
      </c>
      <c r="M32" t="s">
        <v>49</v>
      </c>
      <c r="N32" t="s">
        <v>147</v>
      </c>
      <c r="O32" t="s">
        <v>59</v>
      </c>
      <c r="P32">
        <v>3</v>
      </c>
      <c r="S32">
        <v>21</v>
      </c>
      <c r="T32">
        <v>14</v>
      </c>
      <c r="U32" t="s">
        <v>245</v>
      </c>
      <c r="X32">
        <v>111</v>
      </c>
      <c r="Y32">
        <v>20</v>
      </c>
      <c r="Z32">
        <v>9</v>
      </c>
      <c r="AA32">
        <v>1</v>
      </c>
      <c r="AB32" t="s">
        <v>340</v>
      </c>
      <c r="AC32" t="s">
        <v>340</v>
      </c>
      <c r="AD32" t="s">
        <v>341</v>
      </c>
      <c r="AE32">
        <v>9000</v>
      </c>
    </row>
    <row r="33" spans="9:31" x14ac:dyDescent="0.25">
      <c r="I33">
        <v>27</v>
      </c>
      <c r="J33" t="s">
        <v>257</v>
      </c>
      <c r="K33" t="s">
        <v>49</v>
      </c>
      <c r="L33" t="s">
        <v>49</v>
      </c>
      <c r="M33" t="s">
        <v>49</v>
      </c>
      <c r="N33" t="s">
        <v>147</v>
      </c>
      <c r="O33" t="s">
        <v>59</v>
      </c>
      <c r="P33">
        <v>3</v>
      </c>
      <c r="S33">
        <v>22</v>
      </c>
      <c r="T33">
        <v>15</v>
      </c>
      <c r="U33" t="s">
        <v>246</v>
      </c>
      <c r="X33">
        <v>112</v>
      </c>
      <c r="Y33">
        <v>20</v>
      </c>
      <c r="Z33">
        <v>9</v>
      </c>
      <c r="AA33">
        <v>2</v>
      </c>
      <c r="AB33" t="s">
        <v>340</v>
      </c>
      <c r="AC33" t="s">
        <v>340</v>
      </c>
      <c r="AD33" t="s">
        <v>341</v>
      </c>
      <c r="AE33">
        <v>9000</v>
      </c>
    </row>
    <row r="34" spans="9:31" x14ac:dyDescent="0.25">
      <c r="I34">
        <v>28</v>
      </c>
      <c r="J34" t="s">
        <v>258</v>
      </c>
      <c r="K34" t="s">
        <v>49</v>
      </c>
      <c r="L34" t="s">
        <v>49</v>
      </c>
      <c r="M34" t="s">
        <v>49</v>
      </c>
      <c r="N34" t="s">
        <v>147</v>
      </c>
      <c r="O34" t="s">
        <v>59</v>
      </c>
      <c r="P34">
        <v>2</v>
      </c>
      <c r="S34">
        <v>23</v>
      </c>
      <c r="T34">
        <v>16</v>
      </c>
      <c r="U34" t="s">
        <v>247</v>
      </c>
      <c r="X34">
        <v>113</v>
      </c>
      <c r="Y34">
        <v>20</v>
      </c>
      <c r="Z34">
        <v>9</v>
      </c>
      <c r="AA34">
        <v>6</v>
      </c>
      <c r="AB34" t="s">
        <v>340</v>
      </c>
      <c r="AC34" t="s">
        <v>340</v>
      </c>
      <c r="AD34" t="s">
        <v>341</v>
      </c>
      <c r="AE34">
        <v>9000</v>
      </c>
    </row>
    <row r="35" spans="9:31" x14ac:dyDescent="0.25">
      <c r="I35">
        <v>30</v>
      </c>
      <c r="J35" t="s">
        <v>259</v>
      </c>
      <c r="K35" t="s">
        <v>49</v>
      </c>
      <c r="L35" t="s">
        <v>49</v>
      </c>
      <c r="M35" t="s">
        <v>49</v>
      </c>
      <c r="N35" t="s">
        <v>147</v>
      </c>
      <c r="O35" t="s">
        <v>59</v>
      </c>
      <c r="P35">
        <v>2</v>
      </c>
      <c r="S35">
        <v>24</v>
      </c>
      <c r="T35">
        <v>20</v>
      </c>
      <c r="U35" t="s">
        <v>250</v>
      </c>
      <c r="X35">
        <v>114</v>
      </c>
      <c r="Y35">
        <v>20</v>
      </c>
      <c r="Z35">
        <v>9</v>
      </c>
      <c r="AA35">
        <v>6</v>
      </c>
      <c r="AB35" t="s">
        <v>340</v>
      </c>
      <c r="AC35" t="s">
        <v>340</v>
      </c>
      <c r="AD35" t="s">
        <v>341</v>
      </c>
      <c r="AE35">
        <v>9000</v>
      </c>
    </row>
    <row r="36" spans="9:31" x14ac:dyDescent="0.25">
      <c r="I36">
        <v>31</v>
      </c>
      <c r="J36" t="s">
        <v>260</v>
      </c>
      <c r="K36" t="s">
        <v>49</v>
      </c>
      <c r="L36" t="s">
        <v>49</v>
      </c>
      <c r="M36" t="s">
        <v>49</v>
      </c>
      <c r="N36" t="s">
        <v>147</v>
      </c>
      <c r="O36" t="s">
        <v>59</v>
      </c>
      <c r="P36">
        <v>2</v>
      </c>
      <c r="S36">
        <v>25</v>
      </c>
      <c r="T36">
        <v>21</v>
      </c>
      <c r="U36" t="s">
        <v>251</v>
      </c>
      <c r="X36">
        <v>115</v>
      </c>
      <c r="Y36">
        <v>20</v>
      </c>
      <c r="Z36">
        <v>9</v>
      </c>
      <c r="AA36">
        <v>9</v>
      </c>
      <c r="AB36" t="s">
        <v>340</v>
      </c>
      <c r="AC36" t="s">
        <v>340</v>
      </c>
      <c r="AD36" t="s">
        <v>341</v>
      </c>
      <c r="AE36">
        <v>9000</v>
      </c>
    </row>
    <row r="37" spans="9:31" x14ac:dyDescent="0.25">
      <c r="I37">
        <v>32</v>
      </c>
      <c r="J37" t="s">
        <v>261</v>
      </c>
      <c r="K37" t="s">
        <v>49</v>
      </c>
      <c r="L37" t="s">
        <v>49</v>
      </c>
      <c r="M37" t="s">
        <v>49</v>
      </c>
      <c r="N37" t="s">
        <v>147</v>
      </c>
      <c r="O37" t="s">
        <v>59</v>
      </c>
      <c r="P37">
        <v>2</v>
      </c>
      <c r="S37">
        <v>26</v>
      </c>
      <c r="T37">
        <v>22</v>
      </c>
      <c r="U37" t="s">
        <v>252</v>
      </c>
      <c r="X37">
        <v>116</v>
      </c>
      <c r="Y37">
        <v>20</v>
      </c>
      <c r="Z37">
        <v>9</v>
      </c>
      <c r="AA37">
        <v>9</v>
      </c>
      <c r="AB37" t="s">
        <v>340</v>
      </c>
      <c r="AC37" t="s">
        <v>340</v>
      </c>
      <c r="AD37" t="s">
        <v>341</v>
      </c>
      <c r="AE37">
        <v>9000</v>
      </c>
    </row>
    <row r="38" spans="9:31" x14ac:dyDescent="0.25">
      <c r="I38">
        <v>33</v>
      </c>
      <c r="J38" t="s">
        <v>262</v>
      </c>
      <c r="K38" t="s">
        <v>49</v>
      </c>
      <c r="L38" t="s">
        <v>49</v>
      </c>
      <c r="M38" t="s">
        <v>49</v>
      </c>
      <c r="N38" t="s">
        <v>147</v>
      </c>
      <c r="O38" t="s">
        <v>59</v>
      </c>
      <c r="P38">
        <v>2</v>
      </c>
      <c r="S38">
        <v>27</v>
      </c>
      <c r="T38">
        <v>23</v>
      </c>
      <c r="U38" t="s">
        <v>253</v>
      </c>
      <c r="X38">
        <v>117</v>
      </c>
      <c r="Y38">
        <v>20</v>
      </c>
      <c r="Z38">
        <v>9</v>
      </c>
      <c r="AA38">
        <v>5</v>
      </c>
      <c r="AB38" t="s">
        <v>340</v>
      </c>
      <c r="AC38" t="s">
        <v>340</v>
      </c>
      <c r="AD38" t="s">
        <v>341</v>
      </c>
      <c r="AE38">
        <v>9000</v>
      </c>
    </row>
    <row r="39" spans="9:31" x14ac:dyDescent="0.25">
      <c r="I39">
        <v>34</v>
      </c>
      <c r="J39" t="s">
        <v>263</v>
      </c>
      <c r="K39" t="s">
        <v>49</v>
      </c>
      <c r="L39" t="s">
        <v>49</v>
      </c>
      <c r="M39" t="s">
        <v>49</v>
      </c>
      <c r="N39" t="s">
        <v>147</v>
      </c>
      <c r="O39" t="s">
        <v>59</v>
      </c>
      <c r="P39">
        <v>4</v>
      </c>
      <c r="S39">
        <v>28</v>
      </c>
      <c r="T39">
        <v>24</v>
      </c>
      <c r="U39" t="s">
        <v>254</v>
      </c>
      <c r="X39">
        <v>118</v>
      </c>
      <c r="Y39">
        <v>20</v>
      </c>
      <c r="Z39">
        <v>9</v>
      </c>
      <c r="AA39">
        <v>8</v>
      </c>
      <c r="AB39" t="s">
        <v>340</v>
      </c>
      <c r="AC39" t="s">
        <v>340</v>
      </c>
      <c r="AD39" t="s">
        <v>341</v>
      </c>
      <c r="AE39">
        <v>9000</v>
      </c>
    </row>
    <row r="40" spans="9:31" x14ac:dyDescent="0.25">
      <c r="I40">
        <v>35</v>
      </c>
      <c r="J40" t="s">
        <v>264</v>
      </c>
      <c r="K40" t="s">
        <v>49</v>
      </c>
      <c r="L40" t="s">
        <v>49</v>
      </c>
      <c r="M40" t="s">
        <v>49</v>
      </c>
      <c r="N40" t="s">
        <v>147</v>
      </c>
      <c r="O40" t="s">
        <v>59</v>
      </c>
      <c r="P40">
        <v>4</v>
      </c>
      <c r="S40">
        <v>29</v>
      </c>
      <c r="T40">
        <v>25</v>
      </c>
      <c r="U40" t="s">
        <v>255</v>
      </c>
      <c r="X40">
        <v>119</v>
      </c>
      <c r="Y40">
        <v>20</v>
      </c>
      <c r="Z40">
        <v>9</v>
      </c>
      <c r="AA40">
        <v>4</v>
      </c>
      <c r="AB40" t="s">
        <v>340</v>
      </c>
      <c r="AC40" t="s">
        <v>340</v>
      </c>
      <c r="AD40" t="s">
        <v>341</v>
      </c>
      <c r="AE40">
        <v>9000</v>
      </c>
    </row>
    <row r="41" spans="9:31" x14ac:dyDescent="0.25">
      <c r="I41">
        <v>36</v>
      </c>
      <c r="J41" t="s">
        <v>265</v>
      </c>
      <c r="K41" t="s">
        <v>49</v>
      </c>
      <c r="L41" t="s">
        <v>49</v>
      </c>
      <c r="M41" t="s">
        <v>49</v>
      </c>
      <c r="N41" t="s">
        <v>147</v>
      </c>
      <c r="O41" t="s">
        <v>59</v>
      </c>
      <c r="P41">
        <v>4</v>
      </c>
      <c r="S41">
        <v>30</v>
      </c>
      <c r="T41">
        <v>26</v>
      </c>
      <c r="U41" t="s">
        <v>256</v>
      </c>
      <c r="X41">
        <v>120</v>
      </c>
      <c r="Y41">
        <v>20</v>
      </c>
      <c r="Z41">
        <v>9</v>
      </c>
      <c r="AA41">
        <v>3</v>
      </c>
      <c r="AB41" t="s">
        <v>340</v>
      </c>
      <c r="AC41" t="s">
        <v>340</v>
      </c>
      <c r="AD41" t="s">
        <v>341</v>
      </c>
      <c r="AE41">
        <v>9000</v>
      </c>
    </row>
    <row r="42" spans="9:31" x14ac:dyDescent="0.25">
      <c r="I42">
        <v>37</v>
      </c>
      <c r="J42" t="s">
        <v>266</v>
      </c>
      <c r="K42" t="s">
        <v>49</v>
      </c>
      <c r="L42" t="s">
        <v>49</v>
      </c>
      <c r="M42" t="s">
        <v>49</v>
      </c>
      <c r="N42" t="s">
        <v>147</v>
      </c>
      <c r="O42" t="s">
        <v>59</v>
      </c>
      <c r="P42">
        <v>4</v>
      </c>
      <c r="S42">
        <v>31</v>
      </c>
      <c r="T42">
        <v>27</v>
      </c>
      <c r="U42" t="s">
        <v>257</v>
      </c>
      <c r="X42">
        <v>121</v>
      </c>
      <c r="Y42">
        <v>20</v>
      </c>
      <c r="Z42">
        <v>8</v>
      </c>
      <c r="AA42">
        <v>1</v>
      </c>
      <c r="AB42" t="s">
        <v>340</v>
      </c>
      <c r="AC42" t="s">
        <v>340</v>
      </c>
      <c r="AD42" t="s">
        <v>341</v>
      </c>
      <c r="AE42">
        <v>9000</v>
      </c>
    </row>
    <row r="43" spans="9:31" x14ac:dyDescent="0.25">
      <c r="I43">
        <v>38</v>
      </c>
      <c r="J43" t="s">
        <v>267</v>
      </c>
      <c r="K43" t="s">
        <v>49</v>
      </c>
      <c r="L43" t="s">
        <v>49</v>
      </c>
      <c r="M43" t="s">
        <v>49</v>
      </c>
      <c r="N43" t="s">
        <v>147</v>
      </c>
      <c r="O43" t="s">
        <v>59</v>
      </c>
      <c r="P43">
        <v>4</v>
      </c>
      <c r="S43">
        <v>32</v>
      </c>
      <c r="T43">
        <v>30</v>
      </c>
      <c r="U43" t="s">
        <v>259</v>
      </c>
      <c r="X43">
        <v>122</v>
      </c>
      <c r="Y43">
        <v>20</v>
      </c>
      <c r="Z43">
        <v>8</v>
      </c>
      <c r="AA43">
        <v>2</v>
      </c>
      <c r="AB43" t="s">
        <v>340</v>
      </c>
      <c r="AC43" t="s">
        <v>340</v>
      </c>
      <c r="AD43" t="s">
        <v>341</v>
      </c>
      <c r="AE43">
        <v>9000</v>
      </c>
    </row>
    <row r="44" spans="9:31" x14ac:dyDescent="0.25">
      <c r="I44">
        <v>39</v>
      </c>
      <c r="J44" t="s">
        <v>268</v>
      </c>
      <c r="K44" t="s">
        <v>49</v>
      </c>
      <c r="L44" t="s">
        <v>49</v>
      </c>
      <c r="M44" t="s">
        <v>49</v>
      </c>
      <c r="N44" t="s">
        <v>147</v>
      </c>
      <c r="O44" t="s">
        <v>59</v>
      </c>
      <c r="P44">
        <v>4</v>
      </c>
      <c r="S44">
        <v>33</v>
      </c>
      <c r="T44">
        <v>31</v>
      </c>
      <c r="U44" t="s">
        <v>260</v>
      </c>
      <c r="X44">
        <v>123</v>
      </c>
      <c r="Y44">
        <v>20</v>
      </c>
      <c r="Z44">
        <v>8</v>
      </c>
      <c r="AA44">
        <v>6</v>
      </c>
      <c r="AB44" t="s">
        <v>340</v>
      </c>
      <c r="AC44" t="s">
        <v>340</v>
      </c>
      <c r="AD44" t="s">
        <v>341</v>
      </c>
      <c r="AE44">
        <v>9000</v>
      </c>
    </row>
    <row r="45" spans="9:31" x14ac:dyDescent="0.25">
      <c r="I45">
        <v>1</v>
      </c>
      <c r="J45" t="s">
        <v>269</v>
      </c>
      <c r="K45" t="s">
        <v>270</v>
      </c>
      <c r="L45" t="s">
        <v>49</v>
      </c>
      <c r="M45" t="s">
        <v>49</v>
      </c>
      <c r="N45" t="s">
        <v>147</v>
      </c>
      <c r="O45" t="s">
        <v>59</v>
      </c>
      <c r="P45">
        <v>3</v>
      </c>
      <c r="Q45">
        <v>1</v>
      </c>
      <c r="S45">
        <v>34</v>
      </c>
      <c r="T45">
        <v>32</v>
      </c>
      <c r="U45" t="s">
        <v>261</v>
      </c>
      <c r="X45">
        <v>124</v>
      </c>
      <c r="Y45">
        <v>20</v>
      </c>
      <c r="Z45">
        <v>8</v>
      </c>
      <c r="AA45">
        <v>6</v>
      </c>
      <c r="AB45" t="s">
        <v>340</v>
      </c>
      <c r="AC45" t="s">
        <v>340</v>
      </c>
      <c r="AD45" t="s">
        <v>341</v>
      </c>
      <c r="AE45">
        <v>9000</v>
      </c>
    </row>
    <row r="46" spans="9:31" x14ac:dyDescent="0.25">
      <c r="I46">
        <v>2</v>
      </c>
      <c r="J46" t="s">
        <v>271</v>
      </c>
      <c r="K46" t="s">
        <v>271</v>
      </c>
      <c r="L46" t="s">
        <v>49</v>
      </c>
      <c r="M46" t="s">
        <v>49</v>
      </c>
      <c r="N46" t="s">
        <v>147</v>
      </c>
      <c r="O46" t="s">
        <v>59</v>
      </c>
      <c r="P46">
        <v>3</v>
      </c>
      <c r="Q46">
        <v>1</v>
      </c>
      <c r="S46">
        <v>35</v>
      </c>
      <c r="T46">
        <v>33</v>
      </c>
      <c r="U46" t="s">
        <v>262</v>
      </c>
      <c r="X46">
        <v>125</v>
      </c>
      <c r="Y46">
        <v>20</v>
      </c>
      <c r="Z46">
        <v>8</v>
      </c>
      <c r="AA46">
        <v>9</v>
      </c>
      <c r="AB46" t="s">
        <v>340</v>
      </c>
      <c r="AC46" t="s">
        <v>340</v>
      </c>
      <c r="AD46" t="s">
        <v>341</v>
      </c>
      <c r="AE46">
        <v>9000</v>
      </c>
    </row>
    <row r="47" spans="9:31" x14ac:dyDescent="0.25">
      <c r="I47">
        <v>3</v>
      </c>
      <c r="J47" t="s">
        <v>272</v>
      </c>
      <c r="K47" t="s">
        <v>49</v>
      </c>
      <c r="L47" t="s">
        <v>49</v>
      </c>
      <c r="M47" t="s">
        <v>49</v>
      </c>
      <c r="N47" t="s">
        <v>147</v>
      </c>
      <c r="O47" t="s">
        <v>59</v>
      </c>
      <c r="P47">
        <v>3</v>
      </c>
      <c r="Q47">
        <v>1</v>
      </c>
      <c r="S47">
        <v>36</v>
      </c>
      <c r="T47">
        <v>34</v>
      </c>
      <c r="U47" t="s">
        <v>263</v>
      </c>
      <c r="X47">
        <v>126</v>
      </c>
      <c r="Y47">
        <v>20</v>
      </c>
      <c r="Z47">
        <v>8</v>
      </c>
      <c r="AA47">
        <v>9</v>
      </c>
      <c r="AB47" t="s">
        <v>340</v>
      </c>
      <c r="AC47" t="s">
        <v>340</v>
      </c>
      <c r="AD47" t="s">
        <v>341</v>
      </c>
      <c r="AE47">
        <v>9000</v>
      </c>
    </row>
    <row r="48" spans="9:31" x14ac:dyDescent="0.25">
      <c r="I48">
        <v>4</v>
      </c>
      <c r="J48" t="s">
        <v>273</v>
      </c>
      <c r="K48" t="s">
        <v>49</v>
      </c>
      <c r="L48" t="s">
        <v>49</v>
      </c>
      <c r="M48" t="s">
        <v>49</v>
      </c>
      <c r="N48" t="s">
        <v>147</v>
      </c>
      <c r="O48" t="s">
        <v>59</v>
      </c>
      <c r="P48">
        <v>3</v>
      </c>
      <c r="Q48">
        <v>1</v>
      </c>
      <c r="S48">
        <v>37</v>
      </c>
      <c r="T48">
        <v>35</v>
      </c>
      <c r="U48" t="s">
        <v>264</v>
      </c>
      <c r="X48">
        <v>127</v>
      </c>
      <c r="Y48">
        <v>20</v>
      </c>
      <c r="Z48">
        <v>8</v>
      </c>
      <c r="AA48">
        <v>5</v>
      </c>
      <c r="AB48" t="s">
        <v>340</v>
      </c>
      <c r="AC48" t="s">
        <v>340</v>
      </c>
      <c r="AD48" t="s">
        <v>341</v>
      </c>
      <c r="AE48">
        <v>9000</v>
      </c>
    </row>
    <row r="49" spans="6:31" x14ac:dyDescent="0.25">
      <c r="I49">
        <v>5</v>
      </c>
      <c r="J49" t="s">
        <v>274</v>
      </c>
      <c r="K49" t="s">
        <v>49</v>
      </c>
      <c r="L49" t="s">
        <v>49</v>
      </c>
      <c r="M49" t="s">
        <v>49</v>
      </c>
      <c r="N49" t="s">
        <v>147</v>
      </c>
      <c r="O49" t="s">
        <v>59</v>
      </c>
      <c r="P49">
        <v>3</v>
      </c>
      <c r="Q49">
        <v>1</v>
      </c>
      <c r="S49">
        <v>38</v>
      </c>
      <c r="T49">
        <v>36</v>
      </c>
      <c r="U49" t="s">
        <v>265</v>
      </c>
      <c r="X49">
        <v>128</v>
      </c>
      <c r="Y49">
        <v>20</v>
      </c>
      <c r="Z49">
        <v>8</v>
      </c>
      <c r="AA49">
        <v>8</v>
      </c>
      <c r="AB49" t="s">
        <v>340</v>
      </c>
      <c r="AC49" t="s">
        <v>340</v>
      </c>
      <c r="AD49" t="s">
        <v>341</v>
      </c>
      <c r="AE49">
        <v>9000</v>
      </c>
    </row>
    <row r="50" spans="6:31" x14ac:dyDescent="0.25">
      <c r="I50">
        <v>6</v>
      </c>
      <c r="J50" t="s">
        <v>275</v>
      </c>
      <c r="K50" t="s">
        <v>276</v>
      </c>
      <c r="L50" t="s">
        <v>49</v>
      </c>
      <c r="M50" t="s">
        <v>49</v>
      </c>
      <c r="N50" t="s">
        <v>147</v>
      </c>
      <c r="O50" t="s">
        <v>59</v>
      </c>
      <c r="P50">
        <v>3</v>
      </c>
      <c r="Q50">
        <v>1</v>
      </c>
      <c r="S50">
        <v>39</v>
      </c>
      <c r="T50">
        <v>37</v>
      </c>
      <c r="U50" t="s">
        <v>266</v>
      </c>
      <c r="X50">
        <v>129</v>
      </c>
      <c r="Y50">
        <v>20</v>
      </c>
      <c r="Z50">
        <v>8</v>
      </c>
      <c r="AA50">
        <v>4</v>
      </c>
      <c r="AB50" t="s">
        <v>340</v>
      </c>
      <c r="AC50" t="s">
        <v>340</v>
      </c>
      <c r="AD50" t="s">
        <v>341</v>
      </c>
      <c r="AE50">
        <v>9000</v>
      </c>
    </row>
    <row r="51" spans="6:31" x14ac:dyDescent="0.25">
      <c r="I51">
        <v>8</v>
      </c>
      <c r="J51" t="s">
        <v>136</v>
      </c>
      <c r="K51" t="s">
        <v>49</v>
      </c>
      <c r="L51" t="s">
        <v>49</v>
      </c>
      <c r="M51" t="s">
        <v>49</v>
      </c>
      <c r="N51" t="s">
        <v>147</v>
      </c>
      <c r="O51" t="s">
        <v>59</v>
      </c>
      <c r="P51">
        <v>3</v>
      </c>
      <c r="Q51">
        <v>1</v>
      </c>
      <c r="S51">
        <v>40</v>
      </c>
      <c r="T51">
        <v>38</v>
      </c>
      <c r="U51" t="s">
        <v>267</v>
      </c>
      <c r="X51">
        <v>130</v>
      </c>
      <c r="Y51">
        <v>20</v>
      </c>
      <c r="Z51">
        <v>8</v>
      </c>
      <c r="AA51">
        <v>3</v>
      </c>
      <c r="AB51" t="s">
        <v>340</v>
      </c>
      <c r="AC51" t="s">
        <v>340</v>
      </c>
      <c r="AD51" t="s">
        <v>341</v>
      </c>
      <c r="AE51">
        <v>9000</v>
      </c>
    </row>
    <row r="52" spans="6:31" x14ac:dyDescent="0.25">
      <c r="I52">
        <v>9</v>
      </c>
      <c r="J52" t="s">
        <v>272</v>
      </c>
      <c r="K52" t="s">
        <v>277</v>
      </c>
      <c r="L52" t="s">
        <v>49</v>
      </c>
      <c r="M52" t="s">
        <v>49</v>
      </c>
      <c r="N52" t="s">
        <v>147</v>
      </c>
      <c r="O52" t="s">
        <v>59</v>
      </c>
      <c r="P52">
        <v>3</v>
      </c>
      <c r="Q52">
        <v>1</v>
      </c>
      <c r="S52">
        <v>41</v>
      </c>
      <c r="T52">
        <v>39</v>
      </c>
      <c r="U52" t="s">
        <v>268</v>
      </c>
      <c r="X52">
        <v>131</v>
      </c>
      <c r="Y52">
        <v>20</v>
      </c>
      <c r="Z52">
        <v>6</v>
      </c>
      <c r="AA52">
        <v>1</v>
      </c>
      <c r="AB52" t="s">
        <v>340</v>
      </c>
      <c r="AC52" t="s">
        <v>340</v>
      </c>
      <c r="AD52" t="s">
        <v>341</v>
      </c>
      <c r="AE52">
        <v>9000</v>
      </c>
    </row>
    <row r="53" spans="6:31" x14ac:dyDescent="0.25">
      <c r="S53">
        <v>42</v>
      </c>
      <c r="T53">
        <v>40</v>
      </c>
      <c r="U53" t="s">
        <v>234</v>
      </c>
      <c r="X53">
        <v>132</v>
      </c>
      <c r="Y53">
        <v>20</v>
      </c>
      <c r="Z53">
        <v>6</v>
      </c>
      <c r="AA53">
        <v>2</v>
      </c>
      <c r="AB53" t="s">
        <v>340</v>
      </c>
      <c r="AC53" t="s">
        <v>340</v>
      </c>
      <c r="AD53" t="s">
        <v>341</v>
      </c>
      <c r="AE53">
        <v>9000</v>
      </c>
    </row>
    <row r="54" spans="6:31" x14ac:dyDescent="0.25">
      <c r="S54">
        <v>43</v>
      </c>
      <c r="T54">
        <v>41</v>
      </c>
      <c r="U54" t="s">
        <v>235</v>
      </c>
      <c r="X54">
        <v>133</v>
      </c>
      <c r="Y54">
        <v>20</v>
      </c>
      <c r="Z54">
        <v>6</v>
      </c>
      <c r="AA54">
        <v>6</v>
      </c>
      <c r="AB54" t="s">
        <v>340</v>
      </c>
      <c r="AC54" t="s">
        <v>340</v>
      </c>
      <c r="AD54" t="s">
        <v>341</v>
      </c>
      <c r="AE54">
        <v>9000</v>
      </c>
    </row>
    <row r="55" spans="6:31" x14ac:dyDescent="0.25">
      <c r="S55">
        <v>44</v>
      </c>
      <c r="T55">
        <v>42</v>
      </c>
      <c r="U55" t="s">
        <v>236</v>
      </c>
      <c r="X55">
        <v>134</v>
      </c>
      <c r="Y55">
        <v>20</v>
      </c>
      <c r="Z55">
        <v>6</v>
      </c>
      <c r="AA55">
        <v>6</v>
      </c>
      <c r="AB55" t="s">
        <v>340</v>
      </c>
      <c r="AC55" t="s">
        <v>340</v>
      </c>
      <c r="AD55" t="s">
        <v>341</v>
      </c>
      <c r="AE55">
        <v>9000</v>
      </c>
    </row>
    <row r="56" spans="6:31" x14ac:dyDescent="0.25">
      <c r="S56">
        <v>45</v>
      </c>
      <c r="T56">
        <v>43</v>
      </c>
      <c r="U56" t="s">
        <v>237</v>
      </c>
      <c r="X56">
        <v>135</v>
      </c>
      <c r="Y56">
        <v>20</v>
      </c>
      <c r="Z56">
        <v>6</v>
      </c>
      <c r="AA56">
        <v>9</v>
      </c>
      <c r="AB56" t="s">
        <v>340</v>
      </c>
      <c r="AC56" t="s">
        <v>340</v>
      </c>
      <c r="AD56" t="s">
        <v>341</v>
      </c>
      <c r="AE56">
        <v>9000</v>
      </c>
    </row>
    <row r="57" spans="6:31" x14ac:dyDescent="0.25">
      <c r="S57">
        <v>46</v>
      </c>
      <c r="T57">
        <v>44</v>
      </c>
      <c r="U57" t="s">
        <v>238</v>
      </c>
      <c r="X57">
        <v>136</v>
      </c>
      <c r="Y57">
        <v>20</v>
      </c>
      <c r="Z57">
        <v>6</v>
      </c>
      <c r="AA57">
        <v>9</v>
      </c>
      <c r="AB57" t="s">
        <v>340</v>
      </c>
      <c r="AC57" t="s">
        <v>340</v>
      </c>
      <c r="AD57" t="s">
        <v>341</v>
      </c>
      <c r="AE57">
        <v>9000</v>
      </c>
    </row>
    <row r="58" spans="6:31" x14ac:dyDescent="0.25">
      <c r="S58">
        <v>47</v>
      </c>
      <c r="T58">
        <v>45</v>
      </c>
      <c r="U58" t="s">
        <v>239</v>
      </c>
      <c r="X58">
        <v>137</v>
      </c>
      <c r="Y58">
        <v>20</v>
      </c>
      <c r="Z58">
        <v>6</v>
      </c>
      <c r="AA58">
        <v>5</v>
      </c>
      <c r="AB58" t="s">
        <v>340</v>
      </c>
      <c r="AC58" t="s">
        <v>340</v>
      </c>
      <c r="AD58" t="s">
        <v>341</v>
      </c>
      <c r="AE58">
        <v>9000</v>
      </c>
    </row>
    <row r="59" spans="6:31" x14ac:dyDescent="0.25">
      <c r="S59">
        <v>48</v>
      </c>
      <c r="T59">
        <v>46</v>
      </c>
      <c r="U59" t="s">
        <v>240</v>
      </c>
      <c r="X59">
        <v>138</v>
      </c>
      <c r="Y59">
        <v>20</v>
      </c>
      <c r="Z59">
        <v>6</v>
      </c>
      <c r="AA59">
        <v>8</v>
      </c>
      <c r="AB59" t="s">
        <v>340</v>
      </c>
      <c r="AC59" t="s">
        <v>340</v>
      </c>
      <c r="AD59" t="s">
        <v>341</v>
      </c>
      <c r="AE59">
        <v>9000</v>
      </c>
    </row>
    <row r="60" spans="6:31" x14ac:dyDescent="0.25">
      <c r="S60">
        <v>49</v>
      </c>
      <c r="T60">
        <v>49</v>
      </c>
      <c r="U60" t="s">
        <v>242</v>
      </c>
      <c r="X60">
        <v>139</v>
      </c>
      <c r="Y60">
        <v>20</v>
      </c>
      <c r="Z60">
        <v>6</v>
      </c>
      <c r="AA60">
        <v>4</v>
      </c>
      <c r="AB60" t="s">
        <v>340</v>
      </c>
      <c r="AC60" t="s">
        <v>340</v>
      </c>
      <c r="AD60" t="s">
        <v>341</v>
      </c>
      <c r="AE60">
        <v>9000</v>
      </c>
    </row>
    <row r="61" spans="6:31" x14ac:dyDescent="0.25">
      <c r="G61" s="42"/>
      <c r="H61" s="43"/>
      <c r="X61">
        <v>140</v>
      </c>
      <c r="Y61">
        <v>20</v>
      </c>
      <c r="Z61">
        <v>6</v>
      </c>
      <c r="AA61">
        <v>3</v>
      </c>
      <c r="AB61" t="s">
        <v>340</v>
      </c>
      <c r="AC61" t="s">
        <v>340</v>
      </c>
      <c r="AD61" t="s">
        <v>341</v>
      </c>
      <c r="AE61">
        <v>9000</v>
      </c>
    </row>
    <row r="62" spans="6:31" x14ac:dyDescent="0.25">
      <c r="G62" s="42"/>
      <c r="H62" s="43"/>
      <c r="X62">
        <v>141</v>
      </c>
      <c r="Y62">
        <v>20</v>
      </c>
      <c r="Z62">
        <v>5</v>
      </c>
      <c r="AA62">
        <v>1</v>
      </c>
      <c r="AB62" t="s">
        <v>340</v>
      </c>
      <c r="AC62" t="s">
        <v>340</v>
      </c>
      <c r="AD62" t="s">
        <v>341</v>
      </c>
      <c r="AE62">
        <v>9000</v>
      </c>
    </row>
    <row r="63" spans="6:31" x14ac:dyDescent="0.25">
      <c r="F63" s="42"/>
      <c r="G63" s="42"/>
      <c r="H63" s="43"/>
      <c r="X63">
        <v>142</v>
      </c>
      <c r="Y63">
        <v>20</v>
      </c>
      <c r="Z63">
        <v>5</v>
      </c>
      <c r="AA63">
        <v>2</v>
      </c>
      <c r="AB63" t="s">
        <v>340</v>
      </c>
      <c r="AC63" t="s">
        <v>340</v>
      </c>
      <c r="AD63" t="s">
        <v>341</v>
      </c>
      <c r="AE63">
        <v>9000</v>
      </c>
    </row>
    <row r="64" spans="6:31" x14ac:dyDescent="0.25">
      <c r="F64" s="42"/>
      <c r="G64" s="42"/>
      <c r="H64" s="43"/>
      <c r="X64">
        <v>143</v>
      </c>
      <c r="Y64">
        <v>20</v>
      </c>
      <c r="Z64">
        <v>5</v>
      </c>
      <c r="AA64">
        <v>6</v>
      </c>
      <c r="AB64" t="s">
        <v>340</v>
      </c>
      <c r="AC64" t="s">
        <v>340</v>
      </c>
      <c r="AD64" t="s">
        <v>341</v>
      </c>
      <c r="AE64">
        <v>9000</v>
      </c>
    </row>
    <row r="65" spans="6:31" x14ac:dyDescent="0.25">
      <c r="F65" s="42"/>
      <c r="G65" s="42"/>
      <c r="H65" s="43"/>
      <c r="X65">
        <v>144</v>
      </c>
      <c r="Y65">
        <v>20</v>
      </c>
      <c r="Z65">
        <v>5</v>
      </c>
      <c r="AA65">
        <v>6</v>
      </c>
      <c r="AB65" t="s">
        <v>340</v>
      </c>
      <c r="AC65" t="s">
        <v>340</v>
      </c>
      <c r="AD65" t="s">
        <v>341</v>
      </c>
      <c r="AE65">
        <v>9000</v>
      </c>
    </row>
    <row r="66" spans="6:31" x14ac:dyDescent="0.25">
      <c r="F66" s="42"/>
      <c r="G66" s="42"/>
      <c r="H66" s="43"/>
      <c r="X66">
        <v>145</v>
      </c>
      <c r="Y66">
        <v>20</v>
      </c>
      <c r="Z66">
        <v>5</v>
      </c>
      <c r="AA66">
        <v>9</v>
      </c>
      <c r="AB66" t="s">
        <v>340</v>
      </c>
      <c r="AC66" t="s">
        <v>340</v>
      </c>
      <c r="AD66" t="s">
        <v>341</v>
      </c>
      <c r="AE66">
        <v>9000</v>
      </c>
    </row>
    <row r="67" spans="6:31" x14ac:dyDescent="0.25">
      <c r="G67" s="42"/>
      <c r="H67" s="43"/>
      <c r="X67">
        <v>146</v>
      </c>
      <c r="Y67">
        <v>20</v>
      </c>
      <c r="Z67">
        <v>5</v>
      </c>
      <c r="AA67">
        <v>9</v>
      </c>
      <c r="AB67" t="s">
        <v>340</v>
      </c>
      <c r="AC67" t="s">
        <v>340</v>
      </c>
      <c r="AD67" t="s">
        <v>341</v>
      </c>
      <c r="AE67">
        <v>9000</v>
      </c>
    </row>
    <row r="68" spans="6:31" x14ac:dyDescent="0.25">
      <c r="G68" s="42"/>
      <c r="H68" s="43"/>
      <c r="X68">
        <v>147</v>
      </c>
      <c r="Y68">
        <v>20</v>
      </c>
      <c r="Z68">
        <v>5</v>
      </c>
      <c r="AA68">
        <v>5</v>
      </c>
      <c r="AB68" t="s">
        <v>340</v>
      </c>
      <c r="AC68" t="s">
        <v>340</v>
      </c>
      <c r="AD68" t="s">
        <v>341</v>
      </c>
      <c r="AE68">
        <v>9000</v>
      </c>
    </row>
    <row r="69" spans="6:31" x14ac:dyDescent="0.25">
      <c r="G69" s="42"/>
      <c r="H69" s="43"/>
      <c r="X69">
        <v>148</v>
      </c>
      <c r="Y69">
        <v>20</v>
      </c>
      <c r="Z69">
        <v>5</v>
      </c>
      <c r="AA69">
        <v>8</v>
      </c>
      <c r="AB69" t="s">
        <v>340</v>
      </c>
      <c r="AC69" t="s">
        <v>340</v>
      </c>
      <c r="AD69" t="s">
        <v>341</v>
      </c>
      <c r="AE69">
        <v>9000</v>
      </c>
    </row>
    <row r="70" spans="6:31" x14ac:dyDescent="0.25">
      <c r="G70" s="42"/>
      <c r="H70" s="43"/>
      <c r="X70">
        <v>149</v>
      </c>
      <c r="Y70">
        <v>20</v>
      </c>
      <c r="Z70">
        <v>5</v>
      </c>
      <c r="AA70">
        <v>4</v>
      </c>
      <c r="AB70" t="s">
        <v>340</v>
      </c>
      <c r="AC70" t="s">
        <v>340</v>
      </c>
      <c r="AD70" t="s">
        <v>341</v>
      </c>
      <c r="AE70">
        <v>9000</v>
      </c>
    </row>
    <row r="71" spans="6:31" x14ac:dyDescent="0.25">
      <c r="G71" s="42"/>
      <c r="H71" s="43"/>
      <c r="X71">
        <v>150</v>
      </c>
      <c r="Y71">
        <v>20</v>
      </c>
      <c r="Z71">
        <v>5</v>
      </c>
      <c r="AA71">
        <v>3</v>
      </c>
      <c r="AB71" t="s">
        <v>340</v>
      </c>
      <c r="AC71" t="s">
        <v>340</v>
      </c>
      <c r="AD71" t="s">
        <v>341</v>
      </c>
      <c r="AE71">
        <v>9000</v>
      </c>
    </row>
    <row r="72" spans="6:31" x14ac:dyDescent="0.25">
      <c r="G72" s="42"/>
      <c r="H72" s="43"/>
      <c r="X72">
        <v>151</v>
      </c>
      <c r="Y72">
        <v>20</v>
      </c>
      <c r="Z72">
        <v>4</v>
      </c>
      <c r="AA72">
        <v>1</v>
      </c>
      <c r="AB72" t="s">
        <v>340</v>
      </c>
      <c r="AC72" t="s">
        <v>340</v>
      </c>
      <c r="AD72" t="s">
        <v>341</v>
      </c>
      <c r="AE72">
        <v>9000</v>
      </c>
    </row>
    <row r="73" spans="6:31" x14ac:dyDescent="0.25">
      <c r="G73" s="42"/>
      <c r="H73" s="43"/>
      <c r="X73">
        <v>152</v>
      </c>
      <c r="Y73">
        <v>20</v>
      </c>
      <c r="Z73">
        <v>4</v>
      </c>
      <c r="AA73">
        <v>2</v>
      </c>
      <c r="AB73" t="s">
        <v>340</v>
      </c>
      <c r="AC73" t="s">
        <v>340</v>
      </c>
      <c r="AD73" t="s">
        <v>341</v>
      </c>
      <c r="AE73">
        <v>9000</v>
      </c>
    </row>
    <row r="74" spans="6:31" x14ac:dyDescent="0.25">
      <c r="G74" s="42"/>
      <c r="H74" s="43"/>
      <c r="X74">
        <v>153</v>
      </c>
      <c r="Y74">
        <v>20</v>
      </c>
      <c r="Z74">
        <v>4</v>
      </c>
      <c r="AA74">
        <v>6</v>
      </c>
      <c r="AB74" t="s">
        <v>340</v>
      </c>
      <c r="AC74" t="s">
        <v>340</v>
      </c>
      <c r="AD74" t="s">
        <v>341</v>
      </c>
      <c r="AE74">
        <v>9000</v>
      </c>
    </row>
    <row r="75" spans="6:31" x14ac:dyDescent="0.25">
      <c r="G75" s="42"/>
      <c r="H75" s="43"/>
      <c r="X75">
        <v>154</v>
      </c>
      <c r="Y75">
        <v>20</v>
      </c>
      <c r="Z75">
        <v>4</v>
      </c>
      <c r="AA75">
        <v>6</v>
      </c>
      <c r="AB75" t="s">
        <v>340</v>
      </c>
      <c r="AC75" t="s">
        <v>340</v>
      </c>
      <c r="AD75" t="s">
        <v>341</v>
      </c>
      <c r="AE75">
        <v>9000</v>
      </c>
    </row>
    <row r="76" spans="6:31" x14ac:dyDescent="0.25">
      <c r="G76" s="42"/>
      <c r="H76" s="43"/>
      <c r="X76">
        <v>155</v>
      </c>
      <c r="Y76">
        <v>20</v>
      </c>
      <c r="Z76">
        <v>4</v>
      </c>
      <c r="AA76">
        <v>9</v>
      </c>
      <c r="AB76" t="s">
        <v>340</v>
      </c>
      <c r="AC76" t="s">
        <v>340</v>
      </c>
      <c r="AD76" t="s">
        <v>341</v>
      </c>
      <c r="AE76">
        <v>9000</v>
      </c>
    </row>
    <row r="77" spans="6:31" x14ac:dyDescent="0.25">
      <c r="G77" s="42"/>
      <c r="H77" s="43"/>
      <c r="X77">
        <v>156</v>
      </c>
      <c r="Y77">
        <v>20</v>
      </c>
      <c r="Z77">
        <v>4</v>
      </c>
      <c r="AA77">
        <v>9</v>
      </c>
      <c r="AB77" t="s">
        <v>340</v>
      </c>
      <c r="AC77" t="s">
        <v>340</v>
      </c>
      <c r="AD77" t="s">
        <v>341</v>
      </c>
      <c r="AE77">
        <v>9000</v>
      </c>
    </row>
    <row r="78" spans="6:31" x14ac:dyDescent="0.25">
      <c r="G78" s="42"/>
      <c r="H78" s="43"/>
      <c r="X78">
        <v>157</v>
      </c>
      <c r="Y78">
        <v>20</v>
      </c>
      <c r="Z78">
        <v>4</v>
      </c>
      <c r="AA78">
        <v>5</v>
      </c>
      <c r="AB78" t="s">
        <v>340</v>
      </c>
      <c r="AC78" t="s">
        <v>340</v>
      </c>
      <c r="AD78" t="s">
        <v>341</v>
      </c>
      <c r="AE78">
        <v>9000</v>
      </c>
    </row>
    <row r="79" spans="6:31" x14ac:dyDescent="0.25">
      <c r="G79" s="42"/>
      <c r="H79" s="43"/>
      <c r="X79">
        <v>158</v>
      </c>
      <c r="Y79">
        <v>20</v>
      </c>
      <c r="Z79">
        <v>4</v>
      </c>
      <c r="AA79">
        <v>8</v>
      </c>
      <c r="AB79" t="s">
        <v>340</v>
      </c>
      <c r="AC79" t="s">
        <v>340</v>
      </c>
      <c r="AD79" t="s">
        <v>341</v>
      </c>
      <c r="AE79">
        <v>9000</v>
      </c>
    </row>
    <row r="80" spans="6:31" x14ac:dyDescent="0.25">
      <c r="G80" s="42"/>
      <c r="H80" s="43"/>
      <c r="X80">
        <v>159</v>
      </c>
      <c r="Y80">
        <v>20</v>
      </c>
      <c r="Z80">
        <v>4</v>
      </c>
      <c r="AA80">
        <v>4</v>
      </c>
      <c r="AB80" t="s">
        <v>340</v>
      </c>
      <c r="AC80" t="s">
        <v>340</v>
      </c>
      <c r="AD80" t="s">
        <v>341</v>
      </c>
      <c r="AE80">
        <v>9000</v>
      </c>
    </row>
    <row r="81" spans="7:31" x14ac:dyDescent="0.25">
      <c r="G81" s="42"/>
      <c r="H81" s="43"/>
      <c r="X81">
        <v>160</v>
      </c>
      <c r="Y81">
        <v>20</v>
      </c>
      <c r="Z81">
        <v>4</v>
      </c>
      <c r="AA81">
        <v>3</v>
      </c>
      <c r="AB81" t="s">
        <v>340</v>
      </c>
      <c r="AC81" t="s">
        <v>340</v>
      </c>
      <c r="AD81" t="s">
        <v>341</v>
      </c>
      <c r="AE81">
        <v>9000</v>
      </c>
    </row>
    <row r="82" spans="7:31" x14ac:dyDescent="0.25">
      <c r="G82" s="42"/>
      <c r="H82" s="43"/>
      <c r="X82">
        <v>161</v>
      </c>
      <c r="Y82">
        <v>20</v>
      </c>
      <c r="Z82">
        <v>3</v>
      </c>
      <c r="AA82">
        <v>1</v>
      </c>
      <c r="AB82" t="s">
        <v>340</v>
      </c>
      <c r="AC82" t="s">
        <v>340</v>
      </c>
      <c r="AD82" t="s">
        <v>341</v>
      </c>
      <c r="AE82">
        <v>9000</v>
      </c>
    </row>
    <row r="83" spans="7:31" x14ac:dyDescent="0.25">
      <c r="G83" s="42"/>
      <c r="H83" s="43"/>
      <c r="X83">
        <v>162</v>
      </c>
      <c r="Y83">
        <v>20</v>
      </c>
      <c r="Z83">
        <v>3</v>
      </c>
      <c r="AA83">
        <v>2</v>
      </c>
      <c r="AB83" t="s">
        <v>340</v>
      </c>
      <c r="AC83" t="s">
        <v>340</v>
      </c>
      <c r="AD83" t="s">
        <v>341</v>
      </c>
      <c r="AE83">
        <v>9000</v>
      </c>
    </row>
    <row r="84" spans="7:31" x14ac:dyDescent="0.25">
      <c r="G84" s="42"/>
      <c r="H84" s="43"/>
      <c r="X84">
        <v>163</v>
      </c>
      <c r="Y84">
        <v>20</v>
      </c>
      <c r="Z84">
        <v>3</v>
      </c>
      <c r="AA84">
        <v>6</v>
      </c>
      <c r="AB84" t="s">
        <v>340</v>
      </c>
      <c r="AC84" t="s">
        <v>340</v>
      </c>
      <c r="AD84" t="s">
        <v>341</v>
      </c>
      <c r="AE84">
        <v>9000</v>
      </c>
    </row>
    <row r="85" spans="7:31" x14ac:dyDescent="0.25">
      <c r="G85" s="42"/>
      <c r="H85" s="43"/>
      <c r="X85">
        <v>164</v>
      </c>
      <c r="Y85">
        <v>20</v>
      </c>
      <c r="Z85">
        <v>3</v>
      </c>
      <c r="AA85">
        <v>6</v>
      </c>
      <c r="AB85" t="s">
        <v>340</v>
      </c>
      <c r="AC85" t="s">
        <v>340</v>
      </c>
      <c r="AD85" t="s">
        <v>341</v>
      </c>
      <c r="AE85">
        <v>9000</v>
      </c>
    </row>
    <row r="86" spans="7:31" x14ac:dyDescent="0.25">
      <c r="G86" s="42"/>
      <c r="H86" s="43"/>
      <c r="X86">
        <v>165</v>
      </c>
      <c r="Y86">
        <v>20</v>
      </c>
      <c r="Z86">
        <v>3</v>
      </c>
      <c r="AA86">
        <v>9</v>
      </c>
      <c r="AB86" t="s">
        <v>340</v>
      </c>
      <c r="AC86" t="s">
        <v>340</v>
      </c>
      <c r="AD86" t="s">
        <v>341</v>
      </c>
      <c r="AE86">
        <v>9000</v>
      </c>
    </row>
    <row r="87" spans="7:31" x14ac:dyDescent="0.25">
      <c r="G87" s="42"/>
      <c r="H87" s="43"/>
      <c r="X87">
        <v>166</v>
      </c>
      <c r="Y87">
        <v>20</v>
      </c>
      <c r="Z87">
        <v>3</v>
      </c>
      <c r="AA87">
        <v>9</v>
      </c>
      <c r="AB87" t="s">
        <v>340</v>
      </c>
      <c r="AC87" t="s">
        <v>340</v>
      </c>
      <c r="AD87" t="s">
        <v>341</v>
      </c>
      <c r="AE87">
        <v>9000</v>
      </c>
    </row>
    <row r="88" spans="7:31" x14ac:dyDescent="0.25">
      <c r="G88" s="42"/>
      <c r="H88" s="43"/>
      <c r="X88">
        <v>167</v>
      </c>
      <c r="Y88">
        <v>20</v>
      </c>
      <c r="Z88">
        <v>3</v>
      </c>
      <c r="AA88">
        <v>5</v>
      </c>
      <c r="AB88" t="s">
        <v>340</v>
      </c>
      <c r="AC88" t="s">
        <v>340</v>
      </c>
      <c r="AD88" t="s">
        <v>341</v>
      </c>
      <c r="AE88">
        <v>9000</v>
      </c>
    </row>
    <row r="89" spans="7:31" x14ac:dyDescent="0.25">
      <c r="G89" s="42"/>
      <c r="H89" s="43"/>
      <c r="X89">
        <v>168</v>
      </c>
      <c r="Y89">
        <v>20</v>
      </c>
      <c r="Z89">
        <v>3</v>
      </c>
      <c r="AA89">
        <v>8</v>
      </c>
      <c r="AB89" t="s">
        <v>340</v>
      </c>
      <c r="AC89" t="s">
        <v>340</v>
      </c>
      <c r="AD89" t="s">
        <v>341</v>
      </c>
      <c r="AE89">
        <v>9000</v>
      </c>
    </row>
    <row r="90" spans="7:31" x14ac:dyDescent="0.25">
      <c r="G90" s="42"/>
      <c r="H90" s="43"/>
      <c r="X90">
        <v>169</v>
      </c>
      <c r="Y90">
        <v>20</v>
      </c>
      <c r="Z90">
        <v>3</v>
      </c>
      <c r="AA90">
        <v>4</v>
      </c>
      <c r="AB90" t="s">
        <v>340</v>
      </c>
      <c r="AC90" t="s">
        <v>340</v>
      </c>
      <c r="AD90" t="s">
        <v>341</v>
      </c>
      <c r="AE90">
        <v>9000</v>
      </c>
    </row>
    <row r="91" spans="7:31" x14ac:dyDescent="0.25">
      <c r="G91" s="42"/>
      <c r="H91" s="43"/>
      <c r="X91">
        <v>170</v>
      </c>
      <c r="Y91">
        <v>20</v>
      </c>
      <c r="Z91">
        <v>3</v>
      </c>
      <c r="AA91">
        <v>3</v>
      </c>
      <c r="AB91" t="s">
        <v>340</v>
      </c>
      <c r="AC91" t="s">
        <v>340</v>
      </c>
      <c r="AD91" t="s">
        <v>341</v>
      </c>
      <c r="AE91">
        <v>9000</v>
      </c>
    </row>
    <row r="92" spans="7:31" x14ac:dyDescent="0.25">
      <c r="G92" s="42"/>
      <c r="H92" s="43"/>
      <c r="X92">
        <v>171</v>
      </c>
      <c r="Y92">
        <v>20</v>
      </c>
      <c r="Z92">
        <v>54</v>
      </c>
      <c r="AA92">
        <v>1</v>
      </c>
      <c r="AB92" t="s">
        <v>340</v>
      </c>
      <c r="AC92" t="s">
        <v>340</v>
      </c>
      <c r="AD92" t="s">
        <v>341</v>
      </c>
      <c r="AE92">
        <v>9000</v>
      </c>
    </row>
    <row r="93" spans="7:31" x14ac:dyDescent="0.25">
      <c r="G93" s="42"/>
      <c r="H93" s="43"/>
      <c r="X93">
        <v>172</v>
      </c>
      <c r="Y93">
        <v>20</v>
      </c>
      <c r="Z93">
        <v>54</v>
      </c>
      <c r="AA93">
        <v>2</v>
      </c>
      <c r="AB93" t="s">
        <v>340</v>
      </c>
      <c r="AC93" t="s">
        <v>340</v>
      </c>
      <c r="AD93" t="s">
        <v>341</v>
      </c>
      <c r="AE93">
        <v>9000</v>
      </c>
    </row>
    <row r="94" spans="7:31" x14ac:dyDescent="0.25">
      <c r="G94" s="42"/>
      <c r="H94" s="43"/>
      <c r="X94">
        <v>173</v>
      </c>
      <c r="Y94">
        <v>20</v>
      </c>
      <c r="Z94">
        <v>54</v>
      </c>
      <c r="AA94">
        <v>6</v>
      </c>
      <c r="AB94" t="s">
        <v>340</v>
      </c>
      <c r="AC94" t="s">
        <v>340</v>
      </c>
      <c r="AD94" t="s">
        <v>341</v>
      </c>
      <c r="AE94">
        <v>9000</v>
      </c>
    </row>
    <row r="95" spans="7:31" x14ac:dyDescent="0.25">
      <c r="G95" s="42"/>
      <c r="H95" s="43"/>
      <c r="X95">
        <v>174</v>
      </c>
      <c r="Y95">
        <v>20</v>
      </c>
      <c r="Z95">
        <v>54</v>
      </c>
      <c r="AA95">
        <v>6</v>
      </c>
      <c r="AB95" t="s">
        <v>340</v>
      </c>
      <c r="AC95" t="s">
        <v>340</v>
      </c>
      <c r="AD95" t="s">
        <v>341</v>
      </c>
      <c r="AE95">
        <v>9000</v>
      </c>
    </row>
    <row r="96" spans="7:31" x14ac:dyDescent="0.25">
      <c r="G96" s="42"/>
      <c r="H96" s="43"/>
      <c r="X96">
        <v>175</v>
      </c>
      <c r="Y96">
        <v>20</v>
      </c>
      <c r="Z96">
        <v>54</v>
      </c>
      <c r="AA96">
        <v>9</v>
      </c>
      <c r="AB96" t="s">
        <v>340</v>
      </c>
      <c r="AC96" t="s">
        <v>340</v>
      </c>
      <c r="AD96" t="s">
        <v>341</v>
      </c>
      <c r="AE96">
        <v>9000</v>
      </c>
    </row>
    <row r="97" spans="7:31" x14ac:dyDescent="0.25">
      <c r="G97" s="42"/>
      <c r="H97" s="43"/>
      <c r="X97">
        <v>176</v>
      </c>
      <c r="Y97">
        <v>20</v>
      </c>
      <c r="Z97">
        <v>54</v>
      </c>
      <c r="AA97">
        <v>9</v>
      </c>
      <c r="AB97" t="s">
        <v>340</v>
      </c>
      <c r="AC97" t="s">
        <v>340</v>
      </c>
      <c r="AD97" t="s">
        <v>341</v>
      </c>
      <c r="AE97">
        <v>9000</v>
      </c>
    </row>
    <row r="98" spans="7:31" x14ac:dyDescent="0.25">
      <c r="G98" s="42"/>
      <c r="H98" s="43"/>
      <c r="X98">
        <v>177</v>
      </c>
      <c r="Y98">
        <v>20</v>
      </c>
      <c r="Z98">
        <v>54</v>
      </c>
      <c r="AA98">
        <v>5</v>
      </c>
      <c r="AB98" t="s">
        <v>340</v>
      </c>
      <c r="AC98" t="s">
        <v>340</v>
      </c>
      <c r="AD98" t="s">
        <v>341</v>
      </c>
      <c r="AE98">
        <v>9000</v>
      </c>
    </row>
    <row r="99" spans="7:31" x14ac:dyDescent="0.25">
      <c r="G99" s="42"/>
      <c r="H99" s="43"/>
      <c r="X99">
        <v>178</v>
      </c>
      <c r="Y99">
        <v>20</v>
      </c>
      <c r="Z99">
        <v>54</v>
      </c>
      <c r="AA99">
        <v>8</v>
      </c>
      <c r="AB99" t="s">
        <v>340</v>
      </c>
      <c r="AC99" t="s">
        <v>340</v>
      </c>
      <c r="AD99" t="s">
        <v>341</v>
      </c>
      <c r="AE99">
        <v>9000</v>
      </c>
    </row>
    <row r="100" spans="7:31" x14ac:dyDescent="0.25">
      <c r="G100" s="42"/>
      <c r="H100" s="43"/>
      <c r="X100">
        <v>179</v>
      </c>
      <c r="Y100">
        <v>20</v>
      </c>
      <c r="Z100">
        <v>54</v>
      </c>
      <c r="AA100">
        <v>4</v>
      </c>
      <c r="AB100" t="s">
        <v>340</v>
      </c>
      <c r="AC100" t="s">
        <v>340</v>
      </c>
      <c r="AD100" t="s">
        <v>341</v>
      </c>
      <c r="AE100">
        <v>9000</v>
      </c>
    </row>
    <row r="101" spans="7:31" x14ac:dyDescent="0.25">
      <c r="G101" s="42"/>
      <c r="H101" s="43"/>
      <c r="X101">
        <v>180</v>
      </c>
      <c r="Y101">
        <v>20</v>
      </c>
      <c r="Z101">
        <v>54</v>
      </c>
      <c r="AA101">
        <v>3</v>
      </c>
      <c r="AB101" t="s">
        <v>340</v>
      </c>
      <c r="AC101" t="s">
        <v>340</v>
      </c>
      <c r="AD101" t="s">
        <v>341</v>
      </c>
      <c r="AE101">
        <v>9000</v>
      </c>
    </row>
    <row r="102" spans="7:31" x14ac:dyDescent="0.25">
      <c r="G102" s="42"/>
      <c r="H102" s="4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zoomScaleNormal="100" workbookViewId="0">
      <pane xSplit="7" topLeftCell="L1" activePane="topRight" state="frozen"/>
      <selection activeCell="E1" sqref="E1"/>
      <selection pane="topRight" activeCell="L26" sqref="L26"/>
    </sheetView>
  </sheetViews>
  <sheetFormatPr defaultRowHeight="15" x14ac:dyDescent="0.25"/>
  <cols>
    <col min="1" max="1" width="26.42578125" style="9" hidden="1" customWidth="1"/>
    <col min="2" max="2" width="21.140625" style="7" customWidth="1"/>
    <col min="3" max="3" width="10.28515625" hidden="1" customWidth="1"/>
    <col min="4" max="4" width="12.28515625" hidden="1" customWidth="1"/>
    <col min="5" max="5" width="9.140625" customWidth="1"/>
    <col min="6" max="6" width="9.140625" style="11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23.28515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6"/>
      <c r="C1" s="6"/>
      <c r="D1" s="6"/>
      <c r="E1" s="6"/>
      <c r="F1" s="1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5"/>
      <c r="V1" s="5"/>
      <c r="W1" s="5"/>
      <c r="X1" s="5"/>
      <c r="Y1" s="5"/>
      <c r="Z1" s="5"/>
      <c r="AA1" s="5"/>
    </row>
    <row r="2" spans="1:66" x14ac:dyDescent="0.25">
      <c r="A2" s="6"/>
      <c r="C2" s="6"/>
      <c r="D2" s="6"/>
      <c r="E2" s="6"/>
      <c r="F2" s="1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5"/>
      <c r="V2" s="5"/>
      <c r="W2" s="5"/>
      <c r="X2" s="5"/>
      <c r="Y2" s="5"/>
      <c r="Z2" s="5"/>
      <c r="AA2" s="5"/>
    </row>
    <row r="3" spans="1:66" x14ac:dyDescent="0.25">
      <c r="A3" s="39"/>
      <c r="B3" s="40"/>
      <c r="C3" s="39"/>
      <c r="D3" s="39"/>
      <c r="E3" s="39"/>
      <c r="F3" s="40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5"/>
      <c r="V3" s="5"/>
      <c r="W3" s="5"/>
      <c r="X3" s="5"/>
      <c r="Y3" s="5"/>
      <c r="Z3" s="5"/>
      <c r="AA3" s="5"/>
    </row>
    <row r="4" spans="1:66" x14ac:dyDescent="0.25">
      <c r="A4" s="39"/>
      <c r="B4" s="40"/>
      <c r="C4" s="39"/>
      <c r="D4" s="39"/>
      <c r="E4" s="39"/>
      <c r="F4" s="40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5"/>
      <c r="V4" s="5"/>
      <c r="W4" s="5"/>
      <c r="X4" s="5"/>
      <c r="Y4" s="5"/>
      <c r="Z4" s="5"/>
      <c r="AA4" s="5"/>
    </row>
    <row r="5" spans="1:66" x14ac:dyDescent="0.25">
      <c r="A5" s="39"/>
      <c r="B5" s="40"/>
      <c r="C5" s="39"/>
      <c r="D5" s="39"/>
      <c r="E5" s="39"/>
      <c r="F5" s="40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5"/>
      <c r="V5" s="5"/>
      <c r="W5" s="5"/>
      <c r="X5" s="5"/>
      <c r="Y5" s="5"/>
      <c r="Z5" s="5"/>
      <c r="AA5" s="5"/>
    </row>
    <row r="6" spans="1:66" ht="15.75" x14ac:dyDescent="0.25">
      <c r="C6" s="5"/>
      <c r="D6" s="5"/>
      <c r="E6" s="5"/>
      <c r="F6" s="108" t="s">
        <v>205</v>
      </c>
      <c r="G6" s="108" t="s">
        <v>204</v>
      </c>
      <c r="H6" s="41" t="str">
        <f>IF(H10="",$F$6, IF(ISNUMBER(SEARCH("Sum", H10)), "Tổng", H10))</f>
        <v>Tồn đầu kỳ</v>
      </c>
      <c r="I6" s="41" t="str">
        <f t="shared" ref="I6:AE6" si="0">IF(I10="",$F$6, IF(ISNUMBER(SEARCH("Sum", I10)), "Tổng", I10))</f>
        <v>Tồn đầu kỳ</v>
      </c>
      <c r="J6" s="41" t="str">
        <f t="shared" si="0"/>
        <v>Tổng</v>
      </c>
      <c r="K6" s="41" t="str">
        <f t="shared" si="0"/>
        <v>Nhập</v>
      </c>
      <c r="L6" s="41" t="str">
        <f t="shared" si="0"/>
        <v>Nhập</v>
      </c>
      <c r="M6" s="41" t="str">
        <f t="shared" si="0"/>
        <v>Nhập</v>
      </c>
      <c r="N6" s="41" t="str">
        <f t="shared" si="0"/>
        <v>Nhập</v>
      </c>
      <c r="O6" s="41" t="str">
        <f t="shared" si="0"/>
        <v>Nhập</v>
      </c>
      <c r="P6" s="41" t="str">
        <f t="shared" si="0"/>
        <v>Tổng</v>
      </c>
      <c r="Q6" s="41" t="str">
        <f t="shared" si="0"/>
        <v>Xuất</v>
      </c>
      <c r="R6" s="41" t="str">
        <f t="shared" si="0"/>
        <v>Xuất</v>
      </c>
      <c r="S6" s="41" t="str">
        <f t="shared" si="0"/>
        <v>Xuất</v>
      </c>
      <c r="T6" s="41" t="str">
        <f t="shared" si="0"/>
        <v>Xuất</v>
      </c>
      <c r="U6" s="41" t="str">
        <f t="shared" si="0"/>
        <v>Xuất</v>
      </c>
      <c r="V6" s="41" t="str">
        <f t="shared" si="0"/>
        <v>Xuất</v>
      </c>
      <c r="W6" s="41" t="str">
        <f t="shared" si="0"/>
        <v>Xuất</v>
      </c>
      <c r="X6" s="41" t="str">
        <f t="shared" si="0"/>
        <v>Xuất</v>
      </c>
      <c r="Y6" s="41" t="str">
        <f t="shared" si="0"/>
        <v>Xuất</v>
      </c>
      <c r="Z6" s="41" t="str">
        <f t="shared" si="0"/>
        <v>Tổng</v>
      </c>
      <c r="AA6" s="41" t="str">
        <f t="shared" si="0"/>
        <v>Tồn cuối kỳ</v>
      </c>
      <c r="AB6" s="41" t="str">
        <f t="shared" si="0"/>
        <v>Tồn cuối kỳ</v>
      </c>
      <c r="AC6" s="41" t="str">
        <f t="shared" si="0"/>
        <v>Tổng</v>
      </c>
      <c r="AD6" s="41" t="str">
        <f t="shared" si="0"/>
        <v>TT</v>
      </c>
      <c r="AE6" s="41" t="str">
        <f t="shared" si="0"/>
        <v>TT</v>
      </c>
    </row>
    <row r="7" spans="1:66" ht="15.75" customHeight="1" x14ac:dyDescent="0.25">
      <c r="C7" s="5"/>
      <c r="D7" s="5"/>
      <c r="E7" s="5"/>
      <c r="F7" s="108"/>
      <c r="G7" s="108"/>
      <c r="H7" s="41" t="str">
        <f t="shared" ref="H7:AE7" si="1">IF(H11="",$F$6, IF(ISNUMBER(SEARCH("Sum", H11)), "Tổng", H11))</f>
        <v>DT cho NV đột xuất</v>
      </c>
      <c r="I7" s="41" t="str">
        <f t="shared" si="1"/>
        <v>DT SSCD</v>
      </c>
      <c r="J7" s="41" t="str">
        <f t="shared" si="1"/>
        <v>TT</v>
      </c>
      <c r="K7" s="41" t="str">
        <f t="shared" si="1"/>
        <v>Nhập khác</v>
      </c>
      <c r="L7" s="41" t="str">
        <f t="shared" si="1"/>
        <v>CXD</v>
      </c>
      <c r="M7" s="41" t="str">
        <f t="shared" si="1"/>
        <v>QC</v>
      </c>
      <c r="N7" s="41" t="str">
        <f t="shared" si="1"/>
        <v>Mua P/cấp</v>
      </c>
      <c r="O7" s="41" t="str">
        <f t="shared" si="1"/>
        <v>Khác</v>
      </c>
      <c r="P7" s="41" t="str">
        <f t="shared" si="1"/>
        <v>TT</v>
      </c>
      <c r="Q7" s="41" t="str">
        <f t="shared" si="1"/>
        <v>Xuất khác</v>
      </c>
      <c r="R7" s="41" t="str">
        <f t="shared" si="1"/>
        <v>Nhập khác</v>
      </c>
      <c r="S7" s="41" t="str">
        <f t="shared" si="1"/>
        <v>CXD</v>
      </c>
      <c r="T7" s="41" t="str">
        <f t="shared" si="1"/>
        <v>Khác</v>
      </c>
      <c r="U7" s="41" t="str">
        <f t="shared" si="1"/>
        <v>TT Xe máy</v>
      </c>
      <c r="V7" s="41" t="str">
        <f t="shared" si="1"/>
        <v>BQ</v>
      </c>
      <c r="W7" s="41" t="str">
        <f t="shared" si="1"/>
        <v>Hao hụt</v>
      </c>
      <c r="X7" s="41" t="str">
        <f t="shared" si="1"/>
        <v>Tổn thất</v>
      </c>
      <c r="Y7" s="41" t="str">
        <f t="shared" si="1"/>
        <v>f nội bộ</v>
      </c>
      <c r="Z7" s="41" t="str">
        <f t="shared" si="1"/>
        <v>TT</v>
      </c>
      <c r="AA7" s="41" t="str">
        <f t="shared" si="1"/>
        <v>DT cho NV đột xuất</v>
      </c>
      <c r="AB7" s="41" t="str">
        <f t="shared" si="1"/>
        <v>DT SSCD</v>
      </c>
      <c r="AC7" s="41" t="str">
        <f t="shared" si="1"/>
        <v>TT</v>
      </c>
      <c r="AD7" s="41" t="str">
        <f t="shared" si="1"/>
        <v>TT</v>
      </c>
      <c r="AE7" s="41" t="str">
        <f t="shared" si="1"/>
        <v>TT</v>
      </c>
    </row>
    <row r="8" spans="1:66" ht="15.75" x14ac:dyDescent="0.25">
      <c r="C8" s="5"/>
      <c r="D8" s="5"/>
      <c r="E8" s="5"/>
      <c r="F8" s="108"/>
      <c r="G8" s="108"/>
      <c r="H8" s="41" t="str">
        <f t="shared" ref="H8:AE8" si="2">IF(H12="",$F$6, IF(ISNUMBER(SEARCH("Sum", H12)), "Tổng", H12))</f>
        <v>DT cho NV đột xuất</v>
      </c>
      <c r="I8" s="41" t="str">
        <f t="shared" si="2"/>
        <v>DT SSCD</v>
      </c>
      <c r="J8" s="41" t="str">
        <f t="shared" si="2"/>
        <v>TT</v>
      </c>
      <c r="K8" s="41" t="str">
        <f t="shared" si="2"/>
        <v>Trong QC</v>
      </c>
      <c r="L8" s="41" t="str">
        <f t="shared" si="2"/>
        <v>CXD</v>
      </c>
      <c r="M8" s="41" t="str">
        <f t="shared" si="2"/>
        <v>QC</v>
      </c>
      <c r="N8" s="41" t="str">
        <f t="shared" si="2"/>
        <v>Mua P/cấp</v>
      </c>
      <c r="O8" s="41" t="str">
        <f t="shared" si="2"/>
        <v>Khác</v>
      </c>
      <c r="P8" s="41" t="str">
        <f t="shared" si="2"/>
        <v>TT</v>
      </c>
      <c r="Q8" s="41" t="str">
        <f t="shared" si="2"/>
        <v>Ngoài QC</v>
      </c>
      <c r="R8" s="41" t="str">
        <f t="shared" si="2"/>
        <v>Trong QC</v>
      </c>
      <c r="S8" s="41" t="str">
        <f t="shared" si="2"/>
        <v>CXD</v>
      </c>
      <c r="T8" s="41" t="str">
        <f t="shared" si="2"/>
        <v>Khác</v>
      </c>
      <c r="U8" s="41" t="str">
        <f t="shared" si="2"/>
        <v>TT Xe máy</v>
      </c>
      <c r="V8" s="41" t="str">
        <f t="shared" si="2"/>
        <v>BQ</v>
      </c>
      <c r="W8" s="41" t="str">
        <f t="shared" si="2"/>
        <v>Hao hụt</v>
      </c>
      <c r="X8" s="41" t="str">
        <f t="shared" si="2"/>
        <v>Tổn thất</v>
      </c>
      <c r="Y8" s="41" t="str">
        <f t="shared" si="2"/>
        <v>F nội bộ</v>
      </c>
      <c r="Z8" s="41" t="str">
        <f t="shared" si="2"/>
        <v>TT</v>
      </c>
      <c r="AA8" s="41" t="str">
        <f t="shared" si="2"/>
        <v>DT cho NV đột xuất</v>
      </c>
      <c r="AB8" s="41" t="str">
        <f t="shared" si="2"/>
        <v>DT SSCD</v>
      </c>
      <c r="AC8" s="41" t="str">
        <f t="shared" si="2"/>
        <v>TT</v>
      </c>
      <c r="AD8" s="41" t="str">
        <f t="shared" si="2"/>
        <v>TT</v>
      </c>
      <c r="AE8" s="41" t="str">
        <f t="shared" si="2"/>
        <v>TT</v>
      </c>
    </row>
    <row r="9" spans="1:66" ht="19.5" hidden="1" customHeight="1" x14ac:dyDescent="0.25">
      <c r="F9" s="16"/>
      <c r="G9" s="34" t="s">
        <v>204</v>
      </c>
      <c r="H9" s="34" t="s">
        <v>175</v>
      </c>
      <c r="I9" s="87"/>
      <c r="J9" s="87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7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4" customFormat="1" hidden="1" x14ac:dyDescent="0.25">
      <c r="A10" s="9"/>
      <c r="B10" s="8"/>
      <c r="F10" s="17"/>
      <c r="G10" s="87"/>
      <c r="H10" s="104" t="s">
        <v>198</v>
      </c>
      <c r="I10" s="105" t="s">
        <v>198</v>
      </c>
      <c r="J10" s="106" t="s">
        <v>200</v>
      </c>
      <c r="K10" s="104" t="s">
        <v>196</v>
      </c>
      <c r="L10" s="107" t="s">
        <v>196</v>
      </c>
      <c r="M10" s="107" t="s">
        <v>196</v>
      </c>
      <c r="N10" s="107" t="s">
        <v>196</v>
      </c>
      <c r="O10" s="105" t="s">
        <v>196</v>
      </c>
      <c r="P10" s="106" t="s">
        <v>201</v>
      </c>
      <c r="Q10" s="104" t="s">
        <v>199</v>
      </c>
      <c r="R10" s="107" t="s">
        <v>199</v>
      </c>
      <c r="S10" s="107" t="s">
        <v>199</v>
      </c>
      <c r="T10" s="107" t="s">
        <v>199</v>
      </c>
      <c r="U10" s="107" t="s">
        <v>199</v>
      </c>
      <c r="V10" s="107" t="s">
        <v>199</v>
      </c>
      <c r="W10" s="107" t="s">
        <v>199</v>
      </c>
      <c r="X10" s="107" t="s">
        <v>199</v>
      </c>
      <c r="Y10" s="105" t="s">
        <v>199</v>
      </c>
      <c r="Z10" s="106" t="s">
        <v>202</v>
      </c>
      <c r="AA10" s="104" t="s">
        <v>197</v>
      </c>
      <c r="AB10" s="105" t="s">
        <v>197</v>
      </c>
      <c r="AC10" s="106" t="s">
        <v>203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4" customFormat="1" hidden="1" x14ac:dyDescent="0.25">
      <c r="A11" s="10"/>
      <c r="B11" s="8"/>
      <c r="F11" s="17"/>
      <c r="G11" s="87"/>
      <c r="H11" s="86" t="s">
        <v>178</v>
      </c>
      <c r="I11" s="88" t="s">
        <v>179</v>
      </c>
      <c r="J11" s="105"/>
      <c r="K11" s="86" t="s">
        <v>194</v>
      </c>
      <c r="L11" s="86" t="s">
        <v>177</v>
      </c>
      <c r="M11" s="86" t="s">
        <v>181</v>
      </c>
      <c r="N11" s="86" t="s">
        <v>180</v>
      </c>
      <c r="O11" s="88" t="s">
        <v>131</v>
      </c>
      <c r="P11" s="105"/>
      <c r="Q11" s="88" t="s">
        <v>195</v>
      </c>
      <c r="R11" s="86" t="s">
        <v>194</v>
      </c>
      <c r="S11" s="86" t="s">
        <v>177</v>
      </c>
      <c r="T11" s="86" t="s">
        <v>131</v>
      </c>
      <c r="U11" s="86" t="s">
        <v>182</v>
      </c>
      <c r="V11" s="86" t="s">
        <v>176</v>
      </c>
      <c r="W11" s="86" t="s">
        <v>141</v>
      </c>
      <c r="X11" s="88" t="s">
        <v>136</v>
      </c>
      <c r="Y11" s="86" t="s">
        <v>215</v>
      </c>
      <c r="Z11" s="105"/>
      <c r="AA11" s="86" t="s">
        <v>178</v>
      </c>
      <c r="AB11" s="88" t="s">
        <v>179</v>
      </c>
      <c r="AC11" s="105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4" customFormat="1" hidden="1" x14ac:dyDescent="0.25">
      <c r="A12" s="10"/>
      <c r="B12" s="8"/>
      <c r="F12" s="19"/>
      <c r="G12" s="34" t="s">
        <v>204</v>
      </c>
      <c r="H12" s="88" t="s">
        <v>178</v>
      </c>
      <c r="I12" s="88" t="s">
        <v>179</v>
      </c>
      <c r="J12" s="105"/>
      <c r="K12" s="88" t="s">
        <v>133</v>
      </c>
      <c r="L12" s="88" t="s">
        <v>177</v>
      </c>
      <c r="M12" s="88" t="s">
        <v>181</v>
      </c>
      <c r="N12" s="88" t="s">
        <v>180</v>
      </c>
      <c r="O12" s="88" t="s">
        <v>131</v>
      </c>
      <c r="P12" s="105"/>
      <c r="Q12" s="88" t="s">
        <v>135</v>
      </c>
      <c r="R12" s="86" t="s">
        <v>133</v>
      </c>
      <c r="S12" s="86" t="s">
        <v>177</v>
      </c>
      <c r="T12" s="88" t="s">
        <v>131</v>
      </c>
      <c r="U12" s="88" t="s">
        <v>182</v>
      </c>
      <c r="V12" s="88" t="s">
        <v>176</v>
      </c>
      <c r="W12" s="88" t="s">
        <v>141</v>
      </c>
      <c r="X12" s="88" t="s">
        <v>136</v>
      </c>
      <c r="Y12" s="86" t="s">
        <v>216</v>
      </c>
      <c r="Z12" s="105"/>
      <c r="AA12" s="88" t="s">
        <v>178</v>
      </c>
      <c r="AB12" s="88" t="s">
        <v>179</v>
      </c>
      <c r="AC12" s="105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5" customFormat="1" ht="14.25" x14ac:dyDescent="0.2">
      <c r="A13" s="35"/>
      <c r="B13" s="14"/>
      <c r="F13" s="18" t="s">
        <v>206</v>
      </c>
      <c r="G13" s="26" t="s">
        <v>193</v>
      </c>
      <c r="H13" s="36">
        <v>160000</v>
      </c>
      <c r="I13" s="36">
        <v>160000</v>
      </c>
      <c r="J13" s="36">
        <v>320000</v>
      </c>
      <c r="K13" s="36">
        <v>13078</v>
      </c>
      <c r="L13" s="36">
        <v>60001</v>
      </c>
      <c r="M13" s="36">
        <v>12456</v>
      </c>
      <c r="N13" s="36">
        <v>12922</v>
      </c>
      <c r="O13" s="36">
        <v>0</v>
      </c>
      <c r="P13" s="36">
        <v>98457</v>
      </c>
      <c r="Q13" s="36">
        <v>0</v>
      </c>
      <c r="R13" s="36">
        <v>29743</v>
      </c>
      <c r="S13" s="36">
        <v>0</v>
      </c>
      <c r="T13" s="36">
        <v>0</v>
      </c>
      <c r="U13" s="36">
        <v>0</v>
      </c>
      <c r="V13" s="36">
        <v>5000</v>
      </c>
      <c r="W13" s="36">
        <v>0</v>
      </c>
      <c r="X13" s="36">
        <v>0</v>
      </c>
      <c r="Y13" s="36">
        <v>0</v>
      </c>
      <c r="Z13" s="36">
        <v>34743</v>
      </c>
      <c r="AA13" s="36">
        <v>223714</v>
      </c>
      <c r="AB13" s="36">
        <v>160000</v>
      </c>
      <c r="AC13" s="37">
        <v>383714</v>
      </c>
    </row>
    <row r="14" spans="1:66" hidden="1" x14ac:dyDescent="0.25">
      <c r="F14" s="16"/>
      <c r="G14" s="27" t="s">
        <v>207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1"/>
    </row>
    <row r="15" spans="1:66" s="15" customFormat="1" ht="14.25" x14ac:dyDescent="0.2">
      <c r="A15" s="13"/>
      <c r="B15" s="14"/>
      <c r="F15" s="18">
        <v>1</v>
      </c>
      <c r="G15" s="29" t="s">
        <v>207</v>
      </c>
      <c r="H15" s="22">
        <v>40000</v>
      </c>
      <c r="I15" s="22">
        <v>40000</v>
      </c>
      <c r="J15" s="22">
        <v>80000</v>
      </c>
      <c r="K15" s="22">
        <v>0</v>
      </c>
      <c r="L15" s="22">
        <v>29420</v>
      </c>
      <c r="M15" s="22">
        <v>9878</v>
      </c>
      <c r="N15" s="22">
        <v>0</v>
      </c>
      <c r="O15" s="22">
        <v>0</v>
      </c>
      <c r="P15" s="22">
        <v>39298</v>
      </c>
      <c r="Q15" s="22">
        <v>0</v>
      </c>
      <c r="R15" s="22">
        <v>8000</v>
      </c>
      <c r="S15" s="22">
        <v>0</v>
      </c>
      <c r="T15" s="22">
        <v>0</v>
      </c>
      <c r="U15" s="22">
        <v>0</v>
      </c>
      <c r="V15" s="22">
        <v>5000</v>
      </c>
      <c r="W15" s="22">
        <v>0</v>
      </c>
      <c r="X15" s="22">
        <v>0</v>
      </c>
      <c r="Y15" s="22">
        <v>0</v>
      </c>
      <c r="Z15" s="22">
        <v>13000</v>
      </c>
      <c r="AA15" s="22">
        <v>66298</v>
      </c>
      <c r="AB15" s="22">
        <v>40000</v>
      </c>
      <c r="AC15" s="23">
        <v>106298</v>
      </c>
    </row>
    <row r="16" spans="1:66" x14ac:dyDescent="0.25">
      <c r="F16" s="16"/>
      <c r="G16" s="30" t="s">
        <v>41</v>
      </c>
      <c r="H16" s="20">
        <v>20000</v>
      </c>
      <c r="I16" s="20">
        <v>20000</v>
      </c>
      <c r="J16" s="20">
        <v>40000</v>
      </c>
      <c r="K16" s="20">
        <v>0</v>
      </c>
      <c r="L16" s="20">
        <v>24976</v>
      </c>
      <c r="M16" s="20">
        <v>6545</v>
      </c>
      <c r="N16" s="20">
        <v>0</v>
      </c>
      <c r="O16" s="20">
        <v>0</v>
      </c>
      <c r="P16" s="20">
        <v>31521</v>
      </c>
      <c r="Q16" s="20">
        <v>0</v>
      </c>
      <c r="R16" s="20">
        <v>5000</v>
      </c>
      <c r="S16" s="20">
        <v>0</v>
      </c>
      <c r="T16" s="20">
        <v>0</v>
      </c>
      <c r="U16" s="20">
        <v>0</v>
      </c>
      <c r="V16" s="20">
        <v>2000</v>
      </c>
      <c r="W16" s="20">
        <v>0</v>
      </c>
      <c r="X16" s="20">
        <v>0</v>
      </c>
      <c r="Y16" s="20">
        <v>0</v>
      </c>
      <c r="Z16" s="20">
        <v>7000</v>
      </c>
      <c r="AA16" s="20">
        <v>44521</v>
      </c>
      <c r="AB16" s="20">
        <v>20000</v>
      </c>
      <c r="AC16" s="21">
        <v>64521</v>
      </c>
    </row>
    <row r="17" spans="1:29" x14ac:dyDescent="0.25">
      <c r="B17" s="51"/>
      <c r="F17" s="16"/>
      <c r="G17" s="31" t="s">
        <v>45</v>
      </c>
      <c r="H17" s="20">
        <v>20000</v>
      </c>
      <c r="I17" s="20">
        <v>20000</v>
      </c>
      <c r="J17" s="20">
        <v>40000</v>
      </c>
      <c r="K17" s="20">
        <v>0</v>
      </c>
      <c r="L17" s="20">
        <v>4444</v>
      </c>
      <c r="M17" s="20">
        <v>3333</v>
      </c>
      <c r="N17" s="20">
        <v>0</v>
      </c>
      <c r="O17" s="20">
        <v>0</v>
      </c>
      <c r="P17" s="20">
        <v>7777</v>
      </c>
      <c r="Q17" s="20">
        <v>0</v>
      </c>
      <c r="R17" s="20">
        <v>3000</v>
      </c>
      <c r="S17" s="20">
        <v>0</v>
      </c>
      <c r="T17" s="20">
        <v>0</v>
      </c>
      <c r="U17" s="20">
        <v>0</v>
      </c>
      <c r="V17" s="20">
        <v>3000</v>
      </c>
      <c r="W17" s="20">
        <v>0</v>
      </c>
      <c r="X17" s="20">
        <v>0</v>
      </c>
      <c r="Y17" s="20">
        <v>0</v>
      </c>
      <c r="Z17" s="20">
        <v>6000</v>
      </c>
      <c r="AA17" s="20">
        <v>21777</v>
      </c>
      <c r="AB17" s="20">
        <v>20000</v>
      </c>
      <c r="AC17" s="21">
        <v>41777</v>
      </c>
    </row>
    <row r="18" spans="1:29" hidden="1" x14ac:dyDescent="0.25">
      <c r="F18" s="16"/>
      <c r="G18" s="27" t="s">
        <v>208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1"/>
    </row>
    <row r="19" spans="1:29" s="15" customFormat="1" ht="14.25" x14ac:dyDescent="0.2">
      <c r="A19" s="13"/>
      <c r="B19" s="14"/>
      <c r="F19" s="18">
        <v>2</v>
      </c>
      <c r="G19" s="29" t="s">
        <v>208</v>
      </c>
      <c r="H19" s="22">
        <v>20000</v>
      </c>
      <c r="I19" s="22">
        <v>20000</v>
      </c>
      <c r="J19" s="22">
        <v>40000</v>
      </c>
      <c r="K19" s="22">
        <v>0</v>
      </c>
      <c r="L19" s="22">
        <v>3123</v>
      </c>
      <c r="M19" s="22">
        <v>2344</v>
      </c>
      <c r="N19" s="22">
        <v>9499</v>
      </c>
      <c r="O19" s="22">
        <v>0</v>
      </c>
      <c r="P19" s="22">
        <v>14966</v>
      </c>
      <c r="Q19" s="22">
        <v>0</v>
      </c>
      <c r="R19" s="22">
        <v>7000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7000</v>
      </c>
      <c r="AA19" s="22">
        <v>27966</v>
      </c>
      <c r="AB19" s="22">
        <v>20000</v>
      </c>
      <c r="AC19" s="23">
        <v>47966</v>
      </c>
    </row>
    <row r="20" spans="1:29" x14ac:dyDescent="0.25">
      <c r="F20" s="16"/>
      <c r="G20" s="32" t="s">
        <v>87</v>
      </c>
      <c r="H20" s="20">
        <v>20000</v>
      </c>
      <c r="I20" s="20">
        <v>20000</v>
      </c>
      <c r="J20" s="20">
        <v>40000</v>
      </c>
      <c r="K20" s="20">
        <v>0</v>
      </c>
      <c r="L20" s="20">
        <v>3123</v>
      </c>
      <c r="M20" s="20">
        <v>2344</v>
      </c>
      <c r="N20" s="20">
        <v>9499</v>
      </c>
      <c r="O20" s="20">
        <v>0</v>
      </c>
      <c r="P20" s="20">
        <v>14966</v>
      </c>
      <c r="Q20" s="20">
        <v>0</v>
      </c>
      <c r="R20" s="20">
        <v>7000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7000</v>
      </c>
      <c r="AA20" s="20">
        <v>27966</v>
      </c>
      <c r="AB20" s="20">
        <v>20000</v>
      </c>
      <c r="AC20" s="21">
        <v>47966</v>
      </c>
    </row>
    <row r="21" spans="1:29" hidden="1" x14ac:dyDescent="0.25">
      <c r="F21" s="16"/>
      <c r="G21" s="27" t="s">
        <v>209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1"/>
    </row>
    <row r="22" spans="1:29" s="15" customFormat="1" ht="14.25" x14ac:dyDescent="0.2">
      <c r="A22" s="13"/>
      <c r="B22" s="14"/>
      <c r="F22" s="18"/>
      <c r="G22" s="29" t="s">
        <v>209</v>
      </c>
      <c r="H22" s="22">
        <v>40000</v>
      </c>
      <c r="I22" s="22">
        <v>40000</v>
      </c>
      <c r="J22" s="22">
        <v>80000</v>
      </c>
      <c r="K22" s="22">
        <v>0</v>
      </c>
      <c r="L22" s="22">
        <v>12038</v>
      </c>
      <c r="M22" s="22">
        <v>0</v>
      </c>
      <c r="N22" s="22">
        <v>3423</v>
      </c>
      <c r="O22" s="22">
        <v>0</v>
      </c>
      <c r="P22" s="22">
        <v>15461</v>
      </c>
      <c r="Q22" s="22">
        <v>0</v>
      </c>
      <c r="R22" s="22">
        <v>3399</v>
      </c>
      <c r="S22" s="22">
        <v>0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3399</v>
      </c>
      <c r="AA22" s="22">
        <v>52062</v>
      </c>
      <c r="AB22" s="22">
        <v>40000</v>
      </c>
      <c r="AC22" s="23">
        <v>92062</v>
      </c>
    </row>
    <row r="23" spans="1:29" x14ac:dyDescent="0.25">
      <c r="F23" s="16"/>
      <c r="G23" s="30" t="s">
        <v>99</v>
      </c>
      <c r="H23" s="20">
        <v>20000</v>
      </c>
      <c r="I23" s="20">
        <v>20000</v>
      </c>
      <c r="J23" s="20">
        <v>40000</v>
      </c>
      <c r="K23" s="20">
        <v>0</v>
      </c>
      <c r="L23" s="20">
        <v>6465</v>
      </c>
      <c r="M23" s="20">
        <v>0</v>
      </c>
      <c r="N23" s="20">
        <v>0</v>
      </c>
      <c r="O23" s="20">
        <v>0</v>
      </c>
      <c r="P23" s="20">
        <v>6465</v>
      </c>
      <c r="Q23" s="20">
        <v>0</v>
      </c>
      <c r="R23" s="20">
        <v>3399</v>
      </c>
      <c r="S23" s="20">
        <v>0</v>
      </c>
      <c r="T23" s="20">
        <v>0</v>
      </c>
      <c r="U23" s="20">
        <v>0</v>
      </c>
      <c r="V23" s="20">
        <v>0</v>
      </c>
      <c r="W23" s="20">
        <v>0</v>
      </c>
      <c r="X23" s="20">
        <v>0</v>
      </c>
      <c r="Y23" s="20">
        <v>0</v>
      </c>
      <c r="Z23" s="20">
        <v>3399</v>
      </c>
      <c r="AA23" s="20">
        <v>23066</v>
      </c>
      <c r="AB23" s="20">
        <v>20000</v>
      </c>
      <c r="AC23" s="21">
        <v>43066</v>
      </c>
    </row>
    <row r="24" spans="1:29" x14ac:dyDescent="0.25">
      <c r="F24" s="16"/>
      <c r="G24" s="31" t="s">
        <v>96</v>
      </c>
      <c r="H24" s="20">
        <v>20000</v>
      </c>
      <c r="I24" s="20">
        <v>20000</v>
      </c>
      <c r="J24" s="20">
        <v>40000</v>
      </c>
      <c r="K24" s="20">
        <v>0</v>
      </c>
      <c r="L24" s="20">
        <v>5573</v>
      </c>
      <c r="M24" s="20">
        <v>0</v>
      </c>
      <c r="N24" s="20">
        <v>3423</v>
      </c>
      <c r="O24" s="20">
        <v>0</v>
      </c>
      <c r="P24" s="20">
        <v>8996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28996</v>
      </c>
      <c r="AB24" s="20">
        <v>20000</v>
      </c>
      <c r="AC24" s="21">
        <v>48996</v>
      </c>
    </row>
    <row r="25" spans="1:29" hidden="1" x14ac:dyDescent="0.25">
      <c r="F25" s="16"/>
      <c r="G25" s="27" t="s">
        <v>210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1"/>
    </row>
    <row r="26" spans="1:29" s="15" customFormat="1" ht="14.25" x14ac:dyDescent="0.2">
      <c r="A26" s="13"/>
      <c r="B26" s="14"/>
      <c r="F26" s="18">
        <v>3</v>
      </c>
      <c r="G26" s="29" t="s">
        <v>210</v>
      </c>
      <c r="H26" s="22">
        <v>60000</v>
      </c>
      <c r="I26" s="22">
        <v>60000</v>
      </c>
      <c r="J26" s="22">
        <v>120000</v>
      </c>
      <c r="K26" s="22">
        <v>13078</v>
      </c>
      <c r="L26" s="22">
        <v>15420</v>
      </c>
      <c r="M26" s="22">
        <v>234</v>
      </c>
      <c r="N26" s="22">
        <v>0</v>
      </c>
      <c r="O26" s="22">
        <v>0</v>
      </c>
      <c r="P26" s="22">
        <v>28732</v>
      </c>
      <c r="Q26" s="22">
        <v>0</v>
      </c>
      <c r="R26" s="22">
        <v>11344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11344</v>
      </c>
      <c r="AA26" s="22">
        <v>77388</v>
      </c>
      <c r="AB26" s="22">
        <v>60000</v>
      </c>
      <c r="AC26" s="23">
        <v>137388</v>
      </c>
    </row>
    <row r="27" spans="1:29" ht="15.75" x14ac:dyDescent="0.25">
      <c r="F27" s="16"/>
      <c r="G27" s="30" t="s">
        <v>89</v>
      </c>
      <c r="H27" s="20">
        <v>20000</v>
      </c>
      <c r="I27" s="20">
        <v>20000</v>
      </c>
      <c r="J27" s="20">
        <v>40000</v>
      </c>
      <c r="K27" s="20">
        <v>6544</v>
      </c>
      <c r="L27" s="20">
        <v>2312</v>
      </c>
      <c r="M27" s="38">
        <v>0</v>
      </c>
      <c r="N27" s="20">
        <v>0</v>
      </c>
      <c r="O27" s="20">
        <v>0</v>
      </c>
      <c r="P27" s="20">
        <v>8856</v>
      </c>
      <c r="Q27" s="20">
        <v>0</v>
      </c>
      <c r="R27" s="20">
        <v>4344</v>
      </c>
      <c r="S27" s="20">
        <v>0</v>
      </c>
      <c r="T27" s="20">
        <v>0</v>
      </c>
      <c r="U27" s="20">
        <v>0</v>
      </c>
      <c r="V27" s="20">
        <v>0</v>
      </c>
      <c r="W27" s="20">
        <v>0</v>
      </c>
      <c r="X27" s="20">
        <v>0</v>
      </c>
      <c r="Y27" s="20">
        <v>0</v>
      </c>
      <c r="Z27" s="20">
        <v>4344</v>
      </c>
      <c r="AA27" s="20">
        <v>24512</v>
      </c>
      <c r="AB27" s="20">
        <v>20000</v>
      </c>
      <c r="AC27" s="21">
        <v>44512</v>
      </c>
    </row>
    <row r="28" spans="1:29" x14ac:dyDescent="0.25">
      <c r="F28" s="16"/>
      <c r="G28" s="33" t="s">
        <v>99</v>
      </c>
      <c r="H28" s="20">
        <v>20000</v>
      </c>
      <c r="I28" s="20">
        <v>20000</v>
      </c>
      <c r="J28" s="20">
        <v>40000</v>
      </c>
      <c r="K28" s="20">
        <v>6534</v>
      </c>
      <c r="L28" s="20">
        <v>5574</v>
      </c>
      <c r="M28" s="20">
        <v>0</v>
      </c>
      <c r="N28" s="20">
        <v>0</v>
      </c>
      <c r="O28" s="20">
        <v>0</v>
      </c>
      <c r="P28" s="20">
        <v>12108</v>
      </c>
      <c r="Q28" s="20">
        <v>0</v>
      </c>
      <c r="R28" s="20">
        <v>5000</v>
      </c>
      <c r="S28" s="20">
        <v>0</v>
      </c>
      <c r="T28" s="20">
        <v>0</v>
      </c>
      <c r="U28" s="20">
        <v>0</v>
      </c>
      <c r="V28" s="20">
        <v>0</v>
      </c>
      <c r="W28" s="20">
        <v>0</v>
      </c>
      <c r="X28" s="20">
        <v>0</v>
      </c>
      <c r="Y28" s="20">
        <v>0</v>
      </c>
      <c r="Z28" s="20">
        <v>5000</v>
      </c>
      <c r="AA28" s="20">
        <v>27108</v>
      </c>
      <c r="AB28" s="20">
        <v>20000</v>
      </c>
      <c r="AC28" s="21">
        <v>47108</v>
      </c>
    </row>
    <row r="29" spans="1:29" x14ac:dyDescent="0.25">
      <c r="F29" s="16"/>
      <c r="G29" s="31" t="s">
        <v>96</v>
      </c>
      <c r="H29" s="20">
        <v>20000</v>
      </c>
      <c r="I29" s="20">
        <v>20000</v>
      </c>
      <c r="J29" s="20">
        <v>40000</v>
      </c>
      <c r="K29" s="20">
        <v>0</v>
      </c>
      <c r="L29" s="20">
        <v>7534</v>
      </c>
      <c r="M29" s="20">
        <v>234</v>
      </c>
      <c r="N29" s="20">
        <v>0</v>
      </c>
      <c r="O29" s="20">
        <v>0</v>
      </c>
      <c r="P29" s="20">
        <v>7768</v>
      </c>
      <c r="Q29" s="20">
        <v>0</v>
      </c>
      <c r="R29" s="20">
        <v>2000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2000</v>
      </c>
      <c r="AA29" s="20">
        <v>25768</v>
      </c>
      <c r="AB29" s="20">
        <v>20000</v>
      </c>
      <c r="AC29" s="21">
        <v>45768</v>
      </c>
    </row>
    <row r="30" spans="1:29" s="15" customFormat="1" ht="14.25" x14ac:dyDescent="0.2">
      <c r="A30" s="13"/>
      <c r="B30" s="14"/>
      <c r="F30" s="18" t="s">
        <v>212</v>
      </c>
      <c r="G30" s="26" t="s">
        <v>211</v>
      </c>
      <c r="H30" s="22">
        <v>860000</v>
      </c>
      <c r="I30" s="22">
        <v>860000</v>
      </c>
      <c r="J30" s="22">
        <v>1720000</v>
      </c>
      <c r="K30" s="22">
        <v>29316</v>
      </c>
      <c r="L30" s="22">
        <v>5586</v>
      </c>
      <c r="M30" s="22">
        <v>0</v>
      </c>
      <c r="N30" s="22">
        <v>3233</v>
      </c>
      <c r="O30" s="22">
        <v>14552</v>
      </c>
      <c r="P30" s="22">
        <v>52687</v>
      </c>
      <c r="Q30" s="22">
        <v>0</v>
      </c>
      <c r="R30" s="22">
        <v>9000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9000</v>
      </c>
      <c r="AA30" s="22">
        <v>893687</v>
      </c>
      <c r="AB30" s="22">
        <v>860000</v>
      </c>
      <c r="AC30" s="23">
        <v>1753687</v>
      </c>
    </row>
    <row r="31" spans="1:29" s="15" customFormat="1" ht="14.25" x14ac:dyDescent="0.2">
      <c r="A31" s="13"/>
      <c r="B31" s="14"/>
      <c r="F31" s="18" t="s">
        <v>213</v>
      </c>
      <c r="G31" s="28" t="s">
        <v>192</v>
      </c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3"/>
    </row>
    <row r="32" spans="1:29" s="15" customFormat="1" ht="14.25" x14ac:dyDescent="0.2">
      <c r="A32" s="13"/>
      <c r="B32" s="14"/>
      <c r="F32" s="18">
        <v>1</v>
      </c>
      <c r="G32" s="29" t="s">
        <v>184</v>
      </c>
      <c r="H32" s="22">
        <v>200000</v>
      </c>
      <c r="I32" s="22">
        <v>200000</v>
      </c>
      <c r="J32" s="22">
        <v>400000</v>
      </c>
      <c r="K32" s="22">
        <v>29316</v>
      </c>
      <c r="L32" s="22">
        <v>5586</v>
      </c>
      <c r="M32" s="22">
        <v>0</v>
      </c>
      <c r="N32" s="22">
        <v>3233</v>
      </c>
      <c r="O32" s="22">
        <v>14552</v>
      </c>
      <c r="P32" s="22">
        <v>52687</v>
      </c>
      <c r="Q32" s="22">
        <v>0</v>
      </c>
      <c r="R32" s="22">
        <v>9000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9000</v>
      </c>
      <c r="AA32" s="22">
        <v>233687</v>
      </c>
      <c r="AB32" s="22">
        <v>200000</v>
      </c>
      <c r="AC32" s="23">
        <v>433687</v>
      </c>
    </row>
    <row r="33" spans="1:29" x14ac:dyDescent="0.25">
      <c r="F33" s="16"/>
      <c r="G33" s="30" t="s">
        <v>105</v>
      </c>
      <c r="H33" s="20">
        <v>20000</v>
      </c>
      <c r="I33" s="20">
        <v>20000</v>
      </c>
      <c r="J33" s="20">
        <v>40000</v>
      </c>
      <c r="K33" s="20">
        <v>4354</v>
      </c>
      <c r="L33" s="20">
        <v>0</v>
      </c>
      <c r="M33" s="20">
        <v>0</v>
      </c>
      <c r="N33" s="20">
        <v>0</v>
      </c>
      <c r="O33" s="20">
        <v>9888</v>
      </c>
      <c r="P33" s="20">
        <v>14242</v>
      </c>
      <c r="Q33" s="20">
        <v>0</v>
      </c>
      <c r="R33" s="20">
        <v>0</v>
      </c>
      <c r="S33" s="20">
        <v>0</v>
      </c>
      <c r="T33" s="20">
        <v>0</v>
      </c>
      <c r="U33" s="20">
        <v>0</v>
      </c>
      <c r="V33" s="20">
        <v>0</v>
      </c>
      <c r="W33" s="20">
        <v>0</v>
      </c>
      <c r="X33" s="20">
        <v>0</v>
      </c>
      <c r="Y33" s="20">
        <v>0</v>
      </c>
      <c r="Z33" s="20">
        <v>0</v>
      </c>
      <c r="AA33" s="20">
        <v>33242</v>
      </c>
      <c r="AB33" s="20">
        <v>20000</v>
      </c>
      <c r="AC33" s="21">
        <v>53242</v>
      </c>
    </row>
    <row r="34" spans="1:29" x14ac:dyDescent="0.25">
      <c r="F34" s="16"/>
      <c r="G34" s="33" t="s">
        <v>106</v>
      </c>
      <c r="H34" s="20">
        <v>20000</v>
      </c>
      <c r="I34" s="20">
        <v>20000</v>
      </c>
      <c r="J34" s="20">
        <v>40000</v>
      </c>
      <c r="K34" s="20">
        <v>0</v>
      </c>
      <c r="L34" s="20">
        <v>0</v>
      </c>
      <c r="M34" s="20">
        <v>0</v>
      </c>
      <c r="N34" s="20">
        <v>0</v>
      </c>
      <c r="O34" s="20">
        <v>2342</v>
      </c>
      <c r="P34" s="20">
        <v>2342</v>
      </c>
      <c r="Q34" s="20">
        <v>0</v>
      </c>
      <c r="R34" s="20">
        <v>0</v>
      </c>
      <c r="S34" s="20">
        <v>0</v>
      </c>
      <c r="T34" s="20">
        <v>0</v>
      </c>
      <c r="U34" s="20">
        <v>0</v>
      </c>
      <c r="V34" s="20">
        <v>0</v>
      </c>
      <c r="W34" s="20">
        <v>0</v>
      </c>
      <c r="X34" s="20">
        <v>0</v>
      </c>
      <c r="Y34" s="20">
        <v>0</v>
      </c>
      <c r="Z34" s="20">
        <v>0</v>
      </c>
      <c r="AA34" s="20">
        <v>19342</v>
      </c>
      <c r="AB34" s="20">
        <v>20000</v>
      </c>
      <c r="AC34" s="21">
        <v>39342</v>
      </c>
    </row>
    <row r="35" spans="1:29" x14ac:dyDescent="0.25">
      <c r="F35" s="16"/>
      <c r="G35" s="33" t="s">
        <v>47</v>
      </c>
      <c r="H35" s="20">
        <v>20000</v>
      </c>
      <c r="I35" s="20">
        <v>20000</v>
      </c>
      <c r="J35" s="20">
        <v>40000</v>
      </c>
      <c r="K35" s="20">
        <v>0</v>
      </c>
      <c r="L35" s="20">
        <v>0</v>
      </c>
      <c r="M35" s="20">
        <v>0</v>
      </c>
      <c r="N35" s="20">
        <v>0</v>
      </c>
      <c r="O35" s="20">
        <v>2322</v>
      </c>
      <c r="P35" s="20">
        <v>2322</v>
      </c>
      <c r="Q35" s="20">
        <v>0</v>
      </c>
      <c r="R35" s="20">
        <v>0</v>
      </c>
      <c r="S35" s="20">
        <v>0</v>
      </c>
      <c r="T35" s="20">
        <v>0</v>
      </c>
      <c r="U35" s="20">
        <v>0</v>
      </c>
      <c r="V35" s="20">
        <v>0</v>
      </c>
      <c r="W35" s="20">
        <v>0</v>
      </c>
      <c r="X35" s="20">
        <v>0</v>
      </c>
      <c r="Y35" s="20">
        <v>0</v>
      </c>
      <c r="Z35" s="20">
        <v>0</v>
      </c>
      <c r="AA35" s="20">
        <v>22322</v>
      </c>
      <c r="AB35" s="20">
        <v>20000</v>
      </c>
      <c r="AC35" s="21">
        <v>42322</v>
      </c>
    </row>
    <row r="36" spans="1:29" x14ac:dyDescent="0.25">
      <c r="F36" s="16"/>
      <c r="G36" s="33" t="s">
        <v>100</v>
      </c>
      <c r="H36" s="20">
        <v>20000</v>
      </c>
      <c r="I36" s="20">
        <v>20000</v>
      </c>
      <c r="J36" s="20">
        <v>40000</v>
      </c>
      <c r="K36" s="20">
        <v>4354</v>
      </c>
      <c r="L36" s="20">
        <v>3243</v>
      </c>
      <c r="M36" s="20">
        <v>0</v>
      </c>
      <c r="N36" s="20">
        <v>3233</v>
      </c>
      <c r="O36" s="20">
        <v>0</v>
      </c>
      <c r="P36" s="20">
        <v>10830</v>
      </c>
      <c r="Q36" s="20">
        <v>0</v>
      </c>
      <c r="R36" s="20">
        <v>6000</v>
      </c>
      <c r="S36" s="20">
        <v>0</v>
      </c>
      <c r="T36" s="20">
        <v>0</v>
      </c>
      <c r="U36" s="20">
        <v>0</v>
      </c>
      <c r="V36" s="20">
        <v>0</v>
      </c>
      <c r="W36" s="20">
        <v>0</v>
      </c>
      <c r="X36" s="20">
        <v>0</v>
      </c>
      <c r="Y36" s="20">
        <v>0</v>
      </c>
      <c r="Z36" s="20">
        <v>6000</v>
      </c>
      <c r="AA36" s="20">
        <v>24830</v>
      </c>
      <c r="AB36" s="20">
        <v>20000</v>
      </c>
      <c r="AC36" s="21">
        <v>44830</v>
      </c>
    </row>
    <row r="37" spans="1:29" x14ac:dyDescent="0.25">
      <c r="F37" s="16"/>
      <c r="G37" s="33" t="s">
        <v>103</v>
      </c>
      <c r="H37" s="20">
        <v>20000</v>
      </c>
      <c r="I37" s="20">
        <v>20000</v>
      </c>
      <c r="J37" s="20">
        <v>40000</v>
      </c>
      <c r="K37" s="20">
        <v>4333</v>
      </c>
      <c r="L37" s="20">
        <v>2343</v>
      </c>
      <c r="M37" s="20">
        <v>0</v>
      </c>
      <c r="N37" s="20">
        <v>0</v>
      </c>
      <c r="O37" s="20">
        <v>0</v>
      </c>
      <c r="P37" s="20">
        <v>6676</v>
      </c>
      <c r="Q37" s="20">
        <v>0</v>
      </c>
      <c r="R37" s="20">
        <v>3000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3000</v>
      </c>
      <c r="AA37" s="20">
        <v>17676</v>
      </c>
      <c r="AB37" s="20">
        <v>20000</v>
      </c>
      <c r="AC37" s="21">
        <v>37676</v>
      </c>
    </row>
    <row r="38" spans="1:29" x14ac:dyDescent="0.25">
      <c r="F38" s="16"/>
      <c r="G38" s="33" t="s">
        <v>104</v>
      </c>
      <c r="H38" s="20">
        <v>20000</v>
      </c>
      <c r="I38" s="20">
        <v>20000</v>
      </c>
      <c r="J38" s="20">
        <v>40000</v>
      </c>
      <c r="K38" s="20">
        <v>3453</v>
      </c>
      <c r="L38" s="20">
        <v>0</v>
      </c>
      <c r="M38" s="20">
        <v>0</v>
      </c>
      <c r="N38" s="20">
        <v>0</v>
      </c>
      <c r="O38" s="20">
        <v>0</v>
      </c>
      <c r="P38" s="20">
        <v>3453</v>
      </c>
      <c r="Q38" s="20">
        <v>0</v>
      </c>
      <c r="R38" s="20">
        <v>0</v>
      </c>
      <c r="S38" s="20">
        <v>0</v>
      </c>
      <c r="T38" s="20">
        <v>0</v>
      </c>
      <c r="U38" s="20">
        <v>0</v>
      </c>
      <c r="V38" s="20">
        <v>0</v>
      </c>
      <c r="W38" s="20">
        <v>0</v>
      </c>
      <c r="X38" s="20">
        <v>0</v>
      </c>
      <c r="Y38" s="20">
        <v>0</v>
      </c>
      <c r="Z38" s="20">
        <v>0</v>
      </c>
      <c r="AA38" s="20">
        <v>23453</v>
      </c>
      <c r="AB38" s="20">
        <v>20000</v>
      </c>
      <c r="AC38" s="21">
        <v>43453</v>
      </c>
    </row>
    <row r="39" spans="1:29" x14ac:dyDescent="0.25">
      <c r="F39" s="16"/>
      <c r="G39" s="33" t="s">
        <v>108</v>
      </c>
      <c r="H39" s="20">
        <v>20000</v>
      </c>
      <c r="I39" s="20">
        <v>20000</v>
      </c>
      <c r="J39" s="20">
        <v>40000</v>
      </c>
      <c r="K39" s="20">
        <v>9389</v>
      </c>
      <c r="L39" s="20">
        <v>0</v>
      </c>
      <c r="M39" s="20">
        <v>0</v>
      </c>
      <c r="N39" s="20">
        <v>0</v>
      </c>
      <c r="O39" s="20">
        <v>0</v>
      </c>
      <c r="P39" s="20">
        <v>9389</v>
      </c>
      <c r="Q39" s="20">
        <v>0</v>
      </c>
      <c r="R39" s="20">
        <v>0</v>
      </c>
      <c r="S39" s="20">
        <v>0</v>
      </c>
      <c r="T39" s="20">
        <v>0</v>
      </c>
      <c r="U39" s="20">
        <v>0</v>
      </c>
      <c r="V39" s="20">
        <v>0</v>
      </c>
      <c r="W39" s="20">
        <v>0</v>
      </c>
      <c r="X39" s="20">
        <v>0</v>
      </c>
      <c r="Y39" s="20">
        <v>0</v>
      </c>
      <c r="Z39" s="20">
        <v>0</v>
      </c>
      <c r="AA39" s="20">
        <v>29389</v>
      </c>
      <c r="AB39" s="20">
        <v>20000</v>
      </c>
      <c r="AC39" s="21">
        <v>49389</v>
      </c>
    </row>
    <row r="40" spans="1:29" x14ac:dyDescent="0.25">
      <c r="F40" s="16"/>
      <c r="G40" s="33" t="s">
        <v>110</v>
      </c>
      <c r="H40" s="20">
        <v>20000</v>
      </c>
      <c r="I40" s="20">
        <v>20000</v>
      </c>
      <c r="J40" s="20">
        <v>40000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0</v>
      </c>
      <c r="U40" s="20">
        <v>0</v>
      </c>
      <c r="V40" s="20">
        <v>0</v>
      </c>
      <c r="W40" s="20">
        <v>0</v>
      </c>
      <c r="X40" s="20">
        <v>0</v>
      </c>
      <c r="Y40" s="20">
        <v>0</v>
      </c>
      <c r="Z40" s="20">
        <v>0</v>
      </c>
      <c r="AA40" s="20">
        <v>20000</v>
      </c>
      <c r="AB40" s="20">
        <v>20000</v>
      </c>
      <c r="AC40" s="21">
        <v>40000</v>
      </c>
    </row>
    <row r="41" spans="1:29" x14ac:dyDescent="0.25">
      <c r="F41" s="16"/>
      <c r="G41" s="33" t="s">
        <v>109</v>
      </c>
      <c r="H41" s="20">
        <v>20000</v>
      </c>
      <c r="I41" s="20">
        <v>20000</v>
      </c>
      <c r="J41" s="20">
        <v>40000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v>0</v>
      </c>
      <c r="T41" s="20">
        <v>0</v>
      </c>
      <c r="U41" s="20">
        <v>0</v>
      </c>
      <c r="V41" s="20">
        <v>0</v>
      </c>
      <c r="W41" s="20">
        <v>0</v>
      </c>
      <c r="X41" s="20">
        <v>0</v>
      </c>
      <c r="Y41" s="20">
        <v>0</v>
      </c>
      <c r="Z41" s="20">
        <v>0</v>
      </c>
      <c r="AA41" s="20">
        <v>20000</v>
      </c>
      <c r="AB41" s="20">
        <v>20000</v>
      </c>
      <c r="AC41" s="21">
        <v>40000</v>
      </c>
    </row>
    <row r="42" spans="1:29" x14ac:dyDescent="0.25">
      <c r="F42" s="16"/>
      <c r="G42" s="31" t="s">
        <v>107</v>
      </c>
      <c r="H42" s="20">
        <v>20000</v>
      </c>
      <c r="I42" s="20">
        <v>20000</v>
      </c>
      <c r="J42" s="20">
        <v>40000</v>
      </c>
      <c r="K42" s="20">
        <v>3433</v>
      </c>
      <c r="L42" s="20">
        <v>0</v>
      </c>
      <c r="M42" s="20">
        <v>0</v>
      </c>
      <c r="N42" s="20">
        <v>0</v>
      </c>
      <c r="O42" s="20">
        <v>0</v>
      </c>
      <c r="P42" s="20">
        <v>3433</v>
      </c>
      <c r="Q42" s="20">
        <v>0</v>
      </c>
      <c r="R42" s="20">
        <v>0</v>
      </c>
      <c r="S42" s="20">
        <v>0</v>
      </c>
      <c r="T42" s="20">
        <v>0</v>
      </c>
      <c r="U42" s="20">
        <v>0</v>
      </c>
      <c r="V42" s="20">
        <v>0</v>
      </c>
      <c r="W42" s="20">
        <v>0</v>
      </c>
      <c r="X42" s="20">
        <v>0</v>
      </c>
      <c r="Y42" s="20">
        <v>0</v>
      </c>
      <c r="Z42" s="20">
        <v>0</v>
      </c>
      <c r="AA42" s="20">
        <v>23433</v>
      </c>
      <c r="AB42" s="20">
        <v>20000</v>
      </c>
      <c r="AC42" s="21">
        <v>43433</v>
      </c>
    </row>
    <row r="43" spans="1:29" s="15" customFormat="1" ht="14.25" x14ac:dyDescent="0.2">
      <c r="A43" s="13"/>
      <c r="B43" s="14"/>
      <c r="F43" s="18">
        <v>2</v>
      </c>
      <c r="G43" s="29" t="s">
        <v>183</v>
      </c>
      <c r="H43" s="22">
        <v>40000</v>
      </c>
      <c r="I43" s="22">
        <v>40000</v>
      </c>
      <c r="J43" s="22">
        <v>80000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2">
        <v>0</v>
      </c>
      <c r="AA43" s="22">
        <v>40000</v>
      </c>
      <c r="AB43" s="22">
        <v>40000</v>
      </c>
      <c r="AC43" s="23">
        <v>80000</v>
      </c>
    </row>
    <row r="44" spans="1:29" x14ac:dyDescent="0.25">
      <c r="F44" s="16"/>
      <c r="G44" s="30" t="s">
        <v>119</v>
      </c>
      <c r="H44" s="20">
        <v>20000</v>
      </c>
      <c r="I44" s="20">
        <v>20000</v>
      </c>
      <c r="J44" s="20">
        <v>40000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0</v>
      </c>
      <c r="S44" s="20">
        <v>0</v>
      </c>
      <c r="T44" s="20">
        <v>0</v>
      </c>
      <c r="U44" s="20">
        <v>0</v>
      </c>
      <c r="V44" s="20">
        <v>0</v>
      </c>
      <c r="W44" s="20">
        <v>0</v>
      </c>
      <c r="X44" s="20">
        <v>0</v>
      </c>
      <c r="Y44" s="20">
        <v>0</v>
      </c>
      <c r="Z44" s="20">
        <v>0</v>
      </c>
      <c r="AA44" s="20">
        <v>20000</v>
      </c>
      <c r="AB44" s="20">
        <v>20000</v>
      </c>
      <c r="AC44" s="21">
        <v>40000</v>
      </c>
    </row>
    <row r="45" spans="1:29" x14ac:dyDescent="0.25">
      <c r="F45" s="16"/>
      <c r="G45" s="31" t="s">
        <v>117</v>
      </c>
      <c r="H45" s="20">
        <v>20000</v>
      </c>
      <c r="I45" s="20">
        <v>20000</v>
      </c>
      <c r="J45" s="20">
        <v>40000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20">
        <v>0</v>
      </c>
      <c r="W45" s="20">
        <v>0</v>
      </c>
      <c r="X45" s="20">
        <v>0</v>
      </c>
      <c r="Y45" s="20">
        <v>0</v>
      </c>
      <c r="Z45" s="20">
        <v>0</v>
      </c>
      <c r="AA45" s="20">
        <v>20000</v>
      </c>
      <c r="AB45" s="20">
        <v>20000</v>
      </c>
      <c r="AC45" s="21">
        <v>40000</v>
      </c>
    </row>
    <row r="46" spans="1:29" s="15" customFormat="1" ht="14.25" x14ac:dyDescent="0.2">
      <c r="A46" s="13"/>
      <c r="B46" s="14"/>
      <c r="F46" s="18">
        <v>3</v>
      </c>
      <c r="G46" s="29" t="s">
        <v>188</v>
      </c>
      <c r="H46" s="22">
        <v>100000</v>
      </c>
      <c r="I46" s="22">
        <v>100000</v>
      </c>
      <c r="J46" s="22">
        <v>200000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100000</v>
      </c>
      <c r="AB46" s="22">
        <v>100000</v>
      </c>
      <c r="AC46" s="23">
        <v>200000</v>
      </c>
    </row>
    <row r="47" spans="1:29" x14ac:dyDescent="0.25">
      <c r="F47" s="16"/>
      <c r="G47" s="30" t="s">
        <v>111</v>
      </c>
      <c r="H47" s="20">
        <v>20000</v>
      </c>
      <c r="I47" s="20">
        <v>20000</v>
      </c>
      <c r="J47" s="20">
        <v>40000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0</v>
      </c>
      <c r="S47" s="20">
        <v>0</v>
      </c>
      <c r="T47" s="20">
        <v>0</v>
      </c>
      <c r="U47" s="20">
        <v>0</v>
      </c>
      <c r="V47" s="20">
        <v>0</v>
      </c>
      <c r="W47" s="20">
        <v>0</v>
      </c>
      <c r="X47" s="20">
        <v>0</v>
      </c>
      <c r="Y47" s="20">
        <v>0</v>
      </c>
      <c r="Z47" s="20">
        <v>0</v>
      </c>
      <c r="AA47" s="20">
        <v>20000</v>
      </c>
      <c r="AB47" s="20">
        <v>20000</v>
      </c>
      <c r="AC47" s="21">
        <v>40000</v>
      </c>
    </row>
    <row r="48" spans="1:29" x14ac:dyDescent="0.25">
      <c r="F48" s="16"/>
      <c r="G48" s="33" t="s">
        <v>115</v>
      </c>
      <c r="H48" s="20">
        <v>20000</v>
      </c>
      <c r="I48" s="20">
        <v>20000</v>
      </c>
      <c r="J48" s="20">
        <v>40000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20">
        <v>0</v>
      </c>
      <c r="W48" s="20">
        <v>0</v>
      </c>
      <c r="X48" s="20">
        <v>0</v>
      </c>
      <c r="Y48" s="20">
        <v>0</v>
      </c>
      <c r="Z48" s="20">
        <v>0</v>
      </c>
      <c r="AA48" s="20">
        <v>20000</v>
      </c>
      <c r="AB48" s="20">
        <v>20000</v>
      </c>
      <c r="AC48" s="21">
        <v>40000</v>
      </c>
    </row>
    <row r="49" spans="1:29" x14ac:dyDescent="0.25">
      <c r="F49" s="16"/>
      <c r="G49" s="33" t="s">
        <v>113</v>
      </c>
      <c r="H49" s="20">
        <v>20000</v>
      </c>
      <c r="I49" s="20">
        <v>20000</v>
      </c>
      <c r="J49" s="20">
        <v>40000</v>
      </c>
      <c r="K49" s="20">
        <v>0</v>
      </c>
      <c r="L49" s="20">
        <v>0</v>
      </c>
      <c r="M49" s="20">
        <v>0</v>
      </c>
      <c r="N49" s="20">
        <v>0</v>
      </c>
      <c r="O49" s="20">
        <v>0</v>
      </c>
      <c r="P49" s="20">
        <v>0</v>
      </c>
      <c r="Q49" s="20">
        <v>0</v>
      </c>
      <c r="R49" s="20">
        <v>0</v>
      </c>
      <c r="S49" s="20">
        <v>0</v>
      </c>
      <c r="T49" s="20">
        <v>0</v>
      </c>
      <c r="U49" s="20">
        <v>0</v>
      </c>
      <c r="V49" s="20">
        <v>0</v>
      </c>
      <c r="W49" s="20">
        <v>0</v>
      </c>
      <c r="X49" s="20">
        <v>0</v>
      </c>
      <c r="Y49" s="20">
        <v>0</v>
      </c>
      <c r="Z49" s="20">
        <v>0</v>
      </c>
      <c r="AA49" s="20">
        <v>20000</v>
      </c>
      <c r="AB49" s="20">
        <v>20000</v>
      </c>
      <c r="AC49" s="21">
        <v>40000</v>
      </c>
    </row>
    <row r="50" spans="1:29" x14ac:dyDescent="0.25">
      <c r="F50" s="16"/>
      <c r="G50" s="33" t="s">
        <v>114</v>
      </c>
      <c r="H50" s="20">
        <v>20000</v>
      </c>
      <c r="I50" s="20">
        <v>20000</v>
      </c>
      <c r="J50" s="20">
        <v>40000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0">
        <v>0</v>
      </c>
      <c r="AA50" s="20">
        <v>20000</v>
      </c>
      <c r="AB50" s="20">
        <v>20000</v>
      </c>
      <c r="AC50" s="21">
        <v>40000</v>
      </c>
    </row>
    <row r="51" spans="1:29" x14ac:dyDescent="0.25">
      <c r="F51" s="16"/>
      <c r="G51" s="31" t="s">
        <v>116</v>
      </c>
      <c r="H51" s="20">
        <v>20000</v>
      </c>
      <c r="I51" s="20">
        <v>20000</v>
      </c>
      <c r="J51" s="20">
        <v>40000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v>0</v>
      </c>
      <c r="T51" s="20">
        <v>0</v>
      </c>
      <c r="U51" s="20">
        <v>0</v>
      </c>
      <c r="V51" s="20">
        <v>0</v>
      </c>
      <c r="W51" s="20">
        <v>0</v>
      </c>
      <c r="X51" s="20">
        <v>0</v>
      </c>
      <c r="Y51" s="20">
        <v>0</v>
      </c>
      <c r="Z51" s="20">
        <v>0</v>
      </c>
      <c r="AA51" s="20">
        <v>20000</v>
      </c>
      <c r="AB51" s="20">
        <v>20000</v>
      </c>
      <c r="AC51" s="21">
        <v>40000</v>
      </c>
    </row>
    <row r="52" spans="1:29" s="15" customFormat="1" ht="14.25" x14ac:dyDescent="0.2">
      <c r="A52" s="13"/>
      <c r="B52" s="14"/>
      <c r="F52" s="18">
        <v>4</v>
      </c>
      <c r="G52" s="29" t="s">
        <v>185</v>
      </c>
      <c r="H52" s="22">
        <v>120000</v>
      </c>
      <c r="I52" s="22">
        <v>120000</v>
      </c>
      <c r="J52" s="22">
        <v>240000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2">
        <v>0</v>
      </c>
      <c r="U52" s="22">
        <v>0</v>
      </c>
      <c r="V52" s="22">
        <v>0</v>
      </c>
      <c r="W52" s="22">
        <v>0</v>
      </c>
      <c r="X52" s="22">
        <v>0</v>
      </c>
      <c r="Y52" s="22">
        <v>0</v>
      </c>
      <c r="Z52" s="22">
        <v>0</v>
      </c>
      <c r="AA52" s="22">
        <v>120000</v>
      </c>
      <c r="AB52" s="22">
        <v>120000</v>
      </c>
      <c r="AC52" s="23">
        <v>240000</v>
      </c>
    </row>
    <row r="53" spans="1:29" x14ac:dyDescent="0.25">
      <c r="F53" s="16"/>
      <c r="G53" s="30" t="s">
        <v>123</v>
      </c>
      <c r="H53" s="20">
        <v>20000</v>
      </c>
      <c r="I53" s="20">
        <v>20000</v>
      </c>
      <c r="J53" s="20">
        <v>40000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20000</v>
      </c>
      <c r="AB53" s="20">
        <v>20000</v>
      </c>
      <c r="AC53" s="21">
        <v>40000</v>
      </c>
    </row>
    <row r="54" spans="1:29" x14ac:dyDescent="0.25">
      <c r="F54" s="16"/>
      <c r="G54" s="33" t="s">
        <v>120</v>
      </c>
      <c r="H54" s="20">
        <v>20000</v>
      </c>
      <c r="I54" s="20">
        <v>20000</v>
      </c>
      <c r="J54" s="20">
        <v>40000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</v>
      </c>
      <c r="T54" s="20">
        <v>0</v>
      </c>
      <c r="U54" s="20">
        <v>0</v>
      </c>
      <c r="V54" s="20">
        <v>0</v>
      </c>
      <c r="W54" s="20">
        <v>0</v>
      </c>
      <c r="X54" s="20">
        <v>0</v>
      </c>
      <c r="Y54" s="20">
        <v>0</v>
      </c>
      <c r="Z54" s="20">
        <v>0</v>
      </c>
      <c r="AA54" s="20">
        <v>20000</v>
      </c>
      <c r="AB54" s="20">
        <v>20000</v>
      </c>
      <c r="AC54" s="21">
        <v>40000</v>
      </c>
    </row>
    <row r="55" spans="1:29" x14ac:dyDescent="0.25">
      <c r="F55" s="16"/>
      <c r="G55" s="33" t="s">
        <v>124</v>
      </c>
      <c r="H55" s="20">
        <v>20000</v>
      </c>
      <c r="I55" s="20">
        <v>20000</v>
      </c>
      <c r="J55" s="20">
        <v>40000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</v>
      </c>
      <c r="W55" s="20">
        <v>0</v>
      </c>
      <c r="X55" s="20">
        <v>0</v>
      </c>
      <c r="Y55" s="20">
        <v>0</v>
      </c>
      <c r="Z55" s="20">
        <v>0</v>
      </c>
      <c r="AA55" s="20">
        <v>20000</v>
      </c>
      <c r="AB55" s="20">
        <v>20000</v>
      </c>
      <c r="AC55" s="21">
        <v>40000</v>
      </c>
    </row>
    <row r="56" spans="1:29" x14ac:dyDescent="0.25">
      <c r="F56" s="16"/>
      <c r="G56" s="33" t="s">
        <v>125</v>
      </c>
      <c r="H56" s="20">
        <v>20000</v>
      </c>
      <c r="I56" s="20">
        <v>20000</v>
      </c>
      <c r="J56" s="20">
        <v>40000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0</v>
      </c>
      <c r="R56" s="20">
        <v>0</v>
      </c>
      <c r="S56" s="20">
        <v>0</v>
      </c>
      <c r="T56" s="20">
        <v>0</v>
      </c>
      <c r="U56" s="20">
        <v>0</v>
      </c>
      <c r="V56" s="20">
        <v>0</v>
      </c>
      <c r="W56" s="20">
        <v>0</v>
      </c>
      <c r="X56" s="20">
        <v>0</v>
      </c>
      <c r="Y56" s="20">
        <v>0</v>
      </c>
      <c r="Z56" s="20">
        <v>0</v>
      </c>
      <c r="AA56" s="20">
        <v>20000</v>
      </c>
      <c r="AB56" s="20">
        <v>20000</v>
      </c>
      <c r="AC56" s="21">
        <v>40000</v>
      </c>
    </row>
    <row r="57" spans="1:29" x14ac:dyDescent="0.25">
      <c r="F57" s="16"/>
      <c r="G57" s="33" t="s">
        <v>122</v>
      </c>
      <c r="H57" s="20">
        <v>20000</v>
      </c>
      <c r="I57" s="20">
        <v>20000</v>
      </c>
      <c r="J57" s="20">
        <v>40000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20000</v>
      </c>
      <c r="AB57" s="20">
        <v>20000</v>
      </c>
      <c r="AC57" s="21">
        <v>40000</v>
      </c>
    </row>
    <row r="58" spans="1:29" x14ac:dyDescent="0.25">
      <c r="F58" s="16"/>
      <c r="G58" s="31" t="s">
        <v>126</v>
      </c>
      <c r="H58" s="20">
        <v>20000</v>
      </c>
      <c r="I58" s="20">
        <v>20000</v>
      </c>
      <c r="J58" s="20">
        <v>40000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v>0</v>
      </c>
      <c r="T58" s="20">
        <v>0</v>
      </c>
      <c r="U58" s="20">
        <v>0</v>
      </c>
      <c r="V58" s="20">
        <v>0</v>
      </c>
      <c r="W58" s="20">
        <v>0</v>
      </c>
      <c r="X58" s="20">
        <v>0</v>
      </c>
      <c r="Y58" s="20">
        <v>0</v>
      </c>
      <c r="Z58" s="20">
        <v>0</v>
      </c>
      <c r="AA58" s="20">
        <v>20000</v>
      </c>
      <c r="AB58" s="20">
        <v>20000</v>
      </c>
      <c r="AC58" s="21">
        <v>40000</v>
      </c>
    </row>
    <row r="59" spans="1:29" s="15" customFormat="1" ht="14.25" x14ac:dyDescent="0.2">
      <c r="A59" s="13"/>
      <c r="B59" s="14"/>
      <c r="F59" s="18" t="s">
        <v>214</v>
      </c>
      <c r="G59" s="28" t="s">
        <v>191</v>
      </c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3"/>
    </row>
    <row r="60" spans="1:29" s="15" customFormat="1" ht="14.25" x14ac:dyDescent="0.2">
      <c r="A60" s="13"/>
      <c r="B60" s="14"/>
      <c r="F60" s="18">
        <v>1</v>
      </c>
      <c r="G60" s="29" t="s">
        <v>187</v>
      </c>
      <c r="H60" s="22">
        <v>100000</v>
      </c>
      <c r="I60" s="22">
        <v>100000</v>
      </c>
      <c r="J60" s="22">
        <v>200000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100000</v>
      </c>
      <c r="AB60" s="22">
        <v>100000</v>
      </c>
      <c r="AC60" s="23">
        <v>200000</v>
      </c>
    </row>
    <row r="61" spans="1:29" x14ac:dyDescent="0.25">
      <c r="F61" s="16"/>
      <c r="G61" s="30" t="s">
        <v>61</v>
      </c>
      <c r="H61" s="20">
        <v>20000</v>
      </c>
      <c r="I61" s="20">
        <v>20000</v>
      </c>
      <c r="J61" s="20">
        <v>40000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v>0</v>
      </c>
      <c r="T61" s="20">
        <v>0</v>
      </c>
      <c r="U61" s="20">
        <v>0</v>
      </c>
      <c r="V61" s="20">
        <v>0</v>
      </c>
      <c r="W61" s="20">
        <v>0</v>
      </c>
      <c r="X61" s="20">
        <v>0</v>
      </c>
      <c r="Y61" s="20">
        <v>0</v>
      </c>
      <c r="Z61" s="20">
        <v>0</v>
      </c>
      <c r="AA61" s="20">
        <v>20000</v>
      </c>
      <c r="AB61" s="20">
        <v>20000</v>
      </c>
      <c r="AC61" s="21">
        <v>40000</v>
      </c>
    </row>
    <row r="62" spans="1:29" x14ac:dyDescent="0.25">
      <c r="F62" s="16"/>
      <c r="G62" s="33" t="s">
        <v>62</v>
      </c>
      <c r="H62" s="20">
        <v>20000</v>
      </c>
      <c r="I62" s="20">
        <v>20000</v>
      </c>
      <c r="J62" s="20">
        <v>40000</v>
      </c>
      <c r="K62" s="20">
        <v>0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v>0</v>
      </c>
      <c r="T62" s="20">
        <v>0</v>
      </c>
      <c r="U62" s="20">
        <v>0</v>
      </c>
      <c r="V62" s="20">
        <v>0</v>
      </c>
      <c r="W62" s="20">
        <v>0</v>
      </c>
      <c r="X62" s="20">
        <v>0</v>
      </c>
      <c r="Y62" s="20">
        <v>0</v>
      </c>
      <c r="Z62" s="20">
        <v>0</v>
      </c>
      <c r="AA62" s="20">
        <v>20000</v>
      </c>
      <c r="AB62" s="20">
        <v>20000</v>
      </c>
      <c r="AC62" s="21">
        <v>40000</v>
      </c>
    </row>
    <row r="63" spans="1:29" x14ac:dyDescent="0.25">
      <c r="F63" s="16"/>
      <c r="G63" s="33" t="s">
        <v>48</v>
      </c>
      <c r="H63" s="20">
        <v>20000</v>
      </c>
      <c r="I63" s="20">
        <v>20000</v>
      </c>
      <c r="J63" s="20">
        <v>40000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v>0</v>
      </c>
      <c r="T63" s="20">
        <v>0</v>
      </c>
      <c r="U63" s="20">
        <v>0</v>
      </c>
      <c r="V63" s="20">
        <v>0</v>
      </c>
      <c r="W63" s="20">
        <v>0</v>
      </c>
      <c r="X63" s="20">
        <v>0</v>
      </c>
      <c r="Y63" s="20">
        <v>0</v>
      </c>
      <c r="Z63" s="20">
        <v>0</v>
      </c>
      <c r="AA63" s="20">
        <v>20000</v>
      </c>
      <c r="AB63" s="20">
        <v>20000</v>
      </c>
      <c r="AC63" s="21">
        <v>40000</v>
      </c>
    </row>
    <row r="64" spans="1:29" x14ac:dyDescent="0.25">
      <c r="F64" s="16"/>
      <c r="G64" s="33" t="s">
        <v>57</v>
      </c>
      <c r="H64" s="20">
        <v>20000</v>
      </c>
      <c r="I64" s="20">
        <v>20000</v>
      </c>
      <c r="J64" s="20">
        <v>40000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20000</v>
      </c>
      <c r="AB64" s="20">
        <v>20000</v>
      </c>
      <c r="AC64" s="21">
        <v>40000</v>
      </c>
    </row>
    <row r="65" spans="1:29" x14ac:dyDescent="0.25">
      <c r="F65" s="16"/>
      <c r="G65" s="31" t="s">
        <v>63</v>
      </c>
      <c r="H65" s="20">
        <v>20000</v>
      </c>
      <c r="I65" s="20">
        <v>20000</v>
      </c>
      <c r="J65" s="20">
        <v>40000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v>0</v>
      </c>
      <c r="T65" s="20">
        <v>0</v>
      </c>
      <c r="U65" s="20">
        <v>0</v>
      </c>
      <c r="V65" s="20">
        <v>0</v>
      </c>
      <c r="W65" s="20">
        <v>0</v>
      </c>
      <c r="X65" s="20">
        <v>0</v>
      </c>
      <c r="Y65" s="20">
        <v>0</v>
      </c>
      <c r="Z65" s="20">
        <v>0</v>
      </c>
      <c r="AA65" s="20">
        <v>20000</v>
      </c>
      <c r="AB65" s="20">
        <v>20000</v>
      </c>
      <c r="AC65" s="21">
        <v>40000</v>
      </c>
    </row>
    <row r="66" spans="1:29" s="15" customFormat="1" ht="14.25" x14ac:dyDescent="0.2">
      <c r="A66" s="13"/>
      <c r="B66" s="14"/>
      <c r="F66" s="18">
        <v>2</v>
      </c>
      <c r="G66" s="29" t="s">
        <v>183</v>
      </c>
      <c r="H66" s="22">
        <v>180000</v>
      </c>
      <c r="I66" s="22">
        <v>180000</v>
      </c>
      <c r="J66" s="22">
        <v>360000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2">
        <v>0</v>
      </c>
      <c r="U66" s="22">
        <v>0</v>
      </c>
      <c r="V66" s="22">
        <v>0</v>
      </c>
      <c r="W66" s="22">
        <v>0</v>
      </c>
      <c r="X66" s="22">
        <v>0</v>
      </c>
      <c r="Y66" s="22">
        <v>0</v>
      </c>
      <c r="Z66" s="22">
        <v>0</v>
      </c>
      <c r="AA66" s="22">
        <v>180000</v>
      </c>
      <c r="AB66" s="22">
        <v>180000</v>
      </c>
      <c r="AC66" s="23">
        <v>360000</v>
      </c>
    </row>
    <row r="67" spans="1:29" x14ac:dyDescent="0.25">
      <c r="F67" s="16"/>
      <c r="G67" s="30" t="s">
        <v>68</v>
      </c>
      <c r="H67" s="20">
        <v>20000</v>
      </c>
      <c r="I67" s="20">
        <v>20000</v>
      </c>
      <c r="J67" s="20">
        <v>40000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v>0</v>
      </c>
      <c r="T67" s="20">
        <v>0</v>
      </c>
      <c r="U67" s="20">
        <v>0</v>
      </c>
      <c r="V67" s="20">
        <v>0</v>
      </c>
      <c r="W67" s="20">
        <v>0</v>
      </c>
      <c r="X67" s="20">
        <v>0</v>
      </c>
      <c r="Y67" s="20">
        <v>0</v>
      </c>
      <c r="Z67" s="20">
        <v>0</v>
      </c>
      <c r="AA67" s="20">
        <v>20000</v>
      </c>
      <c r="AB67" s="20">
        <v>20000</v>
      </c>
      <c r="AC67" s="21">
        <v>40000</v>
      </c>
    </row>
    <row r="68" spans="1:29" x14ac:dyDescent="0.25">
      <c r="F68" s="16"/>
      <c r="G68" s="33" t="s">
        <v>71</v>
      </c>
      <c r="H68" s="20">
        <v>20000</v>
      </c>
      <c r="I68" s="20">
        <v>20000</v>
      </c>
      <c r="J68" s="20">
        <v>40000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20">
        <v>0</v>
      </c>
      <c r="Y68" s="20">
        <v>0</v>
      </c>
      <c r="Z68" s="20">
        <v>0</v>
      </c>
      <c r="AA68" s="20">
        <v>20000</v>
      </c>
      <c r="AB68" s="20">
        <v>20000</v>
      </c>
      <c r="AC68" s="21">
        <v>40000</v>
      </c>
    </row>
    <row r="69" spans="1:29" x14ac:dyDescent="0.25">
      <c r="F69" s="16"/>
      <c r="G69" s="33" t="s">
        <v>74</v>
      </c>
      <c r="H69" s="20">
        <v>20000</v>
      </c>
      <c r="I69" s="20">
        <v>20000</v>
      </c>
      <c r="J69" s="20">
        <v>40000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20000</v>
      </c>
      <c r="AB69" s="20">
        <v>20000</v>
      </c>
      <c r="AC69" s="21">
        <v>40000</v>
      </c>
    </row>
    <row r="70" spans="1:29" x14ac:dyDescent="0.25">
      <c r="F70" s="16"/>
      <c r="G70" s="33" t="s">
        <v>72</v>
      </c>
      <c r="H70" s="20">
        <v>20000</v>
      </c>
      <c r="I70" s="20">
        <v>20000</v>
      </c>
      <c r="J70" s="20">
        <v>40000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20000</v>
      </c>
      <c r="AB70" s="20">
        <v>20000</v>
      </c>
      <c r="AC70" s="21">
        <v>40000</v>
      </c>
    </row>
    <row r="71" spans="1:29" x14ac:dyDescent="0.25">
      <c r="F71" s="16"/>
      <c r="G71" s="33" t="s">
        <v>73</v>
      </c>
      <c r="H71" s="20">
        <v>20000</v>
      </c>
      <c r="I71" s="20">
        <v>20000</v>
      </c>
      <c r="J71" s="20">
        <v>40000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20">
        <v>0</v>
      </c>
      <c r="W71" s="20">
        <v>0</v>
      </c>
      <c r="X71" s="20">
        <v>0</v>
      </c>
      <c r="Y71" s="20">
        <v>0</v>
      </c>
      <c r="Z71" s="20">
        <v>0</v>
      </c>
      <c r="AA71" s="20">
        <v>20000</v>
      </c>
      <c r="AB71" s="20">
        <v>20000</v>
      </c>
      <c r="AC71" s="21">
        <v>40000</v>
      </c>
    </row>
    <row r="72" spans="1:29" x14ac:dyDescent="0.25">
      <c r="F72" s="16"/>
      <c r="G72" s="33" t="s">
        <v>75</v>
      </c>
      <c r="H72" s="20">
        <v>20000</v>
      </c>
      <c r="I72" s="20">
        <v>20000</v>
      </c>
      <c r="J72" s="20">
        <v>40000</v>
      </c>
      <c r="K72" s="20">
        <v>0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v>0</v>
      </c>
      <c r="T72" s="20">
        <v>0</v>
      </c>
      <c r="U72" s="20">
        <v>0</v>
      </c>
      <c r="V72" s="20">
        <v>0</v>
      </c>
      <c r="W72" s="20">
        <v>0</v>
      </c>
      <c r="X72" s="20">
        <v>0</v>
      </c>
      <c r="Y72" s="20">
        <v>0</v>
      </c>
      <c r="Z72" s="20">
        <v>0</v>
      </c>
      <c r="AA72" s="20">
        <v>20000</v>
      </c>
      <c r="AB72" s="20">
        <v>20000</v>
      </c>
      <c r="AC72" s="21">
        <v>40000</v>
      </c>
    </row>
    <row r="73" spans="1:29" x14ac:dyDescent="0.25">
      <c r="F73" s="16"/>
      <c r="G73" s="33" t="s">
        <v>69</v>
      </c>
      <c r="H73" s="20">
        <v>20000</v>
      </c>
      <c r="I73" s="20">
        <v>20000</v>
      </c>
      <c r="J73" s="20">
        <v>40000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v>0</v>
      </c>
      <c r="T73" s="20">
        <v>0</v>
      </c>
      <c r="U73" s="20">
        <v>0</v>
      </c>
      <c r="V73" s="20">
        <v>0</v>
      </c>
      <c r="W73" s="20">
        <v>0</v>
      </c>
      <c r="X73" s="20">
        <v>0</v>
      </c>
      <c r="Y73" s="20">
        <v>0</v>
      </c>
      <c r="Z73" s="20">
        <v>0</v>
      </c>
      <c r="AA73" s="20">
        <v>20000</v>
      </c>
      <c r="AB73" s="20">
        <v>20000</v>
      </c>
      <c r="AC73" s="21">
        <v>40000</v>
      </c>
    </row>
    <row r="74" spans="1:29" x14ac:dyDescent="0.25">
      <c r="F74" s="16"/>
      <c r="G74" s="33" t="s">
        <v>70</v>
      </c>
      <c r="H74" s="20">
        <v>20000</v>
      </c>
      <c r="I74" s="20">
        <v>20000</v>
      </c>
      <c r="J74" s="20">
        <v>40000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v>0</v>
      </c>
      <c r="T74" s="20">
        <v>0</v>
      </c>
      <c r="U74" s="20">
        <v>0</v>
      </c>
      <c r="V74" s="20">
        <v>0</v>
      </c>
      <c r="W74" s="20">
        <v>0</v>
      </c>
      <c r="X74" s="20">
        <v>0</v>
      </c>
      <c r="Y74" s="20">
        <v>0</v>
      </c>
      <c r="Z74" s="20">
        <v>0</v>
      </c>
      <c r="AA74" s="20">
        <v>20000</v>
      </c>
      <c r="AB74" s="20">
        <v>20000</v>
      </c>
      <c r="AC74" s="21">
        <v>40000</v>
      </c>
    </row>
    <row r="75" spans="1:29" x14ac:dyDescent="0.25">
      <c r="F75" s="16"/>
      <c r="G75" s="31" t="s">
        <v>66</v>
      </c>
      <c r="H75" s="20">
        <v>20000</v>
      </c>
      <c r="I75" s="20">
        <v>20000</v>
      </c>
      <c r="J75" s="20">
        <v>40000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v>0</v>
      </c>
      <c r="T75" s="20">
        <v>0</v>
      </c>
      <c r="U75" s="20">
        <v>0</v>
      </c>
      <c r="V75" s="20">
        <v>0</v>
      </c>
      <c r="W75" s="20">
        <v>0</v>
      </c>
      <c r="X75" s="20">
        <v>0</v>
      </c>
      <c r="Y75" s="20">
        <v>0</v>
      </c>
      <c r="Z75" s="20">
        <v>0</v>
      </c>
      <c r="AA75" s="20">
        <v>20000</v>
      </c>
      <c r="AB75" s="20">
        <v>20000</v>
      </c>
      <c r="AC75" s="21">
        <v>40000</v>
      </c>
    </row>
    <row r="76" spans="1:29" s="15" customFormat="1" ht="14.25" x14ac:dyDescent="0.2">
      <c r="A76" s="13"/>
      <c r="B76" s="14"/>
      <c r="F76" s="18">
        <v>3</v>
      </c>
      <c r="G76" s="29" t="s">
        <v>186</v>
      </c>
      <c r="H76" s="22">
        <v>20000</v>
      </c>
      <c r="I76" s="22">
        <v>20000</v>
      </c>
      <c r="J76" s="22">
        <v>40000</v>
      </c>
      <c r="K76" s="22">
        <v>0</v>
      </c>
      <c r="L76" s="22">
        <v>0</v>
      </c>
      <c r="M76" s="22">
        <v>0</v>
      </c>
      <c r="N76" s="22">
        <v>0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2">
        <v>0</v>
      </c>
      <c r="U76" s="22">
        <v>0</v>
      </c>
      <c r="V76" s="22">
        <v>0</v>
      </c>
      <c r="W76" s="22">
        <v>0</v>
      </c>
      <c r="X76" s="22">
        <v>0</v>
      </c>
      <c r="Y76" s="22">
        <v>0</v>
      </c>
      <c r="Z76" s="22">
        <v>0</v>
      </c>
      <c r="AA76" s="22">
        <v>20000</v>
      </c>
      <c r="AB76" s="22">
        <v>20000</v>
      </c>
      <c r="AC76" s="23">
        <v>40000</v>
      </c>
    </row>
    <row r="77" spans="1:29" x14ac:dyDescent="0.25">
      <c r="F77" s="16"/>
      <c r="G77" s="32" t="s">
        <v>64</v>
      </c>
      <c r="H77" s="20">
        <v>20000</v>
      </c>
      <c r="I77" s="20">
        <v>20000</v>
      </c>
      <c r="J77" s="20">
        <v>40000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v>0</v>
      </c>
      <c r="T77" s="20">
        <v>0</v>
      </c>
      <c r="U77" s="20">
        <v>0</v>
      </c>
      <c r="V77" s="20">
        <v>0</v>
      </c>
      <c r="W77" s="20">
        <v>0</v>
      </c>
      <c r="X77" s="20">
        <v>0</v>
      </c>
      <c r="Y77" s="20">
        <v>0</v>
      </c>
      <c r="Z77" s="20">
        <v>0</v>
      </c>
      <c r="AA77" s="20">
        <v>20000</v>
      </c>
      <c r="AB77" s="20">
        <v>20000</v>
      </c>
      <c r="AC77" s="21">
        <v>40000</v>
      </c>
    </row>
    <row r="78" spans="1:29" s="15" customFormat="1" ht="14.25" x14ac:dyDescent="0.2">
      <c r="A78" s="13"/>
      <c r="B78" s="14"/>
      <c r="F78" s="18">
        <v>4</v>
      </c>
      <c r="G78" s="29" t="s">
        <v>190</v>
      </c>
      <c r="H78" s="22">
        <v>20000</v>
      </c>
      <c r="I78" s="22">
        <v>20000</v>
      </c>
      <c r="J78" s="22">
        <v>40000</v>
      </c>
      <c r="K78" s="22">
        <v>0</v>
      </c>
      <c r="L78" s="22">
        <v>0</v>
      </c>
      <c r="M78" s="22">
        <v>0</v>
      </c>
      <c r="N78" s="22">
        <v>0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0</v>
      </c>
      <c r="X78" s="22">
        <v>0</v>
      </c>
      <c r="Y78" s="22">
        <v>0</v>
      </c>
      <c r="Z78" s="22">
        <v>0</v>
      </c>
      <c r="AA78" s="22">
        <v>20000</v>
      </c>
      <c r="AB78" s="22">
        <v>20000</v>
      </c>
      <c r="AC78" s="23">
        <v>40000</v>
      </c>
    </row>
    <row r="79" spans="1:29" x14ac:dyDescent="0.25">
      <c r="F79" s="16"/>
      <c r="G79" s="32" t="s">
        <v>81</v>
      </c>
      <c r="H79" s="20">
        <v>20000</v>
      </c>
      <c r="I79" s="20">
        <v>20000</v>
      </c>
      <c r="J79" s="20">
        <v>40000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20000</v>
      </c>
      <c r="AB79" s="20">
        <v>20000</v>
      </c>
      <c r="AC79" s="21">
        <v>40000</v>
      </c>
    </row>
    <row r="80" spans="1:29" s="15" customFormat="1" ht="14.25" x14ac:dyDescent="0.2">
      <c r="A80" s="13"/>
      <c r="B80" s="14"/>
      <c r="F80" s="18">
        <v>5</v>
      </c>
      <c r="G80" s="29" t="s">
        <v>189</v>
      </c>
      <c r="H80" s="22">
        <v>80000</v>
      </c>
      <c r="I80" s="22">
        <v>80000</v>
      </c>
      <c r="J80" s="22">
        <v>160000</v>
      </c>
      <c r="K80" s="22">
        <v>0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2">
        <v>0</v>
      </c>
      <c r="U80" s="22">
        <v>0</v>
      </c>
      <c r="V80" s="22">
        <v>0</v>
      </c>
      <c r="W80" s="22">
        <v>0</v>
      </c>
      <c r="X80" s="22">
        <v>0</v>
      </c>
      <c r="Y80" s="22">
        <v>0</v>
      </c>
      <c r="Z80" s="22">
        <v>0</v>
      </c>
      <c r="AA80" s="22">
        <v>80000</v>
      </c>
      <c r="AB80" s="22">
        <v>80000</v>
      </c>
      <c r="AC80" s="23">
        <v>160000</v>
      </c>
    </row>
    <row r="81" spans="6:29" x14ac:dyDescent="0.25">
      <c r="F81" s="16"/>
      <c r="G81" s="30" t="s">
        <v>76</v>
      </c>
      <c r="H81" s="20">
        <v>20000</v>
      </c>
      <c r="I81" s="20">
        <v>20000</v>
      </c>
      <c r="J81" s="20">
        <v>40000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v>0</v>
      </c>
      <c r="T81" s="20">
        <v>0</v>
      </c>
      <c r="U81" s="20">
        <v>0</v>
      </c>
      <c r="V81" s="20">
        <v>0</v>
      </c>
      <c r="W81" s="20">
        <v>0</v>
      </c>
      <c r="X81" s="20">
        <v>0</v>
      </c>
      <c r="Y81" s="20">
        <v>0</v>
      </c>
      <c r="Z81" s="20">
        <v>0</v>
      </c>
      <c r="AA81" s="20">
        <v>20000</v>
      </c>
      <c r="AB81" s="20">
        <v>20000</v>
      </c>
      <c r="AC81" s="21">
        <v>40000</v>
      </c>
    </row>
    <row r="82" spans="6:29" x14ac:dyDescent="0.25">
      <c r="F82" s="16"/>
      <c r="G82" s="33" t="s">
        <v>78</v>
      </c>
      <c r="H82" s="20">
        <v>20000</v>
      </c>
      <c r="I82" s="20">
        <v>20000</v>
      </c>
      <c r="J82" s="20">
        <v>40000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v>0</v>
      </c>
      <c r="T82" s="20">
        <v>0</v>
      </c>
      <c r="U82" s="20">
        <v>0</v>
      </c>
      <c r="V82" s="20">
        <v>0</v>
      </c>
      <c r="W82" s="20">
        <v>0</v>
      </c>
      <c r="X82" s="20">
        <v>0</v>
      </c>
      <c r="Y82" s="20">
        <v>0</v>
      </c>
      <c r="Z82" s="20">
        <v>0</v>
      </c>
      <c r="AA82" s="20">
        <v>20000</v>
      </c>
      <c r="AB82" s="20">
        <v>20000</v>
      </c>
      <c r="AC82" s="21">
        <v>40000</v>
      </c>
    </row>
    <row r="83" spans="6:29" x14ac:dyDescent="0.25">
      <c r="F83" s="16"/>
      <c r="G83" s="33" t="s">
        <v>79</v>
      </c>
      <c r="H83" s="20">
        <v>20000</v>
      </c>
      <c r="I83" s="20">
        <v>20000</v>
      </c>
      <c r="J83" s="20">
        <v>40000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v>0</v>
      </c>
      <c r="T83" s="20">
        <v>0</v>
      </c>
      <c r="U83" s="20">
        <v>0</v>
      </c>
      <c r="V83" s="20">
        <v>0</v>
      </c>
      <c r="W83" s="20">
        <v>0</v>
      </c>
      <c r="X83" s="20">
        <v>0</v>
      </c>
      <c r="Y83" s="20">
        <v>0</v>
      </c>
      <c r="Z83" s="20">
        <v>0</v>
      </c>
      <c r="AA83" s="20">
        <v>20000</v>
      </c>
      <c r="AB83" s="20">
        <v>20000</v>
      </c>
      <c r="AC83" s="21">
        <v>40000</v>
      </c>
    </row>
    <row r="84" spans="6:29" x14ac:dyDescent="0.25">
      <c r="F84" s="16"/>
      <c r="G84" s="31" t="s">
        <v>80</v>
      </c>
      <c r="H84" s="24">
        <v>20000</v>
      </c>
      <c r="I84" s="24">
        <v>20000</v>
      </c>
      <c r="J84" s="24">
        <v>40000</v>
      </c>
      <c r="K84" s="24">
        <v>0</v>
      </c>
      <c r="L84" s="24">
        <v>0</v>
      </c>
      <c r="M84" s="24">
        <v>0</v>
      </c>
      <c r="N84" s="24">
        <v>0</v>
      </c>
      <c r="O84" s="24">
        <v>0</v>
      </c>
      <c r="P84" s="24">
        <v>0</v>
      </c>
      <c r="Q84" s="24">
        <v>0</v>
      </c>
      <c r="R84" s="24">
        <v>0</v>
      </c>
      <c r="S84" s="24">
        <v>0</v>
      </c>
      <c r="T84" s="24">
        <v>0</v>
      </c>
      <c r="U84" s="24">
        <v>0</v>
      </c>
      <c r="V84" s="24">
        <v>0</v>
      </c>
      <c r="W84" s="24">
        <v>0</v>
      </c>
      <c r="X84" s="24">
        <v>0</v>
      </c>
      <c r="Y84" s="24">
        <v>0</v>
      </c>
      <c r="Z84" s="24">
        <v>0</v>
      </c>
      <c r="AA84" s="24">
        <v>20000</v>
      </c>
      <c r="AB84" s="24">
        <v>20000</v>
      </c>
      <c r="AC84" s="25">
        <v>40000</v>
      </c>
    </row>
  </sheetData>
  <mergeCells count="10">
    <mergeCell ref="H10:I10"/>
    <mergeCell ref="J10:J12"/>
    <mergeCell ref="K10:O10"/>
    <mergeCell ref="P10:P12"/>
    <mergeCell ref="Q10:Y10"/>
    <mergeCell ref="Z10:Z12"/>
    <mergeCell ref="AA10:AB10"/>
    <mergeCell ref="AC10:AC12"/>
    <mergeCell ref="F6:F8"/>
    <mergeCell ref="G6:G8"/>
  </mergeCells>
  <pageMargins left="0.25" right="0.25" top="0.75" bottom="0.75" header="0.3" footer="0.3"/>
  <pageSetup paperSize="9" scale="45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G36"/>
  <sheetViews>
    <sheetView workbookViewId="0">
      <selection activeCell="J22" sqref="J22"/>
    </sheetView>
  </sheetViews>
  <sheetFormatPr defaultRowHeight="15" x14ac:dyDescent="0.25"/>
  <cols>
    <col min="1" max="1" width="22.42578125" bestFit="1" customWidth="1"/>
    <col min="2" max="2" width="21" customWidth="1"/>
    <col min="3" max="3" width="23.7109375" bestFit="1" customWidth="1"/>
    <col min="4" max="4" width="13.7109375" customWidth="1"/>
    <col min="5" max="5" width="12" customWidth="1"/>
    <col min="6" max="6" width="10" bestFit="1" customWidth="1"/>
    <col min="7" max="7" width="12.28515625" bestFit="1" customWidth="1"/>
  </cols>
  <sheetData>
    <row r="4" spans="1:7" x14ac:dyDescent="0.25">
      <c r="A4" s="113" t="s">
        <v>393</v>
      </c>
      <c r="B4" s="113" t="s">
        <v>395</v>
      </c>
      <c r="C4" s="113" t="s">
        <v>389</v>
      </c>
      <c r="D4" s="113" t="s">
        <v>363</v>
      </c>
      <c r="E4" s="113" t="s">
        <v>364</v>
      </c>
      <c r="F4" s="113" t="s">
        <v>365</v>
      </c>
      <c r="G4" s="113" t="s">
        <v>366</v>
      </c>
    </row>
    <row r="5" spans="1:7" x14ac:dyDescent="0.25">
      <c r="A5" t="s">
        <v>165</v>
      </c>
      <c r="B5" t="s">
        <v>272</v>
      </c>
      <c r="C5" t="s">
        <v>277</v>
      </c>
      <c r="D5" s="110">
        <v>0.84722222222222221</v>
      </c>
      <c r="E5" s="110">
        <v>0.42499999999999999</v>
      </c>
      <c r="F5" t="s">
        <v>341</v>
      </c>
      <c r="G5">
        <v>9000</v>
      </c>
    </row>
    <row r="6" spans="1:7" x14ac:dyDescent="0.25">
      <c r="C6" t="s">
        <v>280</v>
      </c>
      <c r="D6" s="110">
        <v>0.84722222222222221</v>
      </c>
      <c r="E6" s="110">
        <v>0.42499999999999999</v>
      </c>
      <c r="F6" t="s">
        <v>341</v>
      </c>
      <c r="G6">
        <v>9000</v>
      </c>
    </row>
    <row r="7" spans="1:7" x14ac:dyDescent="0.25">
      <c r="B7" t="s">
        <v>275</v>
      </c>
      <c r="C7" t="s">
        <v>276</v>
      </c>
      <c r="D7" s="110">
        <v>0.84722222222222221</v>
      </c>
      <c r="E7" s="110">
        <v>0.42499999999999999</v>
      </c>
      <c r="F7" t="s">
        <v>341</v>
      </c>
      <c r="G7">
        <v>9000</v>
      </c>
    </row>
    <row r="8" spans="1:7" x14ac:dyDescent="0.25">
      <c r="C8" t="s">
        <v>279</v>
      </c>
      <c r="D8" s="110">
        <v>0.84722222222222221</v>
      </c>
      <c r="E8" s="110">
        <v>0.42499999999999999</v>
      </c>
      <c r="F8" t="s">
        <v>341</v>
      </c>
      <c r="G8">
        <v>9000</v>
      </c>
    </row>
    <row r="9" spans="1:7" x14ac:dyDescent="0.25">
      <c r="B9" t="s">
        <v>271</v>
      </c>
      <c r="C9" t="s">
        <v>271</v>
      </c>
      <c r="D9" s="110">
        <v>0.84722222222222221</v>
      </c>
      <c r="E9" s="110">
        <v>0.42499999999999999</v>
      </c>
      <c r="F9" t="s">
        <v>341</v>
      </c>
      <c r="G9">
        <v>9000</v>
      </c>
    </row>
    <row r="10" spans="1:7" x14ac:dyDescent="0.25">
      <c r="B10" t="s">
        <v>269</v>
      </c>
      <c r="C10" t="s">
        <v>270</v>
      </c>
      <c r="D10" s="110">
        <v>0.84722222222222221</v>
      </c>
      <c r="E10" s="110">
        <v>0.42499999999999999</v>
      </c>
      <c r="F10" t="s">
        <v>341</v>
      </c>
      <c r="G10">
        <v>9000</v>
      </c>
    </row>
    <row r="11" spans="1:7" x14ac:dyDescent="0.25">
      <c r="B11" t="s">
        <v>243</v>
      </c>
      <c r="C11" t="s">
        <v>282</v>
      </c>
      <c r="D11" s="110">
        <v>0.84722222222222221</v>
      </c>
      <c r="E11" s="110">
        <v>0.42499999999999999</v>
      </c>
      <c r="F11" t="s">
        <v>341</v>
      </c>
      <c r="G11">
        <v>9000</v>
      </c>
    </row>
    <row r="12" spans="1:7" x14ac:dyDescent="0.25">
      <c r="C12" t="s">
        <v>281</v>
      </c>
      <c r="D12" s="110">
        <v>0.84722222222222221</v>
      </c>
      <c r="E12" s="110">
        <v>0.42499999999999999</v>
      </c>
      <c r="F12" t="s">
        <v>341</v>
      </c>
      <c r="G12">
        <v>9000</v>
      </c>
    </row>
    <row r="13" spans="1:7" x14ac:dyDescent="0.25">
      <c r="A13" t="s">
        <v>164</v>
      </c>
      <c r="B13" t="s">
        <v>272</v>
      </c>
      <c r="C13" t="s">
        <v>277</v>
      </c>
      <c r="D13" s="110">
        <v>0.84722222222222221</v>
      </c>
      <c r="E13" s="110">
        <v>0.42499999999999999</v>
      </c>
      <c r="F13" t="s">
        <v>341</v>
      </c>
      <c r="G13">
        <v>9000</v>
      </c>
    </row>
    <row r="14" spans="1:7" x14ac:dyDescent="0.25">
      <c r="C14" t="s">
        <v>280</v>
      </c>
      <c r="D14" s="110">
        <v>0.84722222222222221</v>
      </c>
      <c r="E14" s="110">
        <v>0.42499999999999999</v>
      </c>
      <c r="F14" t="s">
        <v>341</v>
      </c>
      <c r="G14">
        <v>9000</v>
      </c>
    </row>
    <row r="15" spans="1:7" x14ac:dyDescent="0.25">
      <c r="B15" t="s">
        <v>275</v>
      </c>
      <c r="C15" t="s">
        <v>276</v>
      </c>
      <c r="D15" s="110">
        <v>0.84722222222222221</v>
      </c>
      <c r="E15" s="110">
        <v>0.42499999999999999</v>
      </c>
      <c r="F15" t="s">
        <v>341</v>
      </c>
      <c r="G15">
        <v>9000</v>
      </c>
    </row>
    <row r="16" spans="1:7" x14ac:dyDescent="0.25">
      <c r="C16" t="s">
        <v>279</v>
      </c>
      <c r="D16" s="110">
        <v>0.84722222222222221</v>
      </c>
      <c r="E16" s="110">
        <v>0.42499999999999999</v>
      </c>
      <c r="F16" t="s">
        <v>341</v>
      </c>
      <c r="G16">
        <v>9000</v>
      </c>
    </row>
    <row r="17" spans="1:7" x14ac:dyDescent="0.25">
      <c r="B17" t="s">
        <v>271</v>
      </c>
      <c r="C17" t="s">
        <v>271</v>
      </c>
      <c r="D17" s="110">
        <v>0.84722222222222221</v>
      </c>
      <c r="E17" s="110">
        <v>0.42499999999999999</v>
      </c>
      <c r="F17" t="s">
        <v>341</v>
      </c>
      <c r="G17">
        <v>9000</v>
      </c>
    </row>
    <row r="18" spans="1:7" x14ac:dyDescent="0.25">
      <c r="B18" t="s">
        <v>269</v>
      </c>
      <c r="C18" t="s">
        <v>270</v>
      </c>
      <c r="D18" s="110">
        <v>0.84722222222222221</v>
      </c>
      <c r="E18" s="110">
        <v>0.42499999999999999</v>
      </c>
      <c r="F18" t="s">
        <v>341</v>
      </c>
      <c r="G18">
        <v>9000</v>
      </c>
    </row>
    <row r="19" spans="1:7" x14ac:dyDescent="0.25">
      <c r="B19" t="s">
        <v>243</v>
      </c>
      <c r="C19" t="s">
        <v>282</v>
      </c>
      <c r="D19" s="110">
        <v>0.84722222222222221</v>
      </c>
      <c r="E19" s="110">
        <v>0.42499999999999999</v>
      </c>
      <c r="F19" t="s">
        <v>341</v>
      </c>
      <c r="G19">
        <v>9000</v>
      </c>
    </row>
    <row r="20" spans="1:7" x14ac:dyDescent="0.25">
      <c r="C20" t="s">
        <v>281</v>
      </c>
      <c r="D20" s="110">
        <v>0.84722222222222221</v>
      </c>
      <c r="E20" s="110">
        <v>0.42499999999999999</v>
      </c>
      <c r="F20" t="s">
        <v>341</v>
      </c>
      <c r="G20">
        <v>9000</v>
      </c>
    </row>
    <row r="21" spans="1:7" x14ac:dyDescent="0.25">
      <c r="A21" t="s">
        <v>166</v>
      </c>
      <c r="B21" t="s">
        <v>272</v>
      </c>
      <c r="C21" t="s">
        <v>277</v>
      </c>
      <c r="D21" s="110">
        <v>0.84722222222222221</v>
      </c>
      <c r="E21" s="110">
        <v>0.42499999999999999</v>
      </c>
      <c r="F21" t="s">
        <v>341</v>
      </c>
      <c r="G21">
        <v>9000</v>
      </c>
    </row>
    <row r="22" spans="1:7" x14ac:dyDescent="0.25">
      <c r="C22" t="s">
        <v>280</v>
      </c>
      <c r="D22" s="110">
        <v>0.84722222222222221</v>
      </c>
      <c r="E22" s="110">
        <v>0.42499999999999999</v>
      </c>
      <c r="F22" t="s">
        <v>341</v>
      </c>
      <c r="G22">
        <v>9000</v>
      </c>
    </row>
    <row r="23" spans="1:7" x14ac:dyDescent="0.25">
      <c r="B23" t="s">
        <v>275</v>
      </c>
      <c r="C23" t="s">
        <v>276</v>
      </c>
      <c r="D23" s="110">
        <v>0.84722222222222221</v>
      </c>
      <c r="E23" s="110">
        <v>0.42499999999999999</v>
      </c>
      <c r="F23" t="s">
        <v>341</v>
      </c>
      <c r="G23">
        <v>9000</v>
      </c>
    </row>
    <row r="24" spans="1:7" x14ac:dyDescent="0.25">
      <c r="C24" t="s">
        <v>279</v>
      </c>
      <c r="D24" s="110">
        <v>0.84722222222222221</v>
      </c>
      <c r="E24" s="110">
        <v>0.42499999999999999</v>
      </c>
      <c r="F24" t="s">
        <v>341</v>
      </c>
      <c r="G24">
        <v>9000</v>
      </c>
    </row>
    <row r="25" spans="1:7" x14ac:dyDescent="0.25">
      <c r="B25" t="s">
        <v>271</v>
      </c>
      <c r="C25" t="s">
        <v>271</v>
      </c>
      <c r="D25" s="110">
        <v>0.84722222222222221</v>
      </c>
      <c r="E25" s="110">
        <v>0.42499999999999999</v>
      </c>
      <c r="F25" t="s">
        <v>341</v>
      </c>
      <c r="G25">
        <v>9000</v>
      </c>
    </row>
    <row r="26" spans="1:7" x14ac:dyDescent="0.25">
      <c r="B26" t="s">
        <v>269</v>
      </c>
      <c r="C26" t="s">
        <v>270</v>
      </c>
      <c r="D26" s="110">
        <v>0.84722222222222221</v>
      </c>
      <c r="E26" s="110">
        <v>0.42499999999999999</v>
      </c>
      <c r="F26" t="s">
        <v>341</v>
      </c>
      <c r="G26">
        <v>9000</v>
      </c>
    </row>
    <row r="27" spans="1:7" x14ac:dyDescent="0.25">
      <c r="B27" t="s">
        <v>243</v>
      </c>
      <c r="C27" t="s">
        <v>282</v>
      </c>
      <c r="D27" s="110">
        <v>0.84722222222222221</v>
      </c>
      <c r="E27" s="110">
        <v>0.42499999999999999</v>
      </c>
      <c r="F27" t="s">
        <v>341</v>
      </c>
      <c r="G27">
        <v>9000</v>
      </c>
    </row>
    <row r="28" spans="1:7" x14ac:dyDescent="0.25">
      <c r="C28" t="s">
        <v>281</v>
      </c>
      <c r="D28" s="110">
        <v>0.84722222222222221</v>
      </c>
      <c r="E28" s="110">
        <v>0.42499999999999999</v>
      </c>
      <c r="F28" t="s">
        <v>341</v>
      </c>
      <c r="G28">
        <v>9000</v>
      </c>
    </row>
    <row r="29" spans="1:7" x14ac:dyDescent="0.25">
      <c r="A29" t="s">
        <v>167</v>
      </c>
      <c r="B29" t="s">
        <v>272</v>
      </c>
      <c r="C29" t="s">
        <v>277</v>
      </c>
      <c r="D29" s="110">
        <v>0.84722222222222221</v>
      </c>
      <c r="E29" s="110">
        <v>0.42499999999999999</v>
      </c>
      <c r="F29" t="s">
        <v>341</v>
      </c>
      <c r="G29">
        <v>9000</v>
      </c>
    </row>
    <row r="30" spans="1:7" x14ac:dyDescent="0.25">
      <c r="C30" t="s">
        <v>280</v>
      </c>
      <c r="D30" s="110">
        <v>0.84722222222222221</v>
      </c>
      <c r="E30" s="110">
        <v>0.42499999999999999</v>
      </c>
      <c r="F30" t="s">
        <v>341</v>
      </c>
      <c r="G30">
        <v>9000</v>
      </c>
    </row>
    <row r="31" spans="1:7" x14ac:dyDescent="0.25">
      <c r="B31" t="s">
        <v>275</v>
      </c>
      <c r="C31" t="s">
        <v>276</v>
      </c>
      <c r="D31" s="110">
        <v>0.84722222222222221</v>
      </c>
      <c r="E31" s="110">
        <v>0.42499999999999999</v>
      </c>
      <c r="F31" t="s">
        <v>341</v>
      </c>
      <c r="G31">
        <v>9000</v>
      </c>
    </row>
    <row r="32" spans="1:7" x14ac:dyDescent="0.25">
      <c r="C32" t="s">
        <v>279</v>
      </c>
      <c r="D32" s="110">
        <v>0.84722222222222221</v>
      </c>
      <c r="E32" s="110">
        <v>0.42499999999999999</v>
      </c>
      <c r="F32" t="s">
        <v>341</v>
      </c>
      <c r="G32">
        <v>9000</v>
      </c>
    </row>
    <row r="33" spans="2:7" x14ac:dyDescent="0.25">
      <c r="B33" t="s">
        <v>271</v>
      </c>
      <c r="C33" t="s">
        <v>271</v>
      </c>
      <c r="D33" s="110">
        <v>0.84722222222222221</v>
      </c>
      <c r="E33" s="110">
        <v>0.42499999999999999</v>
      </c>
      <c r="F33" t="s">
        <v>341</v>
      </c>
      <c r="G33">
        <v>9000</v>
      </c>
    </row>
    <row r="34" spans="2:7" x14ac:dyDescent="0.25">
      <c r="B34" t="s">
        <v>269</v>
      </c>
      <c r="C34" t="s">
        <v>270</v>
      </c>
      <c r="D34" s="110">
        <v>0.84722222222222221</v>
      </c>
      <c r="E34" s="110">
        <v>0.42499999999999999</v>
      </c>
      <c r="F34" t="s">
        <v>341</v>
      </c>
      <c r="G34">
        <v>9000</v>
      </c>
    </row>
    <row r="35" spans="2:7" x14ac:dyDescent="0.25">
      <c r="B35" t="s">
        <v>243</v>
      </c>
      <c r="C35" t="s">
        <v>282</v>
      </c>
      <c r="D35" s="110">
        <v>0.84722222222222221</v>
      </c>
      <c r="E35" s="110">
        <v>0.42499999999999999</v>
      </c>
      <c r="F35" t="s">
        <v>341</v>
      </c>
      <c r="G35">
        <v>9000</v>
      </c>
    </row>
    <row r="36" spans="2:7" x14ac:dyDescent="0.25">
      <c r="C36" t="s">
        <v>281</v>
      </c>
      <c r="D36" s="110">
        <v>0.84722222222222221</v>
      </c>
      <c r="E36" s="110">
        <v>0.42499999999999999</v>
      </c>
      <c r="F36" t="s">
        <v>341</v>
      </c>
      <c r="G36">
        <v>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F93"/>
  <sheetViews>
    <sheetView tabSelected="1" workbookViewId="0">
      <selection activeCell="O12" sqref="O12"/>
    </sheetView>
  </sheetViews>
  <sheetFormatPr defaultRowHeight="15" x14ac:dyDescent="0.25"/>
  <cols>
    <col min="1" max="1" width="18.85546875" customWidth="1"/>
    <col min="2" max="2" width="20.28515625" customWidth="1"/>
    <col min="3" max="3" width="22" customWidth="1"/>
    <col min="4" max="4" width="23.7109375" customWidth="1"/>
    <col min="5" max="5" width="15.42578125" customWidth="1"/>
    <col min="6" max="6" width="14.42578125" customWidth="1"/>
    <col min="7" max="7" width="16.42578125" customWidth="1"/>
    <col min="8" max="8" width="10.42578125" customWidth="1"/>
    <col min="9" max="9" width="9.5703125" customWidth="1"/>
    <col min="10" max="10" width="12" customWidth="1"/>
    <col min="11" max="11" width="14.85546875" style="110" customWidth="1"/>
    <col min="13" max="13" width="5" bestFit="1" customWidth="1"/>
    <col min="14" max="14" width="13" bestFit="1" customWidth="1"/>
    <col min="15" max="15" width="9.7109375" bestFit="1" customWidth="1"/>
    <col min="16" max="16" width="14.140625" bestFit="1" customWidth="1"/>
    <col min="17" max="17" width="12" bestFit="1" customWidth="1"/>
    <col min="18" max="18" width="9.42578125" bestFit="1" customWidth="1"/>
    <col min="19" max="19" width="10" bestFit="1" customWidth="1"/>
    <col min="20" max="20" width="12.28515625" bestFit="1" customWidth="1"/>
    <col min="21" max="21" width="18.42578125" bestFit="1" customWidth="1"/>
    <col min="22" max="22" width="26.5703125" bestFit="1" customWidth="1"/>
    <col min="23" max="23" width="23.7109375" bestFit="1" customWidth="1"/>
    <col min="24" max="24" width="22" bestFit="1" customWidth="1"/>
    <col min="25" max="25" width="23" bestFit="1" customWidth="1"/>
    <col min="26" max="26" width="20.5703125" bestFit="1" customWidth="1"/>
    <col min="27" max="27" width="25.85546875" bestFit="1" customWidth="1"/>
    <col min="28" max="28" width="14.85546875" bestFit="1" customWidth="1"/>
    <col min="29" max="29" width="10.5703125" bestFit="1" customWidth="1"/>
    <col min="30" max="30" width="20.5703125" bestFit="1" customWidth="1"/>
    <col min="31" max="31" width="25.85546875" bestFit="1" customWidth="1"/>
    <col min="32" max="32" width="11.7109375" bestFit="1" customWidth="1"/>
  </cols>
  <sheetData>
    <row r="2" spans="2:32" x14ac:dyDescent="0.25">
      <c r="B2" s="43" t="s">
        <v>390</v>
      </c>
      <c r="C2" s="43" t="s">
        <v>395</v>
      </c>
      <c r="D2" s="43" t="s">
        <v>389</v>
      </c>
      <c r="E2" s="43" t="s">
        <v>449</v>
      </c>
      <c r="F2" s="43" t="s">
        <v>450</v>
      </c>
      <c r="G2" s="43" t="s">
        <v>391</v>
      </c>
      <c r="H2" s="43" t="s">
        <v>451</v>
      </c>
      <c r="I2" s="43" t="s">
        <v>452</v>
      </c>
      <c r="J2" s="110" t="s">
        <v>453</v>
      </c>
      <c r="M2" s="43" t="s">
        <v>22</v>
      </c>
      <c r="N2" s="43" t="s">
        <v>29</v>
      </c>
      <c r="O2" s="43" t="s">
        <v>362</v>
      </c>
      <c r="P2" s="43" t="s">
        <v>32</v>
      </c>
      <c r="Q2" s="43" t="s">
        <v>363</v>
      </c>
      <c r="R2" s="43" t="s">
        <v>364</v>
      </c>
      <c r="S2" s="43" t="s">
        <v>365</v>
      </c>
      <c r="T2" s="43" t="s">
        <v>366</v>
      </c>
      <c r="U2" s="43" t="s">
        <v>393</v>
      </c>
      <c r="V2" s="43" t="s">
        <v>394</v>
      </c>
      <c r="W2" s="43" t="s">
        <v>389</v>
      </c>
      <c r="X2" s="43" t="s">
        <v>395</v>
      </c>
      <c r="Y2" s="43" t="s">
        <v>396</v>
      </c>
      <c r="Z2" s="43" t="s">
        <v>397</v>
      </c>
      <c r="AA2" s="43" t="s">
        <v>398</v>
      </c>
      <c r="AB2" s="110" t="s">
        <v>399</v>
      </c>
      <c r="AC2" s="43" t="s">
        <v>406</v>
      </c>
      <c r="AD2" s="43"/>
      <c r="AE2" s="43"/>
      <c r="AF2" s="43"/>
    </row>
    <row r="3" spans="2:32" x14ac:dyDescent="0.25">
      <c r="B3" s="2" t="s">
        <v>164</v>
      </c>
      <c r="C3" s="2" t="s">
        <v>243</v>
      </c>
      <c r="D3" s="2" t="s">
        <v>244</v>
      </c>
      <c r="E3" s="2">
        <v>2000</v>
      </c>
      <c r="F3" s="2">
        <v>3000</v>
      </c>
      <c r="G3" s="2">
        <v>5000</v>
      </c>
      <c r="H3" s="109">
        <v>9.0972222222222218E-2</v>
      </c>
      <c r="I3" s="109">
        <v>0.50347222222222221</v>
      </c>
      <c r="J3" s="109">
        <v>0.59444444444444444</v>
      </c>
      <c r="K3" s="109"/>
      <c r="M3" s="43">
        <v>91</v>
      </c>
      <c r="N3" s="111">
        <v>20</v>
      </c>
      <c r="O3" s="111">
        <v>28</v>
      </c>
      <c r="P3" s="111">
        <v>1</v>
      </c>
      <c r="Q3" s="111">
        <v>0.84722222222222221</v>
      </c>
      <c r="R3" s="112">
        <v>0.42499999999999999</v>
      </c>
      <c r="S3" s="112" t="s">
        <v>341</v>
      </c>
      <c r="T3" s="111">
        <v>9000</v>
      </c>
      <c r="U3" s="111" t="s">
        <v>171</v>
      </c>
      <c r="V3" s="111">
        <v>1</v>
      </c>
      <c r="W3" s="111" t="s">
        <v>270</v>
      </c>
      <c r="X3" s="111" t="s">
        <v>269</v>
      </c>
      <c r="Y3" s="111">
        <v>3</v>
      </c>
      <c r="Z3" s="111" t="s">
        <v>222</v>
      </c>
      <c r="AA3" s="111" t="s">
        <v>223</v>
      </c>
      <c r="AB3" s="112">
        <v>2.8402777777777777</v>
      </c>
      <c r="AC3" s="112">
        <v>1.2722222222222221</v>
      </c>
      <c r="AD3" s="43"/>
      <c r="AE3" s="43"/>
      <c r="AF3" s="47"/>
    </row>
    <row r="4" spans="2:32" x14ac:dyDescent="0.25">
      <c r="B4" s="2" t="s">
        <v>167</v>
      </c>
      <c r="C4" s="2" t="s">
        <v>269</v>
      </c>
      <c r="D4" s="2" t="s">
        <v>270</v>
      </c>
      <c r="E4" s="2">
        <v>3000</v>
      </c>
      <c r="F4" s="2">
        <v>0</v>
      </c>
      <c r="G4" s="2">
        <v>3000</v>
      </c>
      <c r="H4" s="109">
        <v>0.18055555555555555</v>
      </c>
      <c r="I4" s="109">
        <v>0</v>
      </c>
      <c r="J4" s="109">
        <v>0.18055555555555555</v>
      </c>
      <c r="K4" s="109"/>
      <c r="M4" s="43">
        <v>101</v>
      </c>
      <c r="N4" s="111">
        <v>20</v>
      </c>
      <c r="O4" s="111">
        <v>10</v>
      </c>
      <c r="P4" s="111">
        <v>1</v>
      </c>
      <c r="Q4" s="111">
        <v>0.84722222222222221</v>
      </c>
      <c r="R4" s="112">
        <v>0.42499999999999999</v>
      </c>
      <c r="S4" s="112" t="s">
        <v>341</v>
      </c>
      <c r="T4" s="111">
        <v>9000</v>
      </c>
      <c r="U4" s="111" t="s">
        <v>170</v>
      </c>
      <c r="V4" s="111">
        <v>1</v>
      </c>
      <c r="W4" s="111" t="s">
        <v>270</v>
      </c>
      <c r="X4" s="111" t="s">
        <v>269</v>
      </c>
      <c r="Y4" s="111">
        <v>3</v>
      </c>
      <c r="Z4" s="111" t="s">
        <v>222</v>
      </c>
      <c r="AA4" s="111" t="s">
        <v>223</v>
      </c>
      <c r="AB4" s="112">
        <v>2.8402777777777777</v>
      </c>
      <c r="AC4" s="112">
        <v>1.2722222222222221</v>
      </c>
      <c r="AD4" s="43"/>
      <c r="AE4" s="43"/>
      <c r="AF4" s="47"/>
    </row>
    <row r="5" spans="2:32" x14ac:dyDescent="0.25">
      <c r="B5" s="2" t="s">
        <v>171</v>
      </c>
      <c r="C5" s="2" t="s">
        <v>269</v>
      </c>
      <c r="D5" s="2" t="s">
        <v>270</v>
      </c>
      <c r="E5" s="2">
        <v>0</v>
      </c>
      <c r="F5" s="2">
        <v>234</v>
      </c>
      <c r="G5" s="2">
        <v>234</v>
      </c>
      <c r="H5" s="109">
        <v>0</v>
      </c>
      <c r="I5" s="109">
        <v>0.1701388888888889</v>
      </c>
      <c r="J5" s="109">
        <v>0.1701388888888889</v>
      </c>
      <c r="K5" s="109"/>
      <c r="M5" s="43">
        <v>111</v>
      </c>
      <c r="N5" s="111">
        <v>20</v>
      </c>
      <c r="O5" s="111">
        <v>9</v>
      </c>
      <c r="P5" s="111">
        <v>1</v>
      </c>
      <c r="Q5" s="111">
        <v>0.84722222222222221</v>
      </c>
      <c r="R5" s="112">
        <v>0.42499999999999999</v>
      </c>
      <c r="S5" s="112" t="s">
        <v>341</v>
      </c>
      <c r="T5" s="111">
        <v>9000</v>
      </c>
      <c r="U5" s="111" t="s">
        <v>169</v>
      </c>
      <c r="V5" s="111">
        <v>1</v>
      </c>
      <c r="W5" s="111" t="s">
        <v>270</v>
      </c>
      <c r="X5" s="111" t="s">
        <v>269</v>
      </c>
      <c r="Y5" s="111">
        <v>3</v>
      </c>
      <c r="Z5" s="111" t="s">
        <v>222</v>
      </c>
      <c r="AA5" s="111" t="s">
        <v>223</v>
      </c>
      <c r="AB5" s="112">
        <v>2.8402777777777777</v>
      </c>
      <c r="AC5" s="112">
        <v>1.2722222222222221</v>
      </c>
      <c r="AD5" s="43"/>
      <c r="AE5" s="43"/>
      <c r="AF5" s="47"/>
    </row>
    <row r="6" spans="2:32" x14ac:dyDescent="0.25">
      <c r="B6" s="2" t="s">
        <v>164</v>
      </c>
      <c r="C6" s="2" t="s">
        <v>272</v>
      </c>
      <c r="D6" s="2" t="s">
        <v>272</v>
      </c>
      <c r="E6" s="2">
        <v>3399</v>
      </c>
      <c r="F6" s="2">
        <v>0</v>
      </c>
      <c r="G6" s="2">
        <v>3399</v>
      </c>
      <c r="H6" s="109">
        <v>0.22361111111111112</v>
      </c>
      <c r="I6" s="109">
        <v>0</v>
      </c>
      <c r="J6" s="109">
        <v>0.22361111111111112</v>
      </c>
      <c r="K6" s="109"/>
      <c r="M6" s="43">
        <v>121</v>
      </c>
      <c r="N6" s="111">
        <v>20</v>
      </c>
      <c r="O6" s="111">
        <v>8</v>
      </c>
      <c r="P6" s="111">
        <v>1</v>
      </c>
      <c r="Q6" s="111">
        <v>0.84722222222222221</v>
      </c>
      <c r="R6" s="112">
        <v>0.42499999999999999</v>
      </c>
      <c r="S6" s="112" t="s">
        <v>341</v>
      </c>
      <c r="T6" s="111">
        <v>9000</v>
      </c>
      <c r="U6" s="111" t="s">
        <v>168</v>
      </c>
      <c r="V6" s="111">
        <v>1</v>
      </c>
      <c r="W6" s="111" t="s">
        <v>270</v>
      </c>
      <c r="X6" s="111" t="s">
        <v>269</v>
      </c>
      <c r="Y6" s="111">
        <v>3</v>
      </c>
      <c r="Z6" s="111" t="s">
        <v>222</v>
      </c>
      <c r="AA6" s="111" t="s">
        <v>223</v>
      </c>
      <c r="AB6" s="112">
        <v>2.8402777777777777</v>
      </c>
      <c r="AC6" s="112">
        <v>1.2722222222222221</v>
      </c>
      <c r="AD6" s="43"/>
      <c r="AE6" s="43"/>
      <c r="AF6" s="47"/>
    </row>
    <row r="7" spans="2:32" x14ac:dyDescent="0.25">
      <c r="B7" s="2" t="s">
        <v>165</v>
      </c>
      <c r="C7" s="2" t="s">
        <v>272</v>
      </c>
      <c r="D7" s="2" t="s">
        <v>272</v>
      </c>
      <c r="E7" s="2">
        <v>0</v>
      </c>
      <c r="F7" s="2">
        <v>3000</v>
      </c>
      <c r="G7" s="2">
        <v>3000</v>
      </c>
      <c r="H7" s="109">
        <v>0</v>
      </c>
      <c r="I7" s="109">
        <v>0.12083333333333333</v>
      </c>
      <c r="J7" s="109">
        <v>0.12083333333333333</v>
      </c>
      <c r="K7" s="109"/>
      <c r="M7" s="43">
        <v>131</v>
      </c>
      <c r="N7" s="111">
        <v>20</v>
      </c>
      <c r="O7" s="111">
        <v>6</v>
      </c>
      <c r="P7" s="111">
        <v>1</v>
      </c>
      <c r="Q7" s="111">
        <v>0.84722222222222221</v>
      </c>
      <c r="R7" s="112">
        <v>0.42499999999999999</v>
      </c>
      <c r="S7" s="112" t="s">
        <v>341</v>
      </c>
      <c r="T7" s="111">
        <v>9000</v>
      </c>
      <c r="U7" s="111" t="s">
        <v>167</v>
      </c>
      <c r="V7" s="111">
        <v>1</v>
      </c>
      <c r="W7" s="111" t="s">
        <v>270</v>
      </c>
      <c r="X7" s="111" t="s">
        <v>269</v>
      </c>
      <c r="Y7" s="111">
        <v>3</v>
      </c>
      <c r="Z7" s="111" t="s">
        <v>222</v>
      </c>
      <c r="AA7" s="111" t="s">
        <v>223</v>
      </c>
      <c r="AB7" s="112">
        <v>2.8402777777777777</v>
      </c>
      <c r="AC7" s="112">
        <v>1.2722222222222221</v>
      </c>
      <c r="AD7" s="43"/>
      <c r="AE7" s="43"/>
      <c r="AF7" s="47"/>
    </row>
    <row r="8" spans="2:32" x14ac:dyDescent="0.25">
      <c r="B8" s="2" t="s">
        <v>164</v>
      </c>
      <c r="C8" s="2" t="s">
        <v>272</v>
      </c>
      <c r="D8" s="2" t="s">
        <v>280</v>
      </c>
      <c r="E8" s="2">
        <v>0</v>
      </c>
      <c r="F8" s="2">
        <v>4888</v>
      </c>
      <c r="G8" s="2">
        <v>4888</v>
      </c>
      <c r="H8" s="109">
        <v>0</v>
      </c>
      <c r="I8" s="109">
        <v>0.14097222222222222</v>
      </c>
      <c r="J8" s="109">
        <v>0.14097222222222222</v>
      </c>
      <c r="K8" s="109"/>
      <c r="M8" s="43">
        <v>92</v>
      </c>
      <c r="N8" s="111">
        <v>20</v>
      </c>
      <c r="O8" s="111">
        <v>28</v>
      </c>
      <c r="P8" s="111">
        <v>2</v>
      </c>
      <c r="Q8" s="111">
        <v>0.84722222222222221</v>
      </c>
      <c r="R8" s="112">
        <v>0.42499999999999999</v>
      </c>
      <c r="S8" s="112" t="s">
        <v>341</v>
      </c>
      <c r="T8" s="111">
        <v>9000</v>
      </c>
      <c r="U8" s="111" t="s">
        <v>171</v>
      </c>
      <c r="V8" s="111">
        <v>2</v>
      </c>
      <c r="W8" s="111" t="s">
        <v>271</v>
      </c>
      <c r="X8" s="111" t="s">
        <v>271</v>
      </c>
      <c r="Y8" s="111">
        <v>3</v>
      </c>
      <c r="Z8" s="111" t="s">
        <v>222</v>
      </c>
      <c r="AA8" s="111" t="s">
        <v>223</v>
      </c>
      <c r="AB8" s="112">
        <v>2.8402777777777777</v>
      </c>
      <c r="AC8" s="112">
        <v>1.2722222222222221</v>
      </c>
      <c r="AD8" s="43"/>
      <c r="AE8" s="43"/>
      <c r="AF8" s="47"/>
    </row>
    <row r="9" spans="2:32" x14ac:dyDescent="0.25">
      <c r="B9" s="2" t="s">
        <v>165</v>
      </c>
      <c r="C9" s="2" t="s">
        <v>272</v>
      </c>
      <c r="D9" s="2" t="s">
        <v>277</v>
      </c>
      <c r="E9" s="2">
        <v>4344</v>
      </c>
      <c r="F9" s="2">
        <v>0</v>
      </c>
      <c r="G9" s="2">
        <v>4344</v>
      </c>
      <c r="H9" s="109">
        <v>8.5416666666666669E-2</v>
      </c>
      <c r="I9" s="109">
        <v>0</v>
      </c>
      <c r="J9" s="109">
        <v>8.5416666666666669E-2</v>
      </c>
      <c r="K9" s="109"/>
      <c r="M9" s="43">
        <v>102</v>
      </c>
      <c r="N9" s="111">
        <v>20</v>
      </c>
      <c r="O9" s="111">
        <v>10</v>
      </c>
      <c r="P9" s="111">
        <v>2</v>
      </c>
      <c r="Q9" s="111">
        <v>0.84722222222222221</v>
      </c>
      <c r="R9" s="112">
        <v>0.42499999999999999</v>
      </c>
      <c r="S9" s="112" t="s">
        <v>341</v>
      </c>
      <c r="T9" s="111">
        <v>9000</v>
      </c>
      <c r="U9" s="111" t="s">
        <v>170</v>
      </c>
      <c r="V9" s="111">
        <v>2</v>
      </c>
      <c r="W9" s="111" t="s">
        <v>271</v>
      </c>
      <c r="X9" s="111" t="s">
        <v>271</v>
      </c>
      <c r="Y9" s="111">
        <v>3</v>
      </c>
      <c r="Z9" s="111" t="s">
        <v>222</v>
      </c>
      <c r="AA9" s="111" t="s">
        <v>223</v>
      </c>
      <c r="AB9" s="112">
        <v>2.8402777777777777</v>
      </c>
      <c r="AC9" s="112">
        <v>1.2722222222222221</v>
      </c>
      <c r="AD9" s="43"/>
      <c r="AE9" s="43"/>
      <c r="AF9" s="47"/>
    </row>
    <row r="10" spans="2:32" x14ac:dyDescent="0.25">
      <c r="B10" s="2" t="s">
        <v>171</v>
      </c>
      <c r="C10" s="2" t="s">
        <v>272</v>
      </c>
      <c r="D10" s="2" t="s">
        <v>277</v>
      </c>
      <c r="E10" s="2">
        <v>0</v>
      </c>
      <c r="F10" s="2">
        <v>3000</v>
      </c>
      <c r="G10" s="2">
        <v>3000</v>
      </c>
      <c r="H10" s="109">
        <v>0</v>
      </c>
      <c r="I10" s="109">
        <v>0.5229166666666667</v>
      </c>
      <c r="J10" s="109">
        <v>0.5229166666666667</v>
      </c>
      <c r="K10" s="109"/>
      <c r="M10" s="43">
        <v>112</v>
      </c>
      <c r="N10" s="111">
        <v>20</v>
      </c>
      <c r="O10" s="111">
        <v>9</v>
      </c>
      <c r="P10" s="111">
        <v>2</v>
      </c>
      <c r="Q10" s="111">
        <v>0.84722222222222221</v>
      </c>
      <c r="R10" s="112">
        <v>0.42499999999999999</v>
      </c>
      <c r="S10" s="112" t="s">
        <v>341</v>
      </c>
      <c r="T10" s="111">
        <v>9000</v>
      </c>
      <c r="U10" s="111" t="s">
        <v>169</v>
      </c>
      <c r="V10" s="111">
        <v>2</v>
      </c>
      <c r="W10" s="111" t="s">
        <v>271</v>
      </c>
      <c r="X10" s="111" t="s">
        <v>271</v>
      </c>
      <c r="Y10" s="111">
        <v>3</v>
      </c>
      <c r="Z10" s="111" t="s">
        <v>222</v>
      </c>
      <c r="AA10" s="111" t="s">
        <v>223</v>
      </c>
      <c r="AB10" s="112">
        <v>2.8402777777777777</v>
      </c>
      <c r="AC10" s="112">
        <v>1.2722222222222221</v>
      </c>
      <c r="AD10" s="43"/>
      <c r="AE10" s="43"/>
      <c r="AF10" s="47"/>
    </row>
    <row r="11" spans="2:32" x14ac:dyDescent="0.25">
      <c r="B11" s="2"/>
      <c r="C11" s="2"/>
      <c r="D11" s="2"/>
      <c r="E11" s="2"/>
      <c r="F11" s="2"/>
      <c r="G11" s="2"/>
      <c r="H11" s="2"/>
      <c r="I11" s="2"/>
      <c r="J11" s="2"/>
      <c r="K11" s="109"/>
      <c r="M11" s="43">
        <v>122</v>
      </c>
      <c r="N11" s="111">
        <v>20</v>
      </c>
      <c r="O11" s="111">
        <v>8</v>
      </c>
      <c r="P11" s="111">
        <v>2</v>
      </c>
      <c r="Q11" s="111">
        <v>0.84722222222222221</v>
      </c>
      <c r="R11" s="112">
        <v>0.42499999999999999</v>
      </c>
      <c r="S11" s="112" t="s">
        <v>341</v>
      </c>
      <c r="T11" s="111">
        <v>9000</v>
      </c>
      <c r="U11" s="111" t="s">
        <v>168</v>
      </c>
      <c r="V11" s="111">
        <v>2</v>
      </c>
      <c r="W11" s="111" t="s">
        <v>271</v>
      </c>
      <c r="X11" s="111" t="s">
        <v>271</v>
      </c>
      <c r="Y11" s="111">
        <v>3</v>
      </c>
      <c r="Z11" s="111" t="s">
        <v>222</v>
      </c>
      <c r="AA11" s="111" t="s">
        <v>223</v>
      </c>
      <c r="AB11" s="112">
        <v>2.8402777777777777</v>
      </c>
      <c r="AC11" s="112">
        <v>1.2722222222222221</v>
      </c>
      <c r="AD11" s="43"/>
      <c r="AE11" s="43"/>
      <c r="AF11" s="47"/>
    </row>
    <row r="12" spans="2:32" x14ac:dyDescent="0.25">
      <c r="B12" s="2"/>
      <c r="C12" s="2"/>
      <c r="D12" s="2"/>
      <c r="E12" s="2"/>
      <c r="F12" s="2"/>
      <c r="G12" s="2"/>
      <c r="H12" s="2"/>
      <c r="I12" s="2"/>
      <c r="J12" s="2"/>
      <c r="K12" s="109"/>
      <c r="M12" s="43">
        <v>132</v>
      </c>
      <c r="N12" s="111">
        <v>20</v>
      </c>
      <c r="O12" s="111">
        <v>6</v>
      </c>
      <c r="P12" s="111">
        <v>2</v>
      </c>
      <c r="Q12" s="111">
        <v>0.84722222222222221</v>
      </c>
      <c r="R12" s="112">
        <v>0.42499999999999999</v>
      </c>
      <c r="S12" s="112" t="s">
        <v>341</v>
      </c>
      <c r="T12" s="111">
        <v>9000</v>
      </c>
      <c r="U12" s="111" t="s">
        <v>167</v>
      </c>
      <c r="V12" s="111">
        <v>2</v>
      </c>
      <c r="W12" s="111" t="s">
        <v>271</v>
      </c>
      <c r="X12" s="111" t="s">
        <v>271</v>
      </c>
      <c r="Y12" s="111">
        <v>3</v>
      </c>
      <c r="Z12" s="111" t="s">
        <v>222</v>
      </c>
      <c r="AA12" s="111" t="s">
        <v>223</v>
      </c>
      <c r="AB12" s="112">
        <v>2.8402777777777777</v>
      </c>
      <c r="AC12" s="112">
        <v>1.2722222222222221</v>
      </c>
      <c r="AD12" s="43"/>
      <c r="AE12" s="43"/>
      <c r="AF12" s="47"/>
    </row>
    <row r="13" spans="2:32" x14ac:dyDescent="0.25">
      <c r="M13" s="43">
        <v>95</v>
      </c>
      <c r="N13" s="111">
        <v>20</v>
      </c>
      <c r="O13" s="111">
        <v>28</v>
      </c>
      <c r="P13" s="111">
        <v>9</v>
      </c>
      <c r="Q13" s="111">
        <v>0.84722222222222221</v>
      </c>
      <c r="R13" s="112">
        <v>0.42499999999999999</v>
      </c>
      <c r="S13" s="112" t="s">
        <v>341</v>
      </c>
      <c r="T13" s="111">
        <v>9000</v>
      </c>
      <c r="U13" s="111" t="s">
        <v>171</v>
      </c>
      <c r="V13" s="111">
        <v>11</v>
      </c>
      <c r="W13" s="111" t="s">
        <v>282</v>
      </c>
      <c r="X13" s="111" t="s">
        <v>243</v>
      </c>
      <c r="Y13" s="111">
        <v>3</v>
      </c>
      <c r="Z13" s="111" t="s">
        <v>222</v>
      </c>
      <c r="AA13" s="111" t="s">
        <v>223</v>
      </c>
      <c r="AB13" s="112">
        <v>2.8402777777777777</v>
      </c>
      <c r="AC13" s="112">
        <v>1.2722222222222221</v>
      </c>
      <c r="AD13" s="43"/>
      <c r="AE13" s="43"/>
      <c r="AF13" s="47"/>
    </row>
    <row r="14" spans="2:32" x14ac:dyDescent="0.25">
      <c r="M14" s="43">
        <v>96</v>
      </c>
      <c r="N14" s="111">
        <v>20</v>
      </c>
      <c r="O14" s="111">
        <v>28</v>
      </c>
      <c r="P14" s="111">
        <v>9</v>
      </c>
      <c r="Q14" s="111">
        <v>0.84722222222222221</v>
      </c>
      <c r="R14" s="112">
        <v>0.42499999999999999</v>
      </c>
      <c r="S14" s="112" t="s">
        <v>341</v>
      </c>
      <c r="T14" s="111">
        <v>9000</v>
      </c>
      <c r="U14" s="111" t="s">
        <v>171</v>
      </c>
      <c r="V14" s="111">
        <v>11</v>
      </c>
      <c r="W14" s="111" t="s">
        <v>282</v>
      </c>
      <c r="X14" s="111" t="s">
        <v>243</v>
      </c>
      <c r="Y14" s="111">
        <v>3</v>
      </c>
      <c r="Z14" s="111" t="s">
        <v>222</v>
      </c>
      <c r="AA14" s="111" t="s">
        <v>223</v>
      </c>
      <c r="AB14" s="112">
        <v>2.8402777777777777</v>
      </c>
      <c r="AC14" s="112">
        <v>1.2722222222222221</v>
      </c>
      <c r="AD14" s="43"/>
      <c r="AE14" s="43"/>
      <c r="AF14" s="47"/>
    </row>
    <row r="15" spans="2:32" x14ac:dyDescent="0.25">
      <c r="M15" s="43">
        <v>105</v>
      </c>
      <c r="N15" s="111">
        <v>20</v>
      </c>
      <c r="O15" s="111">
        <v>10</v>
      </c>
      <c r="P15" s="111">
        <v>9</v>
      </c>
      <c r="Q15" s="111">
        <v>0.84722222222222221</v>
      </c>
      <c r="R15" s="112">
        <v>0.42499999999999999</v>
      </c>
      <c r="S15" s="112" t="s">
        <v>341</v>
      </c>
      <c r="T15" s="111">
        <v>9000</v>
      </c>
      <c r="U15" s="111" t="s">
        <v>170</v>
      </c>
      <c r="V15" s="111">
        <v>11</v>
      </c>
      <c r="W15" s="111" t="s">
        <v>282</v>
      </c>
      <c r="X15" s="111" t="s">
        <v>243</v>
      </c>
      <c r="Y15" s="111">
        <v>3</v>
      </c>
      <c r="Z15" s="111" t="s">
        <v>222</v>
      </c>
      <c r="AA15" s="111" t="s">
        <v>223</v>
      </c>
      <c r="AB15" s="112">
        <v>2.8402777777777777</v>
      </c>
      <c r="AC15" s="112">
        <v>1.2722222222222221</v>
      </c>
      <c r="AD15" s="43"/>
      <c r="AE15" s="43"/>
      <c r="AF15" s="47"/>
    </row>
    <row r="16" spans="2:32" x14ac:dyDescent="0.25">
      <c r="M16" s="43">
        <v>106</v>
      </c>
      <c r="N16" s="111">
        <v>20</v>
      </c>
      <c r="O16" s="111">
        <v>10</v>
      </c>
      <c r="P16" s="111">
        <v>9</v>
      </c>
      <c r="Q16" s="111">
        <v>0.84722222222222221</v>
      </c>
      <c r="R16" s="112">
        <v>0.42499999999999999</v>
      </c>
      <c r="S16" s="112" t="s">
        <v>341</v>
      </c>
      <c r="T16" s="111">
        <v>9000</v>
      </c>
      <c r="U16" s="111" t="s">
        <v>170</v>
      </c>
      <c r="V16" s="111">
        <v>11</v>
      </c>
      <c r="W16" s="111" t="s">
        <v>282</v>
      </c>
      <c r="X16" s="111" t="s">
        <v>243</v>
      </c>
      <c r="Y16" s="111">
        <v>3</v>
      </c>
      <c r="Z16" s="111" t="s">
        <v>222</v>
      </c>
      <c r="AA16" s="111" t="s">
        <v>223</v>
      </c>
      <c r="AB16" s="112">
        <v>2.8402777777777777</v>
      </c>
      <c r="AC16" s="112">
        <v>1.2722222222222221</v>
      </c>
      <c r="AD16" s="43"/>
      <c r="AE16" s="43"/>
      <c r="AF16" s="47"/>
    </row>
    <row r="17" spans="13:32" x14ac:dyDescent="0.25">
      <c r="M17" s="43">
        <v>115</v>
      </c>
      <c r="N17" s="111">
        <v>20</v>
      </c>
      <c r="O17" s="111">
        <v>9</v>
      </c>
      <c r="P17" s="111">
        <v>9</v>
      </c>
      <c r="Q17" s="111">
        <v>0.84722222222222221</v>
      </c>
      <c r="R17" s="112">
        <v>0.42499999999999999</v>
      </c>
      <c r="S17" s="112" t="s">
        <v>341</v>
      </c>
      <c r="T17" s="111">
        <v>9000</v>
      </c>
      <c r="U17" s="111" t="s">
        <v>169</v>
      </c>
      <c r="V17" s="111">
        <v>11</v>
      </c>
      <c r="W17" s="111" t="s">
        <v>282</v>
      </c>
      <c r="X17" s="111" t="s">
        <v>243</v>
      </c>
      <c r="Y17" s="111">
        <v>3</v>
      </c>
      <c r="Z17" s="111" t="s">
        <v>222</v>
      </c>
      <c r="AA17" s="111" t="s">
        <v>223</v>
      </c>
      <c r="AB17" s="112">
        <v>2.8402777777777777</v>
      </c>
      <c r="AC17" s="112">
        <v>1.2722222222222221</v>
      </c>
      <c r="AD17" s="43"/>
      <c r="AE17" s="43"/>
      <c r="AF17" s="47"/>
    </row>
    <row r="18" spans="13:32" x14ac:dyDescent="0.25">
      <c r="M18" s="43">
        <v>116</v>
      </c>
      <c r="N18" s="111">
        <v>20</v>
      </c>
      <c r="O18" s="111">
        <v>9</v>
      </c>
      <c r="P18" s="111">
        <v>9</v>
      </c>
      <c r="Q18" s="111">
        <v>0.84722222222222221</v>
      </c>
      <c r="R18" s="112">
        <v>0.42499999999999999</v>
      </c>
      <c r="S18" s="112" t="s">
        <v>341</v>
      </c>
      <c r="T18" s="111">
        <v>9000</v>
      </c>
      <c r="U18" s="111" t="s">
        <v>169</v>
      </c>
      <c r="V18" s="111">
        <v>11</v>
      </c>
      <c r="W18" s="111" t="s">
        <v>282</v>
      </c>
      <c r="X18" s="111" t="s">
        <v>243</v>
      </c>
      <c r="Y18" s="111">
        <v>3</v>
      </c>
      <c r="Z18" s="111" t="s">
        <v>222</v>
      </c>
      <c r="AA18" s="111" t="s">
        <v>223</v>
      </c>
      <c r="AB18" s="112">
        <v>2.8402777777777777</v>
      </c>
      <c r="AC18" s="112">
        <v>1.2722222222222221</v>
      </c>
      <c r="AD18" s="43"/>
      <c r="AE18" s="43"/>
      <c r="AF18" s="47"/>
    </row>
    <row r="19" spans="13:32" x14ac:dyDescent="0.25">
      <c r="M19" s="43">
        <v>125</v>
      </c>
      <c r="N19" s="111">
        <v>20</v>
      </c>
      <c r="O19" s="111">
        <v>8</v>
      </c>
      <c r="P19" s="111">
        <v>9</v>
      </c>
      <c r="Q19" s="111">
        <v>0.84722222222222221</v>
      </c>
      <c r="R19" s="112">
        <v>0.42499999999999999</v>
      </c>
      <c r="S19" s="112" t="s">
        <v>341</v>
      </c>
      <c r="T19" s="111">
        <v>9000</v>
      </c>
      <c r="U19" s="111" t="s">
        <v>168</v>
      </c>
      <c r="V19" s="111">
        <v>11</v>
      </c>
      <c r="W19" s="111" t="s">
        <v>282</v>
      </c>
      <c r="X19" s="111" t="s">
        <v>243</v>
      </c>
      <c r="Y19" s="111">
        <v>3</v>
      </c>
      <c r="Z19" s="111" t="s">
        <v>222</v>
      </c>
      <c r="AA19" s="111" t="s">
        <v>223</v>
      </c>
      <c r="AB19" s="112">
        <v>2.8402777777777777</v>
      </c>
      <c r="AC19" s="112">
        <v>1.2722222222222221</v>
      </c>
      <c r="AD19" s="43"/>
      <c r="AE19" s="43"/>
      <c r="AF19" s="47"/>
    </row>
    <row r="20" spans="13:32" x14ac:dyDescent="0.25">
      <c r="M20" s="43">
        <v>126</v>
      </c>
      <c r="N20" s="111">
        <v>20</v>
      </c>
      <c r="O20" s="111">
        <v>8</v>
      </c>
      <c r="P20" s="111">
        <v>9</v>
      </c>
      <c r="Q20" s="111">
        <v>0.84722222222222221</v>
      </c>
      <c r="R20" s="112">
        <v>0.42499999999999999</v>
      </c>
      <c r="S20" s="112" t="s">
        <v>341</v>
      </c>
      <c r="T20" s="111">
        <v>9000</v>
      </c>
      <c r="U20" s="111" t="s">
        <v>168</v>
      </c>
      <c r="V20" s="111">
        <v>11</v>
      </c>
      <c r="W20" s="111" t="s">
        <v>282</v>
      </c>
      <c r="X20" s="111" t="s">
        <v>243</v>
      </c>
      <c r="Y20" s="111">
        <v>3</v>
      </c>
      <c r="Z20" s="111" t="s">
        <v>222</v>
      </c>
      <c r="AA20" s="111" t="s">
        <v>223</v>
      </c>
      <c r="AB20" s="112">
        <v>2.8402777777777777</v>
      </c>
      <c r="AC20" s="112">
        <v>1.2722222222222221</v>
      </c>
      <c r="AD20" s="43"/>
      <c r="AE20" s="43"/>
      <c r="AF20" s="47"/>
    </row>
    <row r="21" spans="13:32" x14ac:dyDescent="0.25">
      <c r="M21" s="43">
        <v>135</v>
      </c>
      <c r="N21" s="111">
        <v>20</v>
      </c>
      <c r="O21" s="111">
        <v>6</v>
      </c>
      <c r="P21" s="111">
        <v>9</v>
      </c>
      <c r="Q21" s="111">
        <v>0.84722222222222221</v>
      </c>
      <c r="R21" s="112">
        <v>0.42499999999999999</v>
      </c>
      <c r="S21" s="112" t="s">
        <v>341</v>
      </c>
      <c r="T21" s="111">
        <v>9000</v>
      </c>
      <c r="U21" s="111" t="s">
        <v>167</v>
      </c>
      <c r="V21" s="111">
        <v>11</v>
      </c>
      <c r="W21" s="111" t="s">
        <v>282</v>
      </c>
      <c r="X21" s="111" t="s">
        <v>243</v>
      </c>
      <c r="Y21" s="111">
        <v>3</v>
      </c>
      <c r="Z21" s="111" t="s">
        <v>222</v>
      </c>
      <c r="AA21" s="111" t="s">
        <v>223</v>
      </c>
      <c r="AB21" s="112">
        <v>2.8402777777777777</v>
      </c>
      <c r="AC21" s="112">
        <v>1.2722222222222221</v>
      </c>
      <c r="AD21" s="43"/>
      <c r="AE21" s="43"/>
      <c r="AF21" s="47"/>
    </row>
    <row r="22" spans="13:32" x14ac:dyDescent="0.25">
      <c r="M22" s="43">
        <v>136</v>
      </c>
      <c r="N22" s="111">
        <v>20</v>
      </c>
      <c r="O22" s="111">
        <v>6</v>
      </c>
      <c r="P22" s="111">
        <v>9</v>
      </c>
      <c r="Q22" s="111">
        <v>0.84722222222222221</v>
      </c>
      <c r="R22" s="112">
        <v>0.42499999999999999</v>
      </c>
      <c r="S22" s="112" t="s">
        <v>341</v>
      </c>
      <c r="T22" s="111">
        <v>9000</v>
      </c>
      <c r="U22" s="111" t="s">
        <v>167</v>
      </c>
      <c r="V22" s="111">
        <v>11</v>
      </c>
      <c r="W22" s="111" t="s">
        <v>282</v>
      </c>
      <c r="X22" s="111" t="s">
        <v>243</v>
      </c>
      <c r="Y22" s="111">
        <v>3</v>
      </c>
      <c r="Z22" s="111" t="s">
        <v>222</v>
      </c>
      <c r="AA22" s="111" t="s">
        <v>223</v>
      </c>
      <c r="AB22" s="112">
        <v>2.8402777777777777</v>
      </c>
      <c r="AC22" s="112">
        <v>1.2722222222222221</v>
      </c>
      <c r="AD22" s="43"/>
      <c r="AE22" s="43"/>
      <c r="AF22" s="47"/>
    </row>
    <row r="23" spans="13:32" x14ac:dyDescent="0.25">
      <c r="M23" s="43">
        <v>93</v>
      </c>
      <c r="N23" s="111">
        <v>20</v>
      </c>
      <c r="O23" s="111">
        <v>28</v>
      </c>
      <c r="P23" s="111">
        <v>6</v>
      </c>
      <c r="Q23" s="111">
        <v>0.84722222222222221</v>
      </c>
      <c r="R23" s="112">
        <v>0.42499999999999999</v>
      </c>
      <c r="S23" s="112" t="s">
        <v>341</v>
      </c>
      <c r="T23" s="111">
        <v>9000</v>
      </c>
      <c r="U23" s="111" t="s">
        <v>171</v>
      </c>
      <c r="V23" s="111">
        <v>9</v>
      </c>
      <c r="W23" s="111" t="s">
        <v>280</v>
      </c>
      <c r="X23" s="111" t="s">
        <v>272</v>
      </c>
      <c r="Y23" s="111">
        <v>3</v>
      </c>
      <c r="Z23" s="111" t="s">
        <v>222</v>
      </c>
      <c r="AA23" s="111" t="s">
        <v>223</v>
      </c>
      <c r="AB23" s="112">
        <v>2.8402777777777777</v>
      </c>
      <c r="AC23" s="112">
        <v>1.2722222222222221</v>
      </c>
      <c r="AD23" s="43"/>
      <c r="AE23" s="43"/>
      <c r="AF23" s="47"/>
    </row>
    <row r="24" spans="13:32" x14ac:dyDescent="0.25">
      <c r="M24" s="43">
        <v>94</v>
      </c>
      <c r="N24" s="111">
        <v>20</v>
      </c>
      <c r="O24" s="111">
        <v>28</v>
      </c>
      <c r="P24" s="111">
        <v>6</v>
      </c>
      <c r="Q24" s="111">
        <v>0.84722222222222221</v>
      </c>
      <c r="R24" s="112">
        <v>0.42499999999999999</v>
      </c>
      <c r="S24" s="112" t="s">
        <v>341</v>
      </c>
      <c r="T24" s="111">
        <v>9000</v>
      </c>
      <c r="U24" s="111" t="s">
        <v>171</v>
      </c>
      <c r="V24" s="111">
        <v>9</v>
      </c>
      <c r="W24" s="111" t="s">
        <v>280</v>
      </c>
      <c r="X24" s="111" t="s">
        <v>272</v>
      </c>
      <c r="Y24" s="111">
        <v>3</v>
      </c>
      <c r="Z24" s="111" t="s">
        <v>222</v>
      </c>
      <c r="AA24" s="111" t="s">
        <v>223</v>
      </c>
      <c r="AB24" s="112">
        <v>2.8402777777777777</v>
      </c>
      <c r="AC24" s="112">
        <v>1.2722222222222221</v>
      </c>
      <c r="AD24" s="43"/>
      <c r="AE24" s="43"/>
      <c r="AF24" s="47"/>
    </row>
    <row r="25" spans="13:32" x14ac:dyDescent="0.25">
      <c r="M25" s="43">
        <v>103</v>
      </c>
      <c r="N25" s="111">
        <v>20</v>
      </c>
      <c r="O25" s="111">
        <v>10</v>
      </c>
      <c r="P25" s="111">
        <v>6</v>
      </c>
      <c r="Q25" s="111">
        <v>0.84722222222222221</v>
      </c>
      <c r="R25" s="112">
        <v>0.42499999999999999</v>
      </c>
      <c r="S25" s="112" t="s">
        <v>341</v>
      </c>
      <c r="T25" s="111">
        <v>9000</v>
      </c>
      <c r="U25" s="111" t="s">
        <v>170</v>
      </c>
      <c r="V25" s="111">
        <v>9</v>
      </c>
      <c r="W25" s="111" t="s">
        <v>280</v>
      </c>
      <c r="X25" s="111" t="s">
        <v>272</v>
      </c>
      <c r="Y25" s="111">
        <v>3</v>
      </c>
      <c r="Z25" s="111" t="s">
        <v>222</v>
      </c>
      <c r="AA25" s="111" t="s">
        <v>223</v>
      </c>
      <c r="AB25" s="112">
        <v>2.8402777777777777</v>
      </c>
      <c r="AC25" s="112">
        <v>1.2722222222222221</v>
      </c>
      <c r="AD25" s="43"/>
      <c r="AE25" s="43"/>
      <c r="AF25" s="47"/>
    </row>
    <row r="26" spans="13:32" x14ac:dyDescent="0.25">
      <c r="M26" s="43">
        <v>104</v>
      </c>
      <c r="N26" s="111">
        <v>20</v>
      </c>
      <c r="O26" s="111">
        <v>10</v>
      </c>
      <c r="P26" s="111">
        <v>6</v>
      </c>
      <c r="Q26" s="111">
        <v>0.84722222222222221</v>
      </c>
      <c r="R26" s="112">
        <v>0.42499999999999999</v>
      </c>
      <c r="S26" s="112" t="s">
        <v>341</v>
      </c>
      <c r="T26" s="111">
        <v>9000</v>
      </c>
      <c r="U26" s="111" t="s">
        <v>170</v>
      </c>
      <c r="V26" s="111">
        <v>9</v>
      </c>
      <c r="W26" s="111" t="s">
        <v>280</v>
      </c>
      <c r="X26" s="111" t="s">
        <v>272</v>
      </c>
      <c r="Y26" s="111">
        <v>3</v>
      </c>
      <c r="Z26" s="111" t="s">
        <v>222</v>
      </c>
      <c r="AA26" s="111" t="s">
        <v>223</v>
      </c>
      <c r="AB26" s="112">
        <v>2.8402777777777777</v>
      </c>
      <c r="AC26" s="112">
        <v>1.2722222222222221</v>
      </c>
      <c r="AD26" s="43"/>
      <c r="AE26" s="43"/>
      <c r="AF26" s="47"/>
    </row>
    <row r="27" spans="13:32" x14ac:dyDescent="0.25">
      <c r="M27" s="43">
        <v>113</v>
      </c>
      <c r="N27" s="111">
        <v>20</v>
      </c>
      <c r="O27" s="111">
        <v>9</v>
      </c>
      <c r="P27" s="111">
        <v>6</v>
      </c>
      <c r="Q27" s="111">
        <v>0.84722222222222221</v>
      </c>
      <c r="R27" s="112">
        <v>0.42499999999999999</v>
      </c>
      <c r="S27" s="112" t="s">
        <v>341</v>
      </c>
      <c r="T27" s="111">
        <v>9000</v>
      </c>
      <c r="U27" s="111" t="s">
        <v>169</v>
      </c>
      <c r="V27" s="111">
        <v>9</v>
      </c>
      <c r="W27" s="111" t="s">
        <v>280</v>
      </c>
      <c r="X27" s="111" t="s">
        <v>272</v>
      </c>
      <c r="Y27" s="111">
        <v>3</v>
      </c>
      <c r="Z27" s="111" t="s">
        <v>222</v>
      </c>
      <c r="AA27" s="111" t="s">
        <v>223</v>
      </c>
      <c r="AB27" s="112">
        <v>2.8402777777777777</v>
      </c>
      <c r="AC27" s="112">
        <v>1.2722222222222221</v>
      </c>
      <c r="AD27" s="43"/>
      <c r="AE27" s="43"/>
      <c r="AF27" s="47"/>
    </row>
    <row r="28" spans="13:32" x14ac:dyDescent="0.25">
      <c r="M28" s="43">
        <v>114</v>
      </c>
      <c r="N28" s="111">
        <v>20</v>
      </c>
      <c r="O28" s="111">
        <v>9</v>
      </c>
      <c r="P28" s="111">
        <v>6</v>
      </c>
      <c r="Q28" s="111">
        <v>0.84722222222222221</v>
      </c>
      <c r="R28" s="112">
        <v>0.42499999999999999</v>
      </c>
      <c r="S28" s="112" t="s">
        <v>341</v>
      </c>
      <c r="T28" s="111">
        <v>9000</v>
      </c>
      <c r="U28" s="111" t="s">
        <v>169</v>
      </c>
      <c r="V28" s="111">
        <v>9</v>
      </c>
      <c r="W28" s="111" t="s">
        <v>280</v>
      </c>
      <c r="X28" s="111" t="s">
        <v>272</v>
      </c>
      <c r="Y28" s="111">
        <v>3</v>
      </c>
      <c r="Z28" s="111" t="s">
        <v>222</v>
      </c>
      <c r="AA28" s="111" t="s">
        <v>223</v>
      </c>
      <c r="AB28" s="112">
        <v>2.8402777777777777</v>
      </c>
      <c r="AC28" s="112">
        <v>1.2722222222222221</v>
      </c>
      <c r="AD28" s="43"/>
      <c r="AE28" s="43"/>
      <c r="AF28" s="47"/>
    </row>
    <row r="29" spans="13:32" x14ac:dyDescent="0.25">
      <c r="M29" s="43">
        <v>123</v>
      </c>
      <c r="N29" s="111">
        <v>20</v>
      </c>
      <c r="O29" s="111">
        <v>8</v>
      </c>
      <c r="P29" s="111">
        <v>6</v>
      </c>
      <c r="Q29" s="111">
        <v>0.84722222222222221</v>
      </c>
      <c r="R29" s="112">
        <v>0.42499999999999999</v>
      </c>
      <c r="S29" s="112" t="s">
        <v>341</v>
      </c>
      <c r="T29" s="111">
        <v>9000</v>
      </c>
      <c r="U29" s="111" t="s">
        <v>168</v>
      </c>
      <c r="V29" s="111">
        <v>9</v>
      </c>
      <c r="W29" s="111" t="s">
        <v>280</v>
      </c>
      <c r="X29" s="111" t="s">
        <v>272</v>
      </c>
      <c r="Y29" s="111">
        <v>3</v>
      </c>
      <c r="Z29" s="111" t="s">
        <v>222</v>
      </c>
      <c r="AA29" s="111" t="s">
        <v>223</v>
      </c>
      <c r="AB29" s="112">
        <v>2.8402777777777777</v>
      </c>
      <c r="AC29" s="112">
        <v>1.2722222222222221</v>
      </c>
      <c r="AD29" s="43"/>
      <c r="AE29" s="43"/>
      <c r="AF29" s="47"/>
    </row>
    <row r="30" spans="13:32" x14ac:dyDescent="0.25">
      <c r="M30" s="43">
        <v>124</v>
      </c>
      <c r="N30" s="111">
        <v>20</v>
      </c>
      <c r="O30" s="111">
        <v>8</v>
      </c>
      <c r="P30" s="111">
        <v>6</v>
      </c>
      <c r="Q30" s="111">
        <v>0.84722222222222221</v>
      </c>
      <c r="R30" s="112">
        <v>0.42499999999999999</v>
      </c>
      <c r="S30" s="112" t="s">
        <v>341</v>
      </c>
      <c r="T30" s="111">
        <v>9000</v>
      </c>
      <c r="U30" s="111" t="s">
        <v>168</v>
      </c>
      <c r="V30" s="111">
        <v>9</v>
      </c>
      <c r="W30" s="111" t="s">
        <v>280</v>
      </c>
      <c r="X30" s="111" t="s">
        <v>272</v>
      </c>
      <c r="Y30" s="111">
        <v>3</v>
      </c>
      <c r="Z30" s="111" t="s">
        <v>222</v>
      </c>
      <c r="AA30" s="111" t="s">
        <v>223</v>
      </c>
      <c r="AB30" s="112">
        <v>2.8402777777777777</v>
      </c>
      <c r="AC30" s="112">
        <v>1.2722222222222221</v>
      </c>
      <c r="AD30" s="43"/>
      <c r="AE30" s="43"/>
      <c r="AF30" s="47"/>
    </row>
    <row r="31" spans="13:32" x14ac:dyDescent="0.25">
      <c r="M31" s="43">
        <v>133</v>
      </c>
      <c r="N31" s="111">
        <v>20</v>
      </c>
      <c r="O31" s="111">
        <v>6</v>
      </c>
      <c r="P31" s="111">
        <v>6</v>
      </c>
      <c r="Q31" s="111">
        <v>0.84722222222222221</v>
      </c>
      <c r="R31" s="112">
        <v>0.42499999999999999</v>
      </c>
      <c r="S31" s="112" t="s">
        <v>341</v>
      </c>
      <c r="T31" s="111">
        <v>9000</v>
      </c>
      <c r="U31" s="111" t="s">
        <v>167</v>
      </c>
      <c r="V31" s="111">
        <v>9</v>
      </c>
      <c r="W31" s="111" t="s">
        <v>280</v>
      </c>
      <c r="X31" s="111" t="s">
        <v>272</v>
      </c>
      <c r="Y31" s="111">
        <v>3</v>
      </c>
      <c r="Z31" s="111" t="s">
        <v>222</v>
      </c>
      <c r="AA31" s="111" t="s">
        <v>223</v>
      </c>
      <c r="AB31" s="112">
        <v>2.8402777777777777</v>
      </c>
      <c r="AC31" s="112">
        <v>1.2722222222222221</v>
      </c>
      <c r="AD31" s="43"/>
      <c r="AE31" s="43"/>
      <c r="AF31" s="47"/>
    </row>
    <row r="32" spans="13:32" x14ac:dyDescent="0.25">
      <c r="M32" s="43">
        <v>134</v>
      </c>
      <c r="N32" s="111">
        <v>20</v>
      </c>
      <c r="O32" s="111">
        <v>6</v>
      </c>
      <c r="P32" s="111">
        <v>6</v>
      </c>
      <c r="Q32" s="111">
        <v>0.84722222222222221</v>
      </c>
      <c r="R32" s="112">
        <v>0.42499999999999999</v>
      </c>
      <c r="S32" s="112" t="s">
        <v>341</v>
      </c>
      <c r="T32" s="111">
        <v>9000</v>
      </c>
      <c r="U32" s="111" t="s">
        <v>167</v>
      </c>
      <c r="V32" s="111">
        <v>9</v>
      </c>
      <c r="W32" s="111" t="s">
        <v>280</v>
      </c>
      <c r="X32" s="111" t="s">
        <v>272</v>
      </c>
      <c r="Y32" s="111">
        <v>3</v>
      </c>
      <c r="Z32" s="111" t="s">
        <v>222</v>
      </c>
      <c r="AA32" s="111" t="s">
        <v>223</v>
      </c>
      <c r="AB32" s="112">
        <v>2.8402777777777777</v>
      </c>
      <c r="AC32" s="112">
        <v>1.2722222222222221</v>
      </c>
      <c r="AD32" s="43"/>
      <c r="AE32" s="43"/>
      <c r="AF32" s="47"/>
    </row>
    <row r="33" spans="13:32" x14ac:dyDescent="0.25">
      <c r="M33" s="43">
        <v>97</v>
      </c>
      <c r="N33" s="111">
        <v>20</v>
      </c>
      <c r="O33" s="111">
        <v>28</v>
      </c>
      <c r="P33" s="111">
        <v>5</v>
      </c>
      <c r="Q33" s="111">
        <v>0.84722222222222221</v>
      </c>
      <c r="R33" s="112">
        <v>0.42499999999999999</v>
      </c>
      <c r="S33" s="112" t="s">
        <v>341</v>
      </c>
      <c r="T33" s="111">
        <v>9000</v>
      </c>
      <c r="U33" s="111" t="s">
        <v>171</v>
      </c>
      <c r="V33" s="111">
        <v>9</v>
      </c>
      <c r="W33" s="111" t="s">
        <v>277</v>
      </c>
      <c r="X33" s="111" t="s">
        <v>272</v>
      </c>
      <c r="Y33" s="111">
        <v>3</v>
      </c>
      <c r="Z33" s="111" t="s">
        <v>222</v>
      </c>
      <c r="AA33" s="111" t="s">
        <v>223</v>
      </c>
      <c r="AB33" s="112">
        <v>2.8402777777777777</v>
      </c>
      <c r="AC33" s="112">
        <v>1.2722222222222221</v>
      </c>
      <c r="AD33" s="43"/>
      <c r="AE33" s="43"/>
      <c r="AF33" s="47"/>
    </row>
    <row r="34" spans="13:32" x14ac:dyDescent="0.25">
      <c r="M34" s="43">
        <v>107</v>
      </c>
      <c r="N34" s="111">
        <v>20</v>
      </c>
      <c r="O34" s="111">
        <v>10</v>
      </c>
      <c r="P34" s="111">
        <v>5</v>
      </c>
      <c r="Q34" s="111">
        <v>0.84722222222222221</v>
      </c>
      <c r="R34" s="112">
        <v>0.42499999999999999</v>
      </c>
      <c r="S34" s="112" t="s">
        <v>341</v>
      </c>
      <c r="T34" s="111">
        <v>9000</v>
      </c>
      <c r="U34" s="111" t="s">
        <v>170</v>
      </c>
      <c r="V34" s="111">
        <v>9</v>
      </c>
      <c r="W34" s="111" t="s">
        <v>277</v>
      </c>
      <c r="X34" s="111" t="s">
        <v>272</v>
      </c>
      <c r="Y34" s="111">
        <v>3</v>
      </c>
      <c r="Z34" s="111" t="s">
        <v>222</v>
      </c>
      <c r="AA34" s="111" t="s">
        <v>223</v>
      </c>
      <c r="AB34" s="112">
        <v>2.8402777777777777</v>
      </c>
      <c r="AC34" s="112">
        <v>1.2722222222222221</v>
      </c>
      <c r="AD34" s="43"/>
      <c r="AE34" s="43"/>
      <c r="AF34" s="47"/>
    </row>
    <row r="35" spans="13:32" x14ac:dyDescent="0.25">
      <c r="M35" s="43">
        <v>100</v>
      </c>
      <c r="N35" s="111">
        <v>20</v>
      </c>
      <c r="O35" s="111">
        <v>28</v>
      </c>
      <c r="P35" s="111">
        <v>3</v>
      </c>
      <c r="Q35" s="111">
        <v>0.84722222222222221</v>
      </c>
      <c r="R35" s="112">
        <v>0.42499999999999999</v>
      </c>
      <c r="S35" s="112" t="s">
        <v>341</v>
      </c>
      <c r="T35" s="111">
        <v>9000</v>
      </c>
      <c r="U35" s="111" t="s">
        <v>171</v>
      </c>
      <c r="V35" s="111">
        <v>6</v>
      </c>
      <c r="W35" s="111" t="s">
        <v>276</v>
      </c>
      <c r="X35" s="111" t="s">
        <v>275</v>
      </c>
      <c r="Y35" s="111">
        <v>3</v>
      </c>
      <c r="Z35" s="111" t="s">
        <v>222</v>
      </c>
      <c r="AA35" s="111" t="s">
        <v>223</v>
      </c>
      <c r="AB35" s="112">
        <v>2.8402777777777777</v>
      </c>
      <c r="AC35" s="112">
        <v>1.2722222222222221</v>
      </c>
      <c r="AD35" s="43"/>
      <c r="AE35" s="43"/>
      <c r="AF35" s="47"/>
    </row>
    <row r="36" spans="13:32" x14ac:dyDescent="0.25">
      <c r="M36" s="43">
        <v>110</v>
      </c>
      <c r="N36" s="111">
        <v>20</v>
      </c>
      <c r="O36" s="111">
        <v>10</v>
      </c>
      <c r="P36" s="111">
        <v>3</v>
      </c>
      <c r="Q36" s="111">
        <v>0.84722222222222221</v>
      </c>
      <c r="R36" s="112">
        <v>0.42499999999999999</v>
      </c>
      <c r="S36" s="112" t="s">
        <v>341</v>
      </c>
      <c r="T36" s="111">
        <v>9000</v>
      </c>
      <c r="U36" s="111" t="s">
        <v>170</v>
      </c>
      <c r="V36" s="111">
        <v>6</v>
      </c>
      <c r="W36" s="111" t="s">
        <v>276</v>
      </c>
      <c r="X36" s="111" t="s">
        <v>275</v>
      </c>
      <c r="Y36" s="111">
        <v>3</v>
      </c>
      <c r="Z36" s="111" t="s">
        <v>222</v>
      </c>
      <c r="AA36" s="111" t="s">
        <v>223</v>
      </c>
      <c r="AB36" s="112">
        <v>2.8402777777777777</v>
      </c>
      <c r="AC36" s="112">
        <v>1.2722222222222221</v>
      </c>
      <c r="AD36" s="43"/>
      <c r="AE36" s="43"/>
      <c r="AF36" s="47"/>
    </row>
    <row r="37" spans="13:32" x14ac:dyDescent="0.25">
      <c r="M37" s="43">
        <v>120</v>
      </c>
      <c r="N37" s="111">
        <v>20</v>
      </c>
      <c r="O37" s="111">
        <v>9</v>
      </c>
      <c r="P37" s="111">
        <v>3</v>
      </c>
      <c r="Q37" s="111">
        <v>0.84722222222222221</v>
      </c>
      <c r="R37" s="112">
        <v>0.42499999999999999</v>
      </c>
      <c r="S37" s="112" t="s">
        <v>341</v>
      </c>
      <c r="T37" s="111">
        <v>9000</v>
      </c>
      <c r="U37" s="111" t="s">
        <v>169</v>
      </c>
      <c r="V37" s="111">
        <v>6</v>
      </c>
      <c r="W37" s="111" t="s">
        <v>276</v>
      </c>
      <c r="X37" s="111" t="s">
        <v>275</v>
      </c>
      <c r="Y37" s="111">
        <v>3</v>
      </c>
      <c r="Z37" s="111" t="s">
        <v>222</v>
      </c>
      <c r="AA37" s="111" t="s">
        <v>223</v>
      </c>
      <c r="AB37" s="112">
        <v>2.8402777777777777</v>
      </c>
      <c r="AC37" s="112">
        <v>1.2722222222222221</v>
      </c>
      <c r="AD37" s="43"/>
      <c r="AE37" s="43"/>
      <c r="AF37" s="47"/>
    </row>
    <row r="38" spans="13:32" x14ac:dyDescent="0.25">
      <c r="M38" s="43">
        <v>130</v>
      </c>
      <c r="N38" s="111">
        <v>20</v>
      </c>
      <c r="O38" s="111">
        <v>8</v>
      </c>
      <c r="P38" s="111">
        <v>3</v>
      </c>
      <c r="Q38" s="111">
        <v>0.84722222222222221</v>
      </c>
      <c r="R38" s="112">
        <v>0.42499999999999999</v>
      </c>
      <c r="S38" s="112" t="s">
        <v>341</v>
      </c>
      <c r="T38" s="111">
        <v>9000</v>
      </c>
      <c r="U38" s="111" t="s">
        <v>168</v>
      </c>
      <c r="V38" s="111">
        <v>6</v>
      </c>
      <c r="W38" s="111" t="s">
        <v>276</v>
      </c>
      <c r="X38" s="111" t="s">
        <v>275</v>
      </c>
      <c r="Y38" s="111">
        <v>3</v>
      </c>
      <c r="Z38" s="111" t="s">
        <v>222</v>
      </c>
      <c r="AA38" s="111" t="s">
        <v>223</v>
      </c>
      <c r="AB38" s="112">
        <v>2.8402777777777777</v>
      </c>
      <c r="AC38" s="112">
        <v>1.2722222222222221</v>
      </c>
      <c r="AD38" s="43"/>
      <c r="AE38" s="43"/>
      <c r="AF38" s="47"/>
    </row>
    <row r="39" spans="13:32" x14ac:dyDescent="0.25">
      <c r="M39" s="43">
        <v>140</v>
      </c>
      <c r="N39" s="111">
        <v>20</v>
      </c>
      <c r="O39" s="111">
        <v>6</v>
      </c>
      <c r="P39" s="111">
        <v>3</v>
      </c>
      <c r="Q39" s="111">
        <v>0.84722222222222221</v>
      </c>
      <c r="R39" s="112">
        <v>0.42499999999999999</v>
      </c>
      <c r="S39" s="112" t="s">
        <v>341</v>
      </c>
      <c r="T39" s="111">
        <v>9000</v>
      </c>
      <c r="U39" s="111" t="s">
        <v>167</v>
      </c>
      <c r="V39" s="111">
        <v>6</v>
      </c>
      <c r="W39" s="111" t="s">
        <v>276</v>
      </c>
      <c r="X39" s="111" t="s">
        <v>275</v>
      </c>
      <c r="Y39" s="111">
        <v>3</v>
      </c>
      <c r="Z39" s="111" t="s">
        <v>222</v>
      </c>
      <c r="AA39" s="111" t="s">
        <v>223</v>
      </c>
      <c r="AB39" s="112">
        <v>2.8402777777777777</v>
      </c>
      <c r="AC39" s="112">
        <v>1.2722222222222221</v>
      </c>
      <c r="AD39" s="43"/>
      <c r="AE39" s="43"/>
      <c r="AF39" s="47"/>
    </row>
    <row r="40" spans="13:32" x14ac:dyDescent="0.25">
      <c r="M40" s="43">
        <v>99</v>
      </c>
      <c r="N40" s="111">
        <v>20</v>
      </c>
      <c r="O40" s="111">
        <v>28</v>
      </c>
      <c r="P40" s="111">
        <v>4</v>
      </c>
      <c r="Q40" s="111">
        <v>0.84722222222222221</v>
      </c>
      <c r="R40" s="112">
        <v>0.42499999999999999</v>
      </c>
      <c r="S40" s="112" t="s">
        <v>341</v>
      </c>
      <c r="T40" s="111">
        <v>9000</v>
      </c>
      <c r="U40" s="111" t="s">
        <v>171</v>
      </c>
      <c r="V40" s="111">
        <v>6</v>
      </c>
      <c r="W40" s="111" t="s">
        <v>279</v>
      </c>
      <c r="X40" s="111" t="s">
        <v>275</v>
      </c>
      <c r="Y40" s="111">
        <v>3</v>
      </c>
      <c r="Z40" s="111" t="s">
        <v>222</v>
      </c>
      <c r="AA40" s="111" t="s">
        <v>223</v>
      </c>
      <c r="AB40" s="112">
        <v>2.8402777777777777</v>
      </c>
      <c r="AC40" s="112">
        <v>1.2722222222222221</v>
      </c>
      <c r="AD40" s="43"/>
      <c r="AE40" s="43"/>
      <c r="AF40" s="47"/>
    </row>
    <row r="41" spans="13:32" x14ac:dyDescent="0.25">
      <c r="M41" s="43">
        <v>109</v>
      </c>
      <c r="N41" s="111">
        <v>20</v>
      </c>
      <c r="O41" s="111">
        <v>10</v>
      </c>
      <c r="P41" s="111">
        <v>4</v>
      </c>
      <c r="Q41" s="111">
        <v>0.84722222222222221</v>
      </c>
      <c r="R41" s="112">
        <v>0.42499999999999999</v>
      </c>
      <c r="S41" s="112" t="s">
        <v>341</v>
      </c>
      <c r="T41" s="111">
        <v>9000</v>
      </c>
      <c r="U41" s="111" t="s">
        <v>170</v>
      </c>
      <c r="V41" s="111">
        <v>6</v>
      </c>
      <c r="W41" s="111" t="s">
        <v>279</v>
      </c>
      <c r="X41" s="111" t="s">
        <v>275</v>
      </c>
      <c r="Y41" s="111">
        <v>3</v>
      </c>
      <c r="Z41" s="111" t="s">
        <v>222</v>
      </c>
      <c r="AA41" s="111" t="s">
        <v>223</v>
      </c>
      <c r="AB41" s="112">
        <v>2.8402777777777777</v>
      </c>
      <c r="AC41" s="112">
        <v>1.2722222222222221</v>
      </c>
      <c r="AD41" s="43"/>
      <c r="AE41" s="43"/>
      <c r="AF41" s="47"/>
    </row>
    <row r="42" spans="13:32" x14ac:dyDescent="0.25">
      <c r="M42" s="43">
        <v>119</v>
      </c>
      <c r="N42" s="111">
        <v>20</v>
      </c>
      <c r="O42" s="111">
        <v>9</v>
      </c>
      <c r="P42" s="111">
        <v>4</v>
      </c>
      <c r="Q42" s="111">
        <v>0.84722222222222221</v>
      </c>
      <c r="R42" s="112">
        <v>0.42499999999999999</v>
      </c>
      <c r="S42" s="112" t="s">
        <v>341</v>
      </c>
      <c r="T42" s="111">
        <v>9000</v>
      </c>
      <c r="U42" s="111" t="s">
        <v>169</v>
      </c>
      <c r="V42" s="111">
        <v>6</v>
      </c>
      <c r="W42" s="111" t="s">
        <v>279</v>
      </c>
      <c r="X42" s="111" t="s">
        <v>275</v>
      </c>
      <c r="Y42" s="111">
        <v>3</v>
      </c>
      <c r="Z42" s="111" t="s">
        <v>222</v>
      </c>
      <c r="AA42" s="111" t="s">
        <v>223</v>
      </c>
      <c r="AB42" s="112">
        <v>2.8402777777777777</v>
      </c>
      <c r="AC42" s="112">
        <v>1.2722222222222221</v>
      </c>
      <c r="AD42" s="43"/>
      <c r="AE42" s="43"/>
      <c r="AF42" s="47"/>
    </row>
    <row r="43" spans="13:32" x14ac:dyDescent="0.25">
      <c r="M43" s="43">
        <v>129</v>
      </c>
      <c r="N43" s="111">
        <v>20</v>
      </c>
      <c r="O43" s="111">
        <v>8</v>
      </c>
      <c r="P43" s="111">
        <v>4</v>
      </c>
      <c r="Q43" s="111">
        <v>0.84722222222222221</v>
      </c>
      <c r="R43" s="112">
        <v>0.42499999999999999</v>
      </c>
      <c r="S43" s="112" t="s">
        <v>341</v>
      </c>
      <c r="T43" s="111">
        <v>9000</v>
      </c>
      <c r="U43" s="111" t="s">
        <v>168</v>
      </c>
      <c r="V43" s="111">
        <v>6</v>
      </c>
      <c r="W43" s="111" t="s">
        <v>279</v>
      </c>
      <c r="X43" s="111" t="s">
        <v>275</v>
      </c>
      <c r="Y43" s="111">
        <v>3</v>
      </c>
      <c r="Z43" s="111" t="s">
        <v>222</v>
      </c>
      <c r="AA43" s="111" t="s">
        <v>223</v>
      </c>
      <c r="AB43" s="112">
        <v>2.8402777777777777</v>
      </c>
      <c r="AC43" s="112">
        <v>1.2722222222222221</v>
      </c>
      <c r="AD43" s="43"/>
      <c r="AE43" s="43"/>
      <c r="AF43" s="47"/>
    </row>
    <row r="44" spans="13:32" x14ac:dyDescent="0.25">
      <c r="M44" s="43">
        <v>139</v>
      </c>
      <c r="N44" s="111">
        <v>20</v>
      </c>
      <c r="O44" s="111">
        <v>6</v>
      </c>
      <c r="P44" s="111">
        <v>4</v>
      </c>
      <c r="Q44" s="111">
        <v>0.84722222222222221</v>
      </c>
      <c r="R44" s="112">
        <v>0.42499999999999999</v>
      </c>
      <c r="S44" s="112" t="s">
        <v>341</v>
      </c>
      <c r="T44" s="111">
        <v>9000</v>
      </c>
      <c r="U44" s="111" t="s">
        <v>167</v>
      </c>
      <c r="V44" s="111">
        <v>6</v>
      </c>
      <c r="W44" s="111" t="s">
        <v>279</v>
      </c>
      <c r="X44" s="111" t="s">
        <v>275</v>
      </c>
      <c r="Y44" s="111">
        <v>3</v>
      </c>
      <c r="Z44" s="111" t="s">
        <v>222</v>
      </c>
      <c r="AA44" s="111" t="s">
        <v>223</v>
      </c>
      <c r="AB44" s="112">
        <v>2.8402777777777777</v>
      </c>
      <c r="AC44" s="112">
        <v>1.2722222222222221</v>
      </c>
      <c r="AD44" s="43"/>
      <c r="AE44" s="43"/>
      <c r="AF44" s="47"/>
    </row>
    <row r="45" spans="13:32" x14ac:dyDescent="0.25">
      <c r="M45" s="43">
        <v>117</v>
      </c>
      <c r="N45" s="111">
        <v>20</v>
      </c>
      <c r="O45" s="111">
        <v>9</v>
      </c>
      <c r="P45" s="111">
        <v>5</v>
      </c>
      <c r="Q45" s="111">
        <v>0.84722222222222221</v>
      </c>
      <c r="R45" s="112">
        <v>0.42499999999999999</v>
      </c>
      <c r="S45" s="112" t="s">
        <v>341</v>
      </c>
      <c r="T45" s="111">
        <v>9000</v>
      </c>
      <c r="U45" s="111" t="s">
        <v>169</v>
      </c>
      <c r="V45" s="111">
        <v>9</v>
      </c>
      <c r="W45" s="111" t="s">
        <v>277</v>
      </c>
      <c r="X45" s="111" t="s">
        <v>272</v>
      </c>
      <c r="Y45" s="111">
        <v>3</v>
      </c>
      <c r="Z45" s="111" t="s">
        <v>222</v>
      </c>
      <c r="AA45" s="111" t="s">
        <v>223</v>
      </c>
      <c r="AB45" s="112">
        <v>2.8402777777777777</v>
      </c>
      <c r="AC45" s="112">
        <v>1.2722222222222221</v>
      </c>
      <c r="AD45" s="43"/>
      <c r="AE45" s="43"/>
      <c r="AF45" s="47"/>
    </row>
    <row r="46" spans="13:32" x14ac:dyDescent="0.25">
      <c r="M46" s="43">
        <v>127</v>
      </c>
      <c r="N46" s="111">
        <v>20</v>
      </c>
      <c r="O46" s="111">
        <v>8</v>
      </c>
      <c r="P46" s="111">
        <v>5</v>
      </c>
      <c r="Q46" s="111">
        <v>0.84722222222222221</v>
      </c>
      <c r="R46" s="112">
        <v>0.42499999999999999</v>
      </c>
      <c r="S46" s="112" t="s">
        <v>341</v>
      </c>
      <c r="T46" s="111">
        <v>9000</v>
      </c>
      <c r="U46" s="111" t="s">
        <v>168</v>
      </c>
      <c r="V46" s="111">
        <v>9</v>
      </c>
      <c r="W46" s="111" t="s">
        <v>277</v>
      </c>
      <c r="X46" s="111" t="s">
        <v>272</v>
      </c>
      <c r="Y46" s="111">
        <v>3</v>
      </c>
      <c r="Z46" s="111" t="s">
        <v>222</v>
      </c>
      <c r="AA46" s="111" t="s">
        <v>223</v>
      </c>
      <c r="AB46" s="112">
        <v>2.8402777777777777</v>
      </c>
      <c r="AC46" s="112">
        <v>1.2722222222222221</v>
      </c>
      <c r="AD46" s="43"/>
      <c r="AE46" s="43"/>
      <c r="AF46" s="47"/>
    </row>
    <row r="47" spans="13:32" x14ac:dyDescent="0.25">
      <c r="M47" s="43">
        <v>137</v>
      </c>
      <c r="N47" s="111">
        <v>20</v>
      </c>
      <c r="O47" s="111">
        <v>6</v>
      </c>
      <c r="P47" s="111">
        <v>5</v>
      </c>
      <c r="Q47" s="111">
        <v>0.84722222222222221</v>
      </c>
      <c r="R47" s="112">
        <v>0.42499999999999999</v>
      </c>
      <c r="S47" s="112" t="s">
        <v>341</v>
      </c>
      <c r="T47" s="111">
        <v>9000</v>
      </c>
      <c r="U47" s="111" t="s">
        <v>167</v>
      </c>
      <c r="V47" s="111">
        <v>9</v>
      </c>
      <c r="W47" s="111" t="s">
        <v>277</v>
      </c>
      <c r="X47" s="111" t="s">
        <v>272</v>
      </c>
      <c r="Y47" s="111">
        <v>3</v>
      </c>
      <c r="Z47" s="111" t="s">
        <v>222</v>
      </c>
      <c r="AA47" s="111" t="s">
        <v>223</v>
      </c>
      <c r="AB47" s="112">
        <v>2.8402777777777777</v>
      </c>
      <c r="AC47" s="112">
        <v>1.2722222222222221</v>
      </c>
      <c r="AD47" s="43"/>
      <c r="AE47" s="43"/>
      <c r="AF47" s="47"/>
    </row>
    <row r="48" spans="13:32" x14ac:dyDescent="0.25">
      <c r="M48" s="43">
        <v>98</v>
      </c>
      <c r="N48" s="111">
        <v>20</v>
      </c>
      <c r="O48" s="111">
        <v>28</v>
      </c>
      <c r="P48" s="111">
        <v>8</v>
      </c>
      <c r="Q48" s="111">
        <v>0.84722222222222221</v>
      </c>
      <c r="R48" s="112">
        <v>0.42499999999999999</v>
      </c>
      <c r="S48" s="112" t="s">
        <v>341</v>
      </c>
      <c r="T48" s="111">
        <v>9000</v>
      </c>
      <c r="U48" s="111" t="s">
        <v>171</v>
      </c>
      <c r="V48" s="111">
        <v>11</v>
      </c>
      <c r="W48" s="111" t="s">
        <v>281</v>
      </c>
      <c r="X48" s="111" t="s">
        <v>243</v>
      </c>
      <c r="Y48" s="111">
        <v>3</v>
      </c>
      <c r="Z48" s="111" t="s">
        <v>222</v>
      </c>
      <c r="AA48" s="111" t="s">
        <v>223</v>
      </c>
      <c r="AB48" s="112">
        <v>2.8402777777777777</v>
      </c>
      <c r="AC48" s="112">
        <v>1.2722222222222221</v>
      </c>
      <c r="AD48" s="43"/>
      <c r="AE48" s="43"/>
      <c r="AF48" s="47"/>
    </row>
    <row r="49" spans="13:32" x14ac:dyDescent="0.25">
      <c r="M49" s="43">
        <v>108</v>
      </c>
      <c r="N49" s="111">
        <v>20</v>
      </c>
      <c r="O49" s="111">
        <v>10</v>
      </c>
      <c r="P49" s="111">
        <v>8</v>
      </c>
      <c r="Q49" s="111">
        <v>0.84722222222222221</v>
      </c>
      <c r="R49" s="112">
        <v>0.42499999999999999</v>
      </c>
      <c r="S49" s="112" t="s">
        <v>341</v>
      </c>
      <c r="T49" s="111">
        <v>9000</v>
      </c>
      <c r="U49" s="111" t="s">
        <v>170</v>
      </c>
      <c r="V49" s="111">
        <v>11</v>
      </c>
      <c r="W49" s="111" t="s">
        <v>281</v>
      </c>
      <c r="X49" s="111" t="s">
        <v>243</v>
      </c>
      <c r="Y49" s="111">
        <v>3</v>
      </c>
      <c r="Z49" s="111" t="s">
        <v>222</v>
      </c>
      <c r="AA49" s="111" t="s">
        <v>223</v>
      </c>
      <c r="AB49" s="112">
        <v>2.8402777777777777</v>
      </c>
      <c r="AC49" s="112">
        <v>1.2722222222222221</v>
      </c>
      <c r="AD49" s="43"/>
      <c r="AE49" s="43"/>
      <c r="AF49" s="47"/>
    </row>
    <row r="50" spans="13:32" x14ac:dyDescent="0.25">
      <c r="M50" s="43">
        <v>118</v>
      </c>
      <c r="N50" s="111">
        <v>20</v>
      </c>
      <c r="O50" s="111">
        <v>9</v>
      </c>
      <c r="P50" s="111">
        <v>8</v>
      </c>
      <c r="Q50" s="111">
        <v>0.84722222222222221</v>
      </c>
      <c r="R50" s="112">
        <v>0.42499999999999999</v>
      </c>
      <c r="S50" s="112" t="s">
        <v>341</v>
      </c>
      <c r="T50" s="111">
        <v>9000</v>
      </c>
      <c r="U50" s="111" t="s">
        <v>169</v>
      </c>
      <c r="V50" s="111">
        <v>11</v>
      </c>
      <c r="W50" s="111" t="s">
        <v>281</v>
      </c>
      <c r="X50" s="111" t="s">
        <v>243</v>
      </c>
      <c r="Y50" s="111">
        <v>3</v>
      </c>
      <c r="Z50" s="111" t="s">
        <v>222</v>
      </c>
      <c r="AA50" s="111" t="s">
        <v>223</v>
      </c>
      <c r="AB50" s="112">
        <v>2.8402777777777777</v>
      </c>
      <c r="AC50" s="112">
        <v>1.2722222222222221</v>
      </c>
      <c r="AD50" s="43"/>
      <c r="AE50" s="43"/>
      <c r="AF50" s="47"/>
    </row>
    <row r="51" spans="13:32" x14ac:dyDescent="0.25">
      <c r="M51" s="43">
        <v>128</v>
      </c>
      <c r="N51" s="111">
        <v>20</v>
      </c>
      <c r="O51" s="111">
        <v>8</v>
      </c>
      <c r="P51" s="111">
        <v>8</v>
      </c>
      <c r="Q51" s="111">
        <v>0.84722222222222221</v>
      </c>
      <c r="R51" s="112">
        <v>0.42499999999999999</v>
      </c>
      <c r="S51" s="112" t="s">
        <v>341</v>
      </c>
      <c r="T51" s="111">
        <v>9000</v>
      </c>
      <c r="U51" s="111" t="s">
        <v>168</v>
      </c>
      <c r="V51" s="111">
        <v>11</v>
      </c>
      <c r="W51" s="111" t="s">
        <v>281</v>
      </c>
      <c r="X51" s="111" t="s">
        <v>243</v>
      </c>
      <c r="Y51" s="111">
        <v>3</v>
      </c>
      <c r="Z51" s="111" t="s">
        <v>222</v>
      </c>
      <c r="AA51" s="111" t="s">
        <v>223</v>
      </c>
      <c r="AB51" s="112">
        <v>2.8402777777777777</v>
      </c>
      <c r="AC51" s="112">
        <v>1.2722222222222221</v>
      </c>
      <c r="AD51" s="43"/>
      <c r="AE51" s="43"/>
      <c r="AF51" s="47"/>
    </row>
    <row r="52" spans="13:32" x14ac:dyDescent="0.25">
      <c r="M52" s="43">
        <v>138</v>
      </c>
      <c r="N52" s="111">
        <v>20</v>
      </c>
      <c r="O52" s="111">
        <v>6</v>
      </c>
      <c r="P52" s="111">
        <v>8</v>
      </c>
      <c r="Q52" s="111">
        <v>0.84722222222222221</v>
      </c>
      <c r="R52" s="112">
        <v>0.42499999999999999</v>
      </c>
      <c r="S52" s="112" t="s">
        <v>341</v>
      </c>
      <c r="T52" s="111">
        <v>9000</v>
      </c>
      <c r="U52" s="111" t="s">
        <v>167</v>
      </c>
      <c r="V52" s="111">
        <v>11</v>
      </c>
      <c r="W52" s="111" t="s">
        <v>281</v>
      </c>
      <c r="X52" s="111" t="s">
        <v>243</v>
      </c>
      <c r="Y52" s="111">
        <v>3</v>
      </c>
      <c r="Z52" s="111" t="s">
        <v>222</v>
      </c>
      <c r="AA52" s="111" t="s">
        <v>223</v>
      </c>
      <c r="AB52" s="112">
        <v>2.8402777777777777</v>
      </c>
      <c r="AC52" s="112">
        <v>1.2722222222222221</v>
      </c>
      <c r="AD52" s="43"/>
      <c r="AE52" s="43"/>
      <c r="AF52" s="47"/>
    </row>
    <row r="53" spans="13:32" x14ac:dyDescent="0.25">
      <c r="M53" s="43">
        <v>141</v>
      </c>
      <c r="N53" s="111">
        <v>20</v>
      </c>
      <c r="O53" s="111">
        <v>5</v>
      </c>
      <c r="P53" s="111">
        <v>1</v>
      </c>
      <c r="Q53" s="111">
        <v>0.84722222222222221</v>
      </c>
      <c r="R53" s="112">
        <v>0.42499999999999999</v>
      </c>
      <c r="S53" s="112" t="s">
        <v>341</v>
      </c>
      <c r="T53" s="111">
        <v>9000</v>
      </c>
      <c r="U53" s="111" t="s">
        <v>166</v>
      </c>
      <c r="V53" s="111">
        <v>1</v>
      </c>
      <c r="W53" s="111" t="s">
        <v>270</v>
      </c>
      <c r="X53" s="111" t="s">
        <v>269</v>
      </c>
      <c r="Y53" s="111">
        <v>3</v>
      </c>
      <c r="Z53" s="111" t="s">
        <v>222</v>
      </c>
      <c r="AA53" s="111" t="s">
        <v>223</v>
      </c>
      <c r="AB53" s="112">
        <v>2.8402777777777777</v>
      </c>
      <c r="AC53" s="112">
        <v>1.2722222222222221</v>
      </c>
      <c r="AD53" s="43"/>
      <c r="AE53" s="43"/>
      <c r="AF53" s="47"/>
    </row>
    <row r="54" spans="13:32" x14ac:dyDescent="0.25">
      <c r="M54" s="43">
        <v>142</v>
      </c>
      <c r="N54" s="111">
        <v>20</v>
      </c>
      <c r="O54" s="111">
        <v>5</v>
      </c>
      <c r="P54" s="111">
        <v>2</v>
      </c>
      <c r="Q54" s="111">
        <v>0.84722222222222221</v>
      </c>
      <c r="R54" s="112">
        <v>0.42499999999999999</v>
      </c>
      <c r="S54" s="112" t="s">
        <v>341</v>
      </c>
      <c r="T54" s="111">
        <v>9000</v>
      </c>
      <c r="U54" s="111" t="s">
        <v>166</v>
      </c>
      <c r="V54" s="111">
        <v>2</v>
      </c>
      <c r="W54" s="111" t="s">
        <v>271</v>
      </c>
      <c r="X54" s="111" t="s">
        <v>271</v>
      </c>
      <c r="Y54" s="111">
        <v>3</v>
      </c>
      <c r="Z54" s="111" t="s">
        <v>222</v>
      </c>
      <c r="AA54" s="111" t="s">
        <v>223</v>
      </c>
      <c r="AB54" s="112">
        <v>2.8402777777777777</v>
      </c>
      <c r="AC54" s="112">
        <v>1.2722222222222221</v>
      </c>
      <c r="AD54" s="43"/>
      <c r="AE54" s="43"/>
      <c r="AF54" s="47"/>
    </row>
    <row r="55" spans="13:32" x14ac:dyDescent="0.25">
      <c r="M55" s="43">
        <v>143</v>
      </c>
      <c r="N55" s="111">
        <v>20</v>
      </c>
      <c r="O55" s="111">
        <v>5</v>
      </c>
      <c r="P55" s="111">
        <v>6</v>
      </c>
      <c r="Q55" s="111">
        <v>0.84722222222222221</v>
      </c>
      <c r="R55" s="112">
        <v>0.42499999999999999</v>
      </c>
      <c r="S55" s="112" t="s">
        <v>341</v>
      </c>
      <c r="T55" s="111">
        <v>9000</v>
      </c>
      <c r="U55" s="111" t="s">
        <v>166</v>
      </c>
      <c r="V55" s="111">
        <v>9</v>
      </c>
      <c r="W55" s="111" t="s">
        <v>280</v>
      </c>
      <c r="X55" s="111" t="s">
        <v>272</v>
      </c>
      <c r="Y55" s="111">
        <v>3</v>
      </c>
      <c r="Z55" s="111" t="s">
        <v>222</v>
      </c>
      <c r="AA55" s="111" t="s">
        <v>223</v>
      </c>
      <c r="AB55" s="112">
        <v>2.8402777777777777</v>
      </c>
      <c r="AC55" s="112">
        <v>1.2722222222222221</v>
      </c>
      <c r="AD55" s="43"/>
      <c r="AE55" s="43"/>
      <c r="AF55" s="47"/>
    </row>
    <row r="56" spans="13:32" x14ac:dyDescent="0.25">
      <c r="M56" s="43">
        <v>144</v>
      </c>
      <c r="N56" s="111">
        <v>20</v>
      </c>
      <c r="O56" s="111">
        <v>5</v>
      </c>
      <c r="P56" s="111">
        <v>6</v>
      </c>
      <c r="Q56" s="111">
        <v>0.84722222222222221</v>
      </c>
      <c r="R56" s="112">
        <v>0.42499999999999999</v>
      </c>
      <c r="S56" s="112" t="s">
        <v>341</v>
      </c>
      <c r="T56" s="111">
        <v>9000</v>
      </c>
      <c r="U56" s="111" t="s">
        <v>166</v>
      </c>
      <c r="V56" s="111">
        <v>9</v>
      </c>
      <c r="W56" s="111" t="s">
        <v>280</v>
      </c>
      <c r="X56" s="111" t="s">
        <v>272</v>
      </c>
      <c r="Y56" s="111">
        <v>3</v>
      </c>
      <c r="Z56" s="111" t="s">
        <v>222</v>
      </c>
      <c r="AA56" s="111" t="s">
        <v>223</v>
      </c>
      <c r="AB56" s="112">
        <v>2.8402777777777777</v>
      </c>
      <c r="AC56" s="112">
        <v>1.2722222222222221</v>
      </c>
      <c r="AD56" s="43"/>
      <c r="AE56" s="43"/>
      <c r="AF56" s="47"/>
    </row>
    <row r="57" spans="13:32" x14ac:dyDescent="0.25">
      <c r="M57" s="43">
        <v>145</v>
      </c>
      <c r="N57" s="111">
        <v>20</v>
      </c>
      <c r="O57" s="111">
        <v>5</v>
      </c>
      <c r="P57" s="111">
        <v>9</v>
      </c>
      <c r="Q57" s="111">
        <v>0.84722222222222221</v>
      </c>
      <c r="R57" s="112">
        <v>0.42499999999999999</v>
      </c>
      <c r="S57" s="112" t="s">
        <v>341</v>
      </c>
      <c r="T57" s="111">
        <v>9000</v>
      </c>
      <c r="U57" s="111" t="s">
        <v>166</v>
      </c>
      <c r="V57" s="111">
        <v>11</v>
      </c>
      <c r="W57" s="111" t="s">
        <v>282</v>
      </c>
      <c r="X57" s="111" t="s">
        <v>243</v>
      </c>
      <c r="Y57" s="111">
        <v>3</v>
      </c>
      <c r="Z57" s="111" t="s">
        <v>222</v>
      </c>
      <c r="AA57" s="111" t="s">
        <v>223</v>
      </c>
      <c r="AB57" s="112">
        <v>2.8402777777777777</v>
      </c>
      <c r="AC57" s="112">
        <v>1.2722222222222221</v>
      </c>
      <c r="AD57" s="43"/>
      <c r="AE57" s="43"/>
      <c r="AF57" s="47"/>
    </row>
    <row r="58" spans="13:32" x14ac:dyDescent="0.25">
      <c r="M58" s="43">
        <v>146</v>
      </c>
      <c r="N58" s="111">
        <v>20</v>
      </c>
      <c r="O58" s="111">
        <v>5</v>
      </c>
      <c r="P58" s="111">
        <v>9</v>
      </c>
      <c r="Q58" s="111">
        <v>0.84722222222222221</v>
      </c>
      <c r="R58" s="112">
        <v>0.42499999999999999</v>
      </c>
      <c r="S58" s="112" t="s">
        <v>341</v>
      </c>
      <c r="T58" s="111">
        <v>9000</v>
      </c>
      <c r="U58" s="111" t="s">
        <v>166</v>
      </c>
      <c r="V58" s="111">
        <v>11</v>
      </c>
      <c r="W58" s="111" t="s">
        <v>282</v>
      </c>
      <c r="X58" s="111" t="s">
        <v>243</v>
      </c>
      <c r="Y58" s="111">
        <v>3</v>
      </c>
      <c r="Z58" s="111" t="s">
        <v>222</v>
      </c>
      <c r="AA58" s="111" t="s">
        <v>223</v>
      </c>
      <c r="AB58" s="112">
        <v>2.8402777777777777</v>
      </c>
      <c r="AC58" s="112">
        <v>1.2722222222222221</v>
      </c>
      <c r="AD58" s="43"/>
      <c r="AE58" s="43"/>
      <c r="AF58" s="47"/>
    </row>
    <row r="59" spans="13:32" x14ac:dyDescent="0.25">
      <c r="M59" s="43">
        <v>147</v>
      </c>
      <c r="N59" s="111">
        <v>20</v>
      </c>
      <c r="O59" s="111">
        <v>5</v>
      </c>
      <c r="P59" s="111">
        <v>5</v>
      </c>
      <c r="Q59" s="111">
        <v>0.84722222222222221</v>
      </c>
      <c r="R59" s="112">
        <v>0.42499999999999999</v>
      </c>
      <c r="S59" s="112" t="s">
        <v>341</v>
      </c>
      <c r="T59" s="111">
        <v>9000</v>
      </c>
      <c r="U59" s="111" t="s">
        <v>166</v>
      </c>
      <c r="V59" s="111">
        <v>9</v>
      </c>
      <c r="W59" s="111" t="s">
        <v>277</v>
      </c>
      <c r="X59" s="111" t="s">
        <v>272</v>
      </c>
      <c r="Y59" s="111">
        <v>3</v>
      </c>
      <c r="Z59" s="111" t="s">
        <v>222</v>
      </c>
      <c r="AA59" s="111" t="s">
        <v>223</v>
      </c>
      <c r="AB59" s="112">
        <v>2.8402777777777777</v>
      </c>
      <c r="AC59" s="112">
        <v>1.2722222222222221</v>
      </c>
      <c r="AD59" s="43"/>
      <c r="AE59" s="43"/>
      <c r="AF59" s="47"/>
    </row>
    <row r="60" spans="13:32" x14ac:dyDescent="0.25">
      <c r="M60" s="43">
        <v>148</v>
      </c>
      <c r="N60" s="111">
        <v>20</v>
      </c>
      <c r="O60" s="111">
        <v>5</v>
      </c>
      <c r="P60" s="111">
        <v>8</v>
      </c>
      <c r="Q60" s="111">
        <v>0.84722222222222221</v>
      </c>
      <c r="R60" s="112">
        <v>0.42499999999999999</v>
      </c>
      <c r="S60" s="112" t="s">
        <v>341</v>
      </c>
      <c r="T60" s="111">
        <v>9000</v>
      </c>
      <c r="U60" s="111" t="s">
        <v>166</v>
      </c>
      <c r="V60" s="111">
        <v>11</v>
      </c>
      <c r="W60" s="111" t="s">
        <v>281</v>
      </c>
      <c r="X60" s="111" t="s">
        <v>243</v>
      </c>
      <c r="Y60" s="111">
        <v>3</v>
      </c>
      <c r="Z60" s="111" t="s">
        <v>222</v>
      </c>
      <c r="AA60" s="111" t="s">
        <v>223</v>
      </c>
      <c r="AB60" s="112">
        <v>2.8402777777777777</v>
      </c>
      <c r="AC60" s="112">
        <v>1.2722222222222221</v>
      </c>
      <c r="AD60" s="43"/>
      <c r="AE60" s="43"/>
      <c r="AF60" s="47"/>
    </row>
    <row r="61" spans="13:32" x14ac:dyDescent="0.25">
      <c r="M61" s="43">
        <v>149</v>
      </c>
      <c r="N61" s="111">
        <v>20</v>
      </c>
      <c r="O61" s="111">
        <v>5</v>
      </c>
      <c r="P61" s="111">
        <v>4</v>
      </c>
      <c r="Q61" s="111">
        <v>0.84722222222222221</v>
      </c>
      <c r="R61" s="112">
        <v>0.42499999999999999</v>
      </c>
      <c r="S61" s="112" t="s">
        <v>341</v>
      </c>
      <c r="T61" s="111">
        <v>9000</v>
      </c>
      <c r="U61" s="111" t="s">
        <v>166</v>
      </c>
      <c r="V61" s="111">
        <v>6</v>
      </c>
      <c r="W61" s="111" t="s">
        <v>279</v>
      </c>
      <c r="X61" s="111" t="s">
        <v>275</v>
      </c>
      <c r="Y61" s="111">
        <v>3</v>
      </c>
      <c r="Z61" s="111" t="s">
        <v>222</v>
      </c>
      <c r="AA61" s="111" t="s">
        <v>223</v>
      </c>
      <c r="AB61" s="112">
        <v>2.8402777777777777</v>
      </c>
      <c r="AC61" s="112">
        <v>1.2722222222222221</v>
      </c>
      <c r="AD61" s="43"/>
      <c r="AE61" s="43"/>
      <c r="AF61" s="47"/>
    </row>
    <row r="62" spans="13:32" x14ac:dyDescent="0.25">
      <c r="M62" s="43">
        <v>150</v>
      </c>
      <c r="N62" s="111">
        <v>20</v>
      </c>
      <c r="O62" s="111">
        <v>5</v>
      </c>
      <c r="P62" s="111">
        <v>3</v>
      </c>
      <c r="Q62" s="111">
        <v>0.84722222222222221</v>
      </c>
      <c r="R62" s="112">
        <v>0.42499999999999999</v>
      </c>
      <c r="S62" s="112" t="s">
        <v>341</v>
      </c>
      <c r="T62" s="111">
        <v>9000</v>
      </c>
      <c r="U62" s="111" t="s">
        <v>166</v>
      </c>
      <c r="V62" s="111">
        <v>6</v>
      </c>
      <c r="W62" s="111" t="s">
        <v>276</v>
      </c>
      <c r="X62" s="111" t="s">
        <v>275</v>
      </c>
      <c r="Y62" s="111">
        <v>3</v>
      </c>
      <c r="Z62" s="111" t="s">
        <v>222</v>
      </c>
      <c r="AA62" s="111" t="s">
        <v>223</v>
      </c>
      <c r="AB62" s="112">
        <v>2.8402777777777777</v>
      </c>
      <c r="AC62" s="112">
        <v>1.2722222222222221</v>
      </c>
      <c r="AD62" s="43"/>
      <c r="AE62" s="43"/>
      <c r="AF62" s="47"/>
    </row>
    <row r="63" spans="13:32" x14ac:dyDescent="0.25">
      <c r="M63" s="43">
        <v>151</v>
      </c>
      <c r="N63" s="111">
        <v>20</v>
      </c>
      <c r="O63" s="111">
        <v>4</v>
      </c>
      <c r="P63" s="111">
        <v>1</v>
      </c>
      <c r="Q63" s="111">
        <v>0.84722222222222221</v>
      </c>
      <c r="R63" s="112">
        <v>0.42499999999999999</v>
      </c>
      <c r="S63" s="112" t="s">
        <v>341</v>
      </c>
      <c r="T63" s="111">
        <v>9000</v>
      </c>
      <c r="U63" s="111" t="s">
        <v>165</v>
      </c>
      <c r="V63" s="111">
        <v>1</v>
      </c>
      <c r="W63" s="111" t="s">
        <v>270</v>
      </c>
      <c r="X63" s="111" t="s">
        <v>269</v>
      </c>
      <c r="Y63" s="111">
        <v>3</v>
      </c>
      <c r="Z63" s="111" t="s">
        <v>222</v>
      </c>
      <c r="AA63" s="111" t="s">
        <v>223</v>
      </c>
      <c r="AB63" s="112">
        <v>2.8402777777777777</v>
      </c>
      <c r="AC63" s="112">
        <v>1.2722222222222221</v>
      </c>
      <c r="AD63" s="43"/>
      <c r="AE63" s="43"/>
      <c r="AF63" s="47"/>
    </row>
    <row r="64" spans="13:32" x14ac:dyDescent="0.25">
      <c r="M64" s="43">
        <v>152</v>
      </c>
      <c r="N64" s="111">
        <v>20</v>
      </c>
      <c r="O64" s="111">
        <v>4</v>
      </c>
      <c r="P64" s="111">
        <v>2</v>
      </c>
      <c r="Q64" s="111">
        <v>0.84722222222222221</v>
      </c>
      <c r="R64" s="112">
        <v>0.42499999999999999</v>
      </c>
      <c r="S64" s="112" t="s">
        <v>341</v>
      </c>
      <c r="T64" s="111">
        <v>9000</v>
      </c>
      <c r="U64" s="111" t="s">
        <v>165</v>
      </c>
      <c r="V64" s="111">
        <v>2</v>
      </c>
      <c r="W64" s="111" t="s">
        <v>271</v>
      </c>
      <c r="X64" s="111" t="s">
        <v>271</v>
      </c>
      <c r="Y64" s="111">
        <v>3</v>
      </c>
      <c r="Z64" s="111" t="s">
        <v>222</v>
      </c>
      <c r="AA64" s="111" t="s">
        <v>223</v>
      </c>
      <c r="AB64" s="112">
        <v>2.8402777777777777</v>
      </c>
      <c r="AC64" s="112">
        <v>1.2722222222222221</v>
      </c>
      <c r="AD64" s="43"/>
      <c r="AE64" s="43"/>
      <c r="AF64" s="47"/>
    </row>
    <row r="65" spans="13:32" x14ac:dyDescent="0.25">
      <c r="M65" s="43">
        <v>153</v>
      </c>
      <c r="N65" s="111">
        <v>20</v>
      </c>
      <c r="O65" s="111">
        <v>4</v>
      </c>
      <c r="P65" s="111">
        <v>6</v>
      </c>
      <c r="Q65" s="111">
        <v>0.84722222222222221</v>
      </c>
      <c r="R65" s="112">
        <v>0.42499999999999999</v>
      </c>
      <c r="S65" s="112" t="s">
        <v>341</v>
      </c>
      <c r="T65" s="111">
        <v>9000</v>
      </c>
      <c r="U65" s="111" t="s">
        <v>165</v>
      </c>
      <c r="V65" s="111">
        <v>9</v>
      </c>
      <c r="W65" s="111" t="s">
        <v>280</v>
      </c>
      <c r="X65" s="111" t="s">
        <v>272</v>
      </c>
      <c r="Y65" s="111">
        <v>3</v>
      </c>
      <c r="Z65" s="111" t="s">
        <v>222</v>
      </c>
      <c r="AA65" s="111" t="s">
        <v>223</v>
      </c>
      <c r="AB65" s="112">
        <v>2.8402777777777777</v>
      </c>
      <c r="AC65" s="112">
        <v>1.2722222222222221</v>
      </c>
      <c r="AD65" s="43"/>
      <c r="AE65" s="43"/>
      <c r="AF65" s="47"/>
    </row>
    <row r="66" spans="13:32" x14ac:dyDescent="0.25">
      <c r="M66" s="43">
        <v>154</v>
      </c>
      <c r="N66" s="111">
        <v>20</v>
      </c>
      <c r="O66" s="111">
        <v>4</v>
      </c>
      <c r="P66" s="111">
        <v>6</v>
      </c>
      <c r="Q66" s="111">
        <v>0.84722222222222221</v>
      </c>
      <c r="R66" s="112">
        <v>0.42499999999999999</v>
      </c>
      <c r="S66" s="112" t="s">
        <v>341</v>
      </c>
      <c r="T66" s="111">
        <v>9000</v>
      </c>
      <c r="U66" s="111" t="s">
        <v>165</v>
      </c>
      <c r="V66" s="111">
        <v>9</v>
      </c>
      <c r="W66" s="111" t="s">
        <v>280</v>
      </c>
      <c r="X66" s="111" t="s">
        <v>272</v>
      </c>
      <c r="Y66" s="111">
        <v>3</v>
      </c>
      <c r="Z66" s="111" t="s">
        <v>222</v>
      </c>
      <c r="AA66" s="111" t="s">
        <v>223</v>
      </c>
      <c r="AB66" s="112">
        <v>2.8402777777777777</v>
      </c>
      <c r="AC66" s="112">
        <v>1.2722222222222221</v>
      </c>
      <c r="AD66" s="43"/>
      <c r="AE66" s="43"/>
      <c r="AF66" s="47"/>
    </row>
    <row r="67" spans="13:32" x14ac:dyDescent="0.25">
      <c r="M67" s="43">
        <v>155</v>
      </c>
      <c r="N67" s="111">
        <v>20</v>
      </c>
      <c r="O67" s="111">
        <v>4</v>
      </c>
      <c r="P67" s="111">
        <v>9</v>
      </c>
      <c r="Q67" s="111">
        <v>0.84722222222222221</v>
      </c>
      <c r="R67" s="112">
        <v>0.42499999999999999</v>
      </c>
      <c r="S67" s="112" t="s">
        <v>341</v>
      </c>
      <c r="T67" s="111">
        <v>9000</v>
      </c>
      <c r="U67" s="111" t="s">
        <v>165</v>
      </c>
      <c r="V67" s="111">
        <v>11</v>
      </c>
      <c r="W67" s="111" t="s">
        <v>282</v>
      </c>
      <c r="X67" s="111" t="s">
        <v>243</v>
      </c>
      <c r="Y67" s="111">
        <v>3</v>
      </c>
      <c r="Z67" s="111" t="s">
        <v>222</v>
      </c>
      <c r="AA67" s="111" t="s">
        <v>223</v>
      </c>
      <c r="AB67" s="112">
        <v>2.8402777777777777</v>
      </c>
      <c r="AC67" s="112">
        <v>1.2722222222222221</v>
      </c>
      <c r="AD67" s="43"/>
      <c r="AE67" s="43"/>
      <c r="AF67" s="47"/>
    </row>
    <row r="68" spans="13:32" x14ac:dyDescent="0.25">
      <c r="M68" s="43">
        <v>156</v>
      </c>
      <c r="N68" s="111">
        <v>20</v>
      </c>
      <c r="O68" s="111">
        <v>4</v>
      </c>
      <c r="P68" s="111">
        <v>9</v>
      </c>
      <c r="Q68" s="111">
        <v>0.84722222222222221</v>
      </c>
      <c r="R68" s="112">
        <v>0.42499999999999999</v>
      </c>
      <c r="S68" s="112" t="s">
        <v>341</v>
      </c>
      <c r="T68" s="111">
        <v>9000</v>
      </c>
      <c r="U68" s="111" t="s">
        <v>165</v>
      </c>
      <c r="V68" s="111">
        <v>11</v>
      </c>
      <c r="W68" s="111" t="s">
        <v>282</v>
      </c>
      <c r="X68" s="111" t="s">
        <v>243</v>
      </c>
      <c r="Y68" s="111">
        <v>3</v>
      </c>
      <c r="Z68" s="111" t="s">
        <v>222</v>
      </c>
      <c r="AA68" s="111" t="s">
        <v>223</v>
      </c>
      <c r="AB68" s="112">
        <v>2.8402777777777777</v>
      </c>
      <c r="AC68" s="112">
        <v>1.2722222222222221</v>
      </c>
      <c r="AD68" s="43"/>
      <c r="AE68" s="43"/>
      <c r="AF68" s="47"/>
    </row>
    <row r="69" spans="13:32" x14ac:dyDescent="0.25">
      <c r="M69" s="43">
        <v>157</v>
      </c>
      <c r="N69" s="111">
        <v>20</v>
      </c>
      <c r="O69" s="111">
        <v>4</v>
      </c>
      <c r="P69" s="111">
        <v>5</v>
      </c>
      <c r="Q69" s="111">
        <v>0.84722222222222221</v>
      </c>
      <c r="R69" s="112">
        <v>0.42499999999999999</v>
      </c>
      <c r="S69" s="112" t="s">
        <v>341</v>
      </c>
      <c r="T69" s="111">
        <v>9000</v>
      </c>
      <c r="U69" s="111" t="s">
        <v>165</v>
      </c>
      <c r="V69" s="111">
        <v>9</v>
      </c>
      <c r="W69" s="111" t="s">
        <v>277</v>
      </c>
      <c r="X69" s="111" t="s">
        <v>272</v>
      </c>
      <c r="Y69" s="111">
        <v>3</v>
      </c>
      <c r="Z69" s="111" t="s">
        <v>222</v>
      </c>
      <c r="AA69" s="111" t="s">
        <v>223</v>
      </c>
      <c r="AB69" s="112">
        <v>2.8402777777777777</v>
      </c>
      <c r="AC69" s="112">
        <v>1.2722222222222221</v>
      </c>
      <c r="AD69" s="43"/>
      <c r="AE69" s="43"/>
      <c r="AF69" s="47"/>
    </row>
    <row r="70" spans="13:32" x14ac:dyDescent="0.25">
      <c r="M70" s="43">
        <v>158</v>
      </c>
      <c r="N70" s="111">
        <v>20</v>
      </c>
      <c r="O70" s="111">
        <v>4</v>
      </c>
      <c r="P70" s="111">
        <v>8</v>
      </c>
      <c r="Q70" s="111">
        <v>0.84722222222222221</v>
      </c>
      <c r="R70" s="112">
        <v>0.42499999999999999</v>
      </c>
      <c r="S70" s="112" t="s">
        <v>341</v>
      </c>
      <c r="T70" s="111">
        <v>9000</v>
      </c>
      <c r="U70" s="111" t="s">
        <v>165</v>
      </c>
      <c r="V70" s="111">
        <v>11</v>
      </c>
      <c r="W70" s="111" t="s">
        <v>281</v>
      </c>
      <c r="X70" s="111" t="s">
        <v>243</v>
      </c>
      <c r="Y70" s="111">
        <v>3</v>
      </c>
      <c r="Z70" s="111" t="s">
        <v>222</v>
      </c>
      <c r="AA70" s="111" t="s">
        <v>223</v>
      </c>
      <c r="AB70" s="112">
        <v>2.8402777777777777</v>
      </c>
      <c r="AC70" s="112">
        <v>1.2722222222222221</v>
      </c>
      <c r="AD70" s="43"/>
      <c r="AE70" s="43"/>
      <c r="AF70" s="47"/>
    </row>
    <row r="71" spans="13:32" x14ac:dyDescent="0.25">
      <c r="M71" s="43">
        <v>159</v>
      </c>
      <c r="N71" s="111">
        <v>20</v>
      </c>
      <c r="O71" s="111">
        <v>4</v>
      </c>
      <c r="P71" s="111">
        <v>4</v>
      </c>
      <c r="Q71" s="111">
        <v>0.84722222222222221</v>
      </c>
      <c r="R71" s="112">
        <v>0.42499999999999999</v>
      </c>
      <c r="S71" s="112" t="s">
        <v>341</v>
      </c>
      <c r="T71" s="111">
        <v>9000</v>
      </c>
      <c r="U71" s="111" t="s">
        <v>165</v>
      </c>
      <c r="V71" s="111">
        <v>6</v>
      </c>
      <c r="W71" s="111" t="s">
        <v>279</v>
      </c>
      <c r="X71" s="111" t="s">
        <v>275</v>
      </c>
      <c r="Y71" s="111">
        <v>3</v>
      </c>
      <c r="Z71" s="111" t="s">
        <v>222</v>
      </c>
      <c r="AA71" s="111" t="s">
        <v>223</v>
      </c>
      <c r="AB71" s="112">
        <v>2.8402777777777777</v>
      </c>
      <c r="AC71" s="112">
        <v>1.2722222222222221</v>
      </c>
      <c r="AD71" s="43"/>
      <c r="AE71" s="43"/>
      <c r="AF71" s="47"/>
    </row>
    <row r="72" spans="13:32" x14ac:dyDescent="0.25">
      <c r="M72" s="43">
        <v>160</v>
      </c>
      <c r="N72" s="111">
        <v>20</v>
      </c>
      <c r="O72" s="111">
        <v>4</v>
      </c>
      <c r="P72" s="111">
        <v>3</v>
      </c>
      <c r="Q72" s="111">
        <v>0.84722222222222221</v>
      </c>
      <c r="R72" s="112">
        <v>0.42499999999999999</v>
      </c>
      <c r="S72" s="112" t="s">
        <v>341</v>
      </c>
      <c r="T72" s="111">
        <v>9000</v>
      </c>
      <c r="U72" s="111" t="s">
        <v>165</v>
      </c>
      <c r="V72" s="111">
        <v>6</v>
      </c>
      <c r="W72" s="111" t="s">
        <v>276</v>
      </c>
      <c r="X72" s="111" t="s">
        <v>275</v>
      </c>
      <c r="Y72" s="111">
        <v>3</v>
      </c>
      <c r="Z72" s="111" t="s">
        <v>222</v>
      </c>
      <c r="AA72" s="111" t="s">
        <v>223</v>
      </c>
      <c r="AB72" s="112">
        <v>2.8402777777777777</v>
      </c>
      <c r="AC72" s="112">
        <v>1.2722222222222221</v>
      </c>
      <c r="AD72" s="43"/>
      <c r="AE72" s="43"/>
      <c r="AF72" s="47"/>
    </row>
    <row r="73" spans="13:32" x14ac:dyDescent="0.25">
      <c r="M73" s="43">
        <v>161</v>
      </c>
      <c r="N73" s="111">
        <v>20</v>
      </c>
      <c r="O73" s="111">
        <v>3</v>
      </c>
      <c r="P73" s="111">
        <v>1</v>
      </c>
      <c r="Q73" s="111">
        <v>0.84722222222222221</v>
      </c>
      <c r="R73" s="112">
        <v>0.42499999999999999</v>
      </c>
      <c r="S73" s="112" t="s">
        <v>341</v>
      </c>
      <c r="T73" s="111">
        <v>9000</v>
      </c>
      <c r="U73" s="111" t="s">
        <v>164</v>
      </c>
      <c r="V73" s="111">
        <v>1</v>
      </c>
      <c r="W73" s="111" t="s">
        <v>270</v>
      </c>
      <c r="X73" s="111" t="s">
        <v>269</v>
      </c>
      <c r="Y73" s="111">
        <v>3</v>
      </c>
      <c r="Z73" s="111" t="s">
        <v>222</v>
      </c>
      <c r="AA73" s="111" t="s">
        <v>223</v>
      </c>
      <c r="AB73" s="112">
        <v>2.8402777777777777</v>
      </c>
      <c r="AC73" s="112">
        <v>1.2722222222222221</v>
      </c>
      <c r="AD73" s="43"/>
      <c r="AE73" s="43"/>
      <c r="AF73" s="47"/>
    </row>
    <row r="74" spans="13:32" x14ac:dyDescent="0.25">
      <c r="M74" s="43">
        <v>162</v>
      </c>
      <c r="N74" s="111">
        <v>20</v>
      </c>
      <c r="O74" s="111">
        <v>3</v>
      </c>
      <c r="P74" s="111">
        <v>2</v>
      </c>
      <c r="Q74" s="111">
        <v>0.84722222222222221</v>
      </c>
      <c r="R74" s="112">
        <v>0.42499999999999999</v>
      </c>
      <c r="S74" s="112" t="s">
        <v>341</v>
      </c>
      <c r="T74" s="111">
        <v>9000</v>
      </c>
      <c r="U74" s="111" t="s">
        <v>164</v>
      </c>
      <c r="V74" s="111">
        <v>2</v>
      </c>
      <c r="W74" s="111" t="s">
        <v>271</v>
      </c>
      <c r="X74" s="111" t="s">
        <v>271</v>
      </c>
      <c r="Y74" s="111">
        <v>3</v>
      </c>
      <c r="Z74" s="111" t="s">
        <v>222</v>
      </c>
      <c r="AA74" s="111" t="s">
        <v>223</v>
      </c>
      <c r="AB74" s="112">
        <v>2.8402777777777777</v>
      </c>
      <c r="AC74" s="112">
        <v>1.2722222222222221</v>
      </c>
      <c r="AD74" s="43"/>
      <c r="AE74" s="43"/>
      <c r="AF74" s="47"/>
    </row>
    <row r="75" spans="13:32" x14ac:dyDescent="0.25">
      <c r="M75" s="43">
        <v>163</v>
      </c>
      <c r="N75" s="111">
        <v>20</v>
      </c>
      <c r="O75" s="111">
        <v>3</v>
      </c>
      <c r="P75" s="111">
        <v>6</v>
      </c>
      <c r="Q75" s="111">
        <v>0.84722222222222221</v>
      </c>
      <c r="R75" s="112">
        <v>0.42499999999999999</v>
      </c>
      <c r="S75" s="112" t="s">
        <v>341</v>
      </c>
      <c r="T75" s="111">
        <v>9000</v>
      </c>
      <c r="U75" s="111" t="s">
        <v>164</v>
      </c>
      <c r="V75" s="111">
        <v>9</v>
      </c>
      <c r="W75" s="111" t="s">
        <v>280</v>
      </c>
      <c r="X75" s="111" t="s">
        <v>272</v>
      </c>
      <c r="Y75" s="111">
        <v>3</v>
      </c>
      <c r="Z75" s="111" t="s">
        <v>222</v>
      </c>
      <c r="AA75" s="111" t="s">
        <v>223</v>
      </c>
      <c r="AB75" s="112">
        <v>2.8402777777777777</v>
      </c>
      <c r="AC75" s="112">
        <v>1.2722222222222221</v>
      </c>
      <c r="AD75" s="43"/>
      <c r="AE75" s="43"/>
      <c r="AF75" s="47"/>
    </row>
    <row r="76" spans="13:32" x14ac:dyDescent="0.25">
      <c r="M76" s="43">
        <v>164</v>
      </c>
      <c r="N76" s="111">
        <v>20</v>
      </c>
      <c r="O76" s="111">
        <v>3</v>
      </c>
      <c r="P76" s="111">
        <v>6</v>
      </c>
      <c r="Q76" s="111">
        <v>0.84722222222222221</v>
      </c>
      <c r="R76" s="112">
        <v>0.42499999999999999</v>
      </c>
      <c r="S76" s="112" t="s">
        <v>341</v>
      </c>
      <c r="T76" s="111">
        <v>9000</v>
      </c>
      <c r="U76" s="111" t="s">
        <v>164</v>
      </c>
      <c r="V76" s="111">
        <v>9</v>
      </c>
      <c r="W76" s="111" t="s">
        <v>280</v>
      </c>
      <c r="X76" s="111" t="s">
        <v>272</v>
      </c>
      <c r="Y76" s="111">
        <v>3</v>
      </c>
      <c r="Z76" s="111" t="s">
        <v>222</v>
      </c>
      <c r="AA76" s="111" t="s">
        <v>223</v>
      </c>
      <c r="AB76" s="112">
        <v>2.8402777777777777</v>
      </c>
      <c r="AC76" s="112">
        <v>1.2722222222222221</v>
      </c>
      <c r="AD76" s="43"/>
      <c r="AE76" s="43"/>
      <c r="AF76" s="47"/>
    </row>
    <row r="77" spans="13:32" x14ac:dyDescent="0.25">
      <c r="M77" s="43">
        <v>165</v>
      </c>
      <c r="N77" s="111">
        <v>20</v>
      </c>
      <c r="O77" s="111">
        <v>3</v>
      </c>
      <c r="P77" s="111">
        <v>9</v>
      </c>
      <c r="Q77" s="111">
        <v>0.84722222222222221</v>
      </c>
      <c r="R77" s="112">
        <v>0.42499999999999999</v>
      </c>
      <c r="S77" s="112" t="s">
        <v>341</v>
      </c>
      <c r="T77" s="111">
        <v>9000</v>
      </c>
      <c r="U77" s="111" t="s">
        <v>164</v>
      </c>
      <c r="V77" s="111">
        <v>11</v>
      </c>
      <c r="W77" s="111" t="s">
        <v>282</v>
      </c>
      <c r="X77" s="111" t="s">
        <v>243</v>
      </c>
      <c r="Y77" s="111">
        <v>3</v>
      </c>
      <c r="Z77" s="111" t="s">
        <v>222</v>
      </c>
      <c r="AA77" s="111" t="s">
        <v>223</v>
      </c>
      <c r="AB77" s="112">
        <v>2.8402777777777777</v>
      </c>
      <c r="AC77" s="112">
        <v>1.2722222222222221</v>
      </c>
      <c r="AD77" s="43"/>
      <c r="AE77" s="43"/>
      <c r="AF77" s="47"/>
    </row>
    <row r="78" spans="13:32" x14ac:dyDescent="0.25">
      <c r="M78" s="43">
        <v>166</v>
      </c>
      <c r="N78" s="111">
        <v>20</v>
      </c>
      <c r="O78" s="111">
        <v>3</v>
      </c>
      <c r="P78" s="111">
        <v>9</v>
      </c>
      <c r="Q78" s="111">
        <v>0.84722222222222221</v>
      </c>
      <c r="R78" s="112">
        <v>0.42499999999999999</v>
      </c>
      <c r="S78" s="112" t="s">
        <v>341</v>
      </c>
      <c r="T78" s="111">
        <v>9000</v>
      </c>
      <c r="U78" s="111" t="s">
        <v>164</v>
      </c>
      <c r="V78" s="111">
        <v>11</v>
      </c>
      <c r="W78" s="111" t="s">
        <v>282</v>
      </c>
      <c r="X78" s="111" t="s">
        <v>243</v>
      </c>
      <c r="Y78" s="111">
        <v>3</v>
      </c>
      <c r="Z78" s="111" t="s">
        <v>222</v>
      </c>
      <c r="AA78" s="111" t="s">
        <v>223</v>
      </c>
      <c r="AB78" s="112">
        <v>2.8402777777777777</v>
      </c>
      <c r="AC78" s="112">
        <v>1.2722222222222221</v>
      </c>
      <c r="AD78" s="43"/>
      <c r="AE78" s="43"/>
      <c r="AF78" s="47"/>
    </row>
    <row r="79" spans="13:32" x14ac:dyDescent="0.25">
      <c r="M79" s="43">
        <v>167</v>
      </c>
      <c r="N79" s="111">
        <v>20</v>
      </c>
      <c r="O79" s="111">
        <v>3</v>
      </c>
      <c r="P79" s="111">
        <v>5</v>
      </c>
      <c r="Q79" s="111">
        <v>0.84722222222222221</v>
      </c>
      <c r="R79" s="112">
        <v>0.42499999999999999</v>
      </c>
      <c r="S79" s="112" t="s">
        <v>341</v>
      </c>
      <c r="T79" s="111">
        <v>9000</v>
      </c>
      <c r="U79" s="111" t="s">
        <v>164</v>
      </c>
      <c r="V79" s="111">
        <v>9</v>
      </c>
      <c r="W79" s="111" t="s">
        <v>277</v>
      </c>
      <c r="X79" s="111" t="s">
        <v>272</v>
      </c>
      <c r="Y79" s="111">
        <v>3</v>
      </c>
      <c r="Z79" s="111" t="s">
        <v>222</v>
      </c>
      <c r="AA79" s="111" t="s">
        <v>223</v>
      </c>
      <c r="AB79" s="112">
        <v>2.8402777777777777</v>
      </c>
      <c r="AC79" s="112">
        <v>1.2722222222222221</v>
      </c>
      <c r="AD79" s="43"/>
      <c r="AE79" s="43"/>
      <c r="AF79" s="47"/>
    </row>
    <row r="80" spans="13:32" x14ac:dyDescent="0.25">
      <c r="M80" s="43">
        <v>168</v>
      </c>
      <c r="N80" s="111">
        <v>20</v>
      </c>
      <c r="O80" s="111">
        <v>3</v>
      </c>
      <c r="P80" s="111">
        <v>8</v>
      </c>
      <c r="Q80" s="111">
        <v>0.84722222222222221</v>
      </c>
      <c r="R80" s="112">
        <v>0.42499999999999999</v>
      </c>
      <c r="S80" s="112" t="s">
        <v>341</v>
      </c>
      <c r="T80" s="111">
        <v>9000</v>
      </c>
      <c r="U80" s="111" t="s">
        <v>164</v>
      </c>
      <c r="V80" s="111">
        <v>11</v>
      </c>
      <c r="W80" s="111" t="s">
        <v>281</v>
      </c>
      <c r="X80" s="111" t="s">
        <v>243</v>
      </c>
      <c r="Y80" s="111">
        <v>3</v>
      </c>
      <c r="Z80" s="111" t="s">
        <v>222</v>
      </c>
      <c r="AA80" s="111" t="s">
        <v>223</v>
      </c>
      <c r="AB80" s="112">
        <v>2.8402777777777777</v>
      </c>
      <c r="AC80" s="112">
        <v>1.2722222222222221</v>
      </c>
      <c r="AD80" s="43"/>
      <c r="AE80" s="43"/>
      <c r="AF80" s="47"/>
    </row>
    <row r="81" spans="13:32" x14ac:dyDescent="0.25">
      <c r="M81" s="43">
        <v>169</v>
      </c>
      <c r="N81" s="111">
        <v>20</v>
      </c>
      <c r="O81" s="111">
        <v>3</v>
      </c>
      <c r="P81" s="111">
        <v>4</v>
      </c>
      <c r="Q81" s="111">
        <v>0.84722222222222221</v>
      </c>
      <c r="R81" s="112">
        <v>0.42499999999999999</v>
      </c>
      <c r="S81" s="112" t="s">
        <v>341</v>
      </c>
      <c r="T81" s="111">
        <v>9000</v>
      </c>
      <c r="U81" s="111" t="s">
        <v>164</v>
      </c>
      <c r="V81" s="111">
        <v>6</v>
      </c>
      <c r="W81" s="111" t="s">
        <v>279</v>
      </c>
      <c r="X81" s="111" t="s">
        <v>275</v>
      </c>
      <c r="Y81" s="111">
        <v>3</v>
      </c>
      <c r="Z81" s="111" t="s">
        <v>222</v>
      </c>
      <c r="AA81" s="111" t="s">
        <v>223</v>
      </c>
      <c r="AB81" s="112">
        <v>2.8402777777777777</v>
      </c>
      <c r="AC81" s="112">
        <v>1.2722222222222221</v>
      </c>
      <c r="AD81" s="43"/>
      <c r="AE81" s="43"/>
      <c r="AF81" s="47"/>
    </row>
    <row r="82" spans="13:32" x14ac:dyDescent="0.25">
      <c r="M82" s="43">
        <v>170</v>
      </c>
      <c r="N82" s="111">
        <v>20</v>
      </c>
      <c r="O82" s="111">
        <v>3</v>
      </c>
      <c r="P82" s="111">
        <v>3</v>
      </c>
      <c r="Q82" s="111">
        <v>0.84722222222222221</v>
      </c>
      <c r="R82" s="112">
        <v>0.42499999999999999</v>
      </c>
      <c r="S82" s="112" t="s">
        <v>341</v>
      </c>
      <c r="T82" s="111">
        <v>9000</v>
      </c>
      <c r="U82" s="111" t="s">
        <v>164</v>
      </c>
      <c r="V82" s="111">
        <v>6</v>
      </c>
      <c r="W82" s="111" t="s">
        <v>276</v>
      </c>
      <c r="X82" s="111" t="s">
        <v>275</v>
      </c>
      <c r="Y82" s="111">
        <v>3</v>
      </c>
      <c r="Z82" s="111" t="s">
        <v>222</v>
      </c>
      <c r="AA82" s="111" t="s">
        <v>223</v>
      </c>
      <c r="AB82" s="112">
        <v>2.8402777777777777</v>
      </c>
      <c r="AC82" s="112">
        <v>1.2722222222222221</v>
      </c>
      <c r="AD82" s="43"/>
      <c r="AE82" s="43"/>
      <c r="AF82" s="47"/>
    </row>
    <row r="83" spans="13:32" x14ac:dyDescent="0.25">
      <c r="M83" s="43">
        <v>171</v>
      </c>
      <c r="N83" s="111">
        <v>20</v>
      </c>
      <c r="O83" s="111">
        <v>54</v>
      </c>
      <c r="P83" s="111">
        <v>1</v>
      </c>
      <c r="Q83" s="111">
        <v>0.84722222222222221</v>
      </c>
      <c r="R83" s="112">
        <v>0.42499999999999999</v>
      </c>
      <c r="S83" s="112" t="s">
        <v>341</v>
      </c>
      <c r="T83" s="111">
        <v>9000</v>
      </c>
      <c r="U83" s="111" t="s">
        <v>40</v>
      </c>
      <c r="V83" s="111">
        <v>1</v>
      </c>
      <c r="W83" s="111" t="s">
        <v>270</v>
      </c>
      <c r="X83" s="111" t="s">
        <v>269</v>
      </c>
      <c r="Y83" s="111">
        <v>3</v>
      </c>
      <c r="Z83" s="111" t="s">
        <v>222</v>
      </c>
      <c r="AA83" s="111" t="s">
        <v>223</v>
      </c>
      <c r="AB83" s="112">
        <v>2.8402777777777777</v>
      </c>
      <c r="AC83" s="112">
        <v>1.2722222222222221</v>
      </c>
      <c r="AD83" s="43"/>
      <c r="AE83" s="43"/>
      <c r="AF83" s="47"/>
    </row>
    <row r="84" spans="13:32" x14ac:dyDescent="0.25">
      <c r="M84" s="43">
        <v>172</v>
      </c>
      <c r="N84" s="111">
        <v>20</v>
      </c>
      <c r="O84" s="111">
        <v>54</v>
      </c>
      <c r="P84" s="111">
        <v>2</v>
      </c>
      <c r="Q84" s="111">
        <v>0.84722222222222221</v>
      </c>
      <c r="R84" s="112">
        <v>0.42499999999999999</v>
      </c>
      <c r="S84" s="112" t="s">
        <v>341</v>
      </c>
      <c r="T84" s="111">
        <v>9000</v>
      </c>
      <c r="U84" s="111" t="s">
        <v>40</v>
      </c>
      <c r="V84" s="111">
        <v>2</v>
      </c>
      <c r="W84" s="111" t="s">
        <v>271</v>
      </c>
      <c r="X84" s="111" t="s">
        <v>271</v>
      </c>
      <c r="Y84" s="111">
        <v>3</v>
      </c>
      <c r="Z84" s="111" t="s">
        <v>222</v>
      </c>
      <c r="AA84" s="111" t="s">
        <v>223</v>
      </c>
      <c r="AB84" s="112">
        <v>2.8402777777777777</v>
      </c>
      <c r="AC84" s="112">
        <v>1.2722222222222221</v>
      </c>
      <c r="AD84" s="43"/>
      <c r="AE84" s="43"/>
      <c r="AF84" s="47"/>
    </row>
    <row r="85" spans="13:32" x14ac:dyDescent="0.25">
      <c r="M85" s="43">
        <v>173</v>
      </c>
      <c r="N85" s="111">
        <v>20</v>
      </c>
      <c r="O85" s="111">
        <v>54</v>
      </c>
      <c r="P85" s="111">
        <v>6</v>
      </c>
      <c r="Q85" s="111">
        <v>0.84722222222222221</v>
      </c>
      <c r="R85" s="112">
        <v>0.42499999999999999</v>
      </c>
      <c r="S85" s="112" t="s">
        <v>341</v>
      </c>
      <c r="T85" s="111">
        <v>9000</v>
      </c>
      <c r="U85" s="111" t="s">
        <v>40</v>
      </c>
      <c r="V85" s="111">
        <v>9</v>
      </c>
      <c r="W85" s="111" t="s">
        <v>280</v>
      </c>
      <c r="X85" s="111" t="s">
        <v>272</v>
      </c>
      <c r="Y85" s="111">
        <v>3</v>
      </c>
      <c r="Z85" s="111" t="s">
        <v>222</v>
      </c>
      <c r="AA85" s="111" t="s">
        <v>223</v>
      </c>
      <c r="AB85" s="112">
        <v>2.8402777777777777</v>
      </c>
      <c r="AC85" s="112">
        <v>1.2722222222222221</v>
      </c>
      <c r="AD85" s="43"/>
      <c r="AE85" s="43"/>
      <c r="AF85" s="47"/>
    </row>
    <row r="86" spans="13:32" x14ac:dyDescent="0.25">
      <c r="M86" s="43">
        <v>174</v>
      </c>
      <c r="N86" s="111">
        <v>20</v>
      </c>
      <c r="O86" s="111">
        <v>54</v>
      </c>
      <c r="P86" s="111">
        <v>6</v>
      </c>
      <c r="Q86" s="111">
        <v>0.84722222222222221</v>
      </c>
      <c r="R86" s="112">
        <v>0.42499999999999999</v>
      </c>
      <c r="S86" s="112" t="s">
        <v>341</v>
      </c>
      <c r="T86" s="111">
        <v>9000</v>
      </c>
      <c r="U86" s="111" t="s">
        <v>40</v>
      </c>
      <c r="V86" s="111">
        <v>9</v>
      </c>
      <c r="W86" s="111" t="s">
        <v>280</v>
      </c>
      <c r="X86" s="111" t="s">
        <v>272</v>
      </c>
      <c r="Y86" s="111">
        <v>3</v>
      </c>
      <c r="Z86" s="111" t="s">
        <v>222</v>
      </c>
      <c r="AA86" s="111" t="s">
        <v>223</v>
      </c>
      <c r="AB86" s="112">
        <v>2.8402777777777777</v>
      </c>
      <c r="AC86" s="112">
        <v>1.2722222222222221</v>
      </c>
      <c r="AD86" s="43"/>
      <c r="AE86" s="43"/>
      <c r="AF86" s="47"/>
    </row>
    <row r="87" spans="13:32" x14ac:dyDescent="0.25">
      <c r="M87" s="43">
        <v>175</v>
      </c>
      <c r="N87" s="111">
        <v>20</v>
      </c>
      <c r="O87" s="111">
        <v>54</v>
      </c>
      <c r="P87" s="111">
        <v>9</v>
      </c>
      <c r="Q87" s="111">
        <v>0.84722222222222221</v>
      </c>
      <c r="R87" s="112">
        <v>0.42499999999999999</v>
      </c>
      <c r="S87" s="112" t="s">
        <v>341</v>
      </c>
      <c r="T87" s="111">
        <v>9000</v>
      </c>
      <c r="U87" s="111" t="s">
        <v>40</v>
      </c>
      <c r="V87" s="111">
        <v>11</v>
      </c>
      <c r="W87" s="111" t="s">
        <v>282</v>
      </c>
      <c r="X87" s="111" t="s">
        <v>243</v>
      </c>
      <c r="Y87" s="111">
        <v>3</v>
      </c>
      <c r="Z87" s="111" t="s">
        <v>222</v>
      </c>
      <c r="AA87" s="111" t="s">
        <v>223</v>
      </c>
      <c r="AB87" s="112">
        <v>2.8402777777777777</v>
      </c>
      <c r="AC87" s="112">
        <v>1.2722222222222221</v>
      </c>
      <c r="AD87" s="43"/>
      <c r="AE87" s="43"/>
      <c r="AF87" s="47"/>
    </row>
    <row r="88" spans="13:32" x14ac:dyDescent="0.25">
      <c r="M88" s="43">
        <v>176</v>
      </c>
      <c r="N88" s="111">
        <v>20</v>
      </c>
      <c r="O88" s="111">
        <v>54</v>
      </c>
      <c r="P88" s="111">
        <v>9</v>
      </c>
      <c r="Q88" s="111">
        <v>0.84722222222222221</v>
      </c>
      <c r="R88" s="112">
        <v>0.42499999999999999</v>
      </c>
      <c r="S88" s="112" t="s">
        <v>341</v>
      </c>
      <c r="T88" s="111">
        <v>9000</v>
      </c>
      <c r="U88" s="111" t="s">
        <v>40</v>
      </c>
      <c r="V88" s="111">
        <v>11</v>
      </c>
      <c r="W88" s="111" t="s">
        <v>282</v>
      </c>
      <c r="X88" s="111" t="s">
        <v>243</v>
      </c>
      <c r="Y88" s="111">
        <v>3</v>
      </c>
      <c r="Z88" s="111" t="s">
        <v>222</v>
      </c>
      <c r="AA88" s="111" t="s">
        <v>223</v>
      </c>
      <c r="AB88" s="112">
        <v>2.8402777777777777</v>
      </c>
      <c r="AC88" s="112">
        <v>1.2722222222222221</v>
      </c>
      <c r="AD88" s="43"/>
      <c r="AE88" s="43"/>
      <c r="AF88" s="47"/>
    </row>
    <row r="89" spans="13:32" x14ac:dyDescent="0.25">
      <c r="M89" s="43">
        <v>177</v>
      </c>
      <c r="N89" s="111">
        <v>20</v>
      </c>
      <c r="O89" s="111">
        <v>54</v>
      </c>
      <c r="P89" s="111">
        <v>5</v>
      </c>
      <c r="Q89" s="111">
        <v>0.84722222222222221</v>
      </c>
      <c r="R89" s="112">
        <v>0.42499999999999999</v>
      </c>
      <c r="S89" s="112" t="s">
        <v>341</v>
      </c>
      <c r="T89" s="111">
        <v>9000</v>
      </c>
      <c r="U89" s="111" t="s">
        <v>40</v>
      </c>
      <c r="V89" s="111">
        <v>9</v>
      </c>
      <c r="W89" s="111" t="s">
        <v>277</v>
      </c>
      <c r="X89" s="111" t="s">
        <v>272</v>
      </c>
      <c r="Y89" s="111">
        <v>3</v>
      </c>
      <c r="Z89" s="111" t="s">
        <v>222</v>
      </c>
      <c r="AA89" s="111" t="s">
        <v>223</v>
      </c>
      <c r="AB89" s="112">
        <v>2.8402777777777777</v>
      </c>
      <c r="AC89" s="112">
        <v>1.2722222222222221</v>
      </c>
      <c r="AD89" s="43"/>
      <c r="AE89" s="43"/>
      <c r="AF89" s="47"/>
    </row>
    <row r="90" spans="13:32" x14ac:dyDescent="0.25">
      <c r="M90" s="43">
        <v>178</v>
      </c>
      <c r="N90" s="111">
        <v>20</v>
      </c>
      <c r="O90" s="111">
        <v>54</v>
      </c>
      <c r="P90" s="111">
        <v>8</v>
      </c>
      <c r="Q90" s="111">
        <v>0.84722222222222221</v>
      </c>
      <c r="R90" s="112">
        <v>0.42499999999999999</v>
      </c>
      <c r="S90" s="112" t="s">
        <v>341</v>
      </c>
      <c r="T90" s="111">
        <v>9000</v>
      </c>
      <c r="U90" s="111" t="s">
        <v>40</v>
      </c>
      <c r="V90" s="111">
        <v>11</v>
      </c>
      <c r="W90" s="111" t="s">
        <v>281</v>
      </c>
      <c r="X90" s="111" t="s">
        <v>243</v>
      </c>
      <c r="Y90" s="111">
        <v>3</v>
      </c>
      <c r="Z90" s="111" t="s">
        <v>222</v>
      </c>
      <c r="AA90" s="111" t="s">
        <v>223</v>
      </c>
      <c r="AB90" s="112">
        <v>2.8402777777777777</v>
      </c>
      <c r="AC90" s="112">
        <v>1.2722222222222221</v>
      </c>
      <c r="AD90" s="43"/>
      <c r="AE90" s="43"/>
      <c r="AF90" s="47"/>
    </row>
    <row r="91" spans="13:32" x14ac:dyDescent="0.25">
      <c r="M91" s="43">
        <v>179</v>
      </c>
      <c r="N91" s="111">
        <v>20</v>
      </c>
      <c r="O91" s="111">
        <v>54</v>
      </c>
      <c r="P91" s="111">
        <v>4</v>
      </c>
      <c r="Q91" s="111">
        <v>0.84722222222222221</v>
      </c>
      <c r="R91" s="112">
        <v>0.42499999999999999</v>
      </c>
      <c r="S91" s="112" t="s">
        <v>341</v>
      </c>
      <c r="T91" s="111">
        <v>9000</v>
      </c>
      <c r="U91" s="111" t="s">
        <v>40</v>
      </c>
      <c r="V91" s="111">
        <v>6</v>
      </c>
      <c r="W91" s="111" t="s">
        <v>279</v>
      </c>
      <c r="X91" s="111" t="s">
        <v>275</v>
      </c>
      <c r="Y91" s="111">
        <v>3</v>
      </c>
      <c r="Z91" s="111" t="s">
        <v>222</v>
      </c>
      <c r="AA91" s="111" t="s">
        <v>223</v>
      </c>
      <c r="AB91" s="112">
        <v>2.8402777777777777</v>
      </c>
      <c r="AC91" s="112">
        <v>1.2722222222222221</v>
      </c>
      <c r="AD91" s="43"/>
      <c r="AE91" s="43"/>
      <c r="AF91" s="47"/>
    </row>
    <row r="92" spans="13:32" x14ac:dyDescent="0.25">
      <c r="M92" s="43">
        <v>180</v>
      </c>
      <c r="N92" s="111">
        <v>20</v>
      </c>
      <c r="O92" s="111">
        <v>54</v>
      </c>
      <c r="P92" s="111">
        <v>3</v>
      </c>
      <c r="Q92" s="111">
        <v>0.84722222222222221</v>
      </c>
      <c r="R92" s="112">
        <v>0.42499999999999999</v>
      </c>
      <c r="S92" s="112" t="s">
        <v>341</v>
      </c>
      <c r="T92" s="111">
        <v>9000</v>
      </c>
      <c r="U92" s="111" t="s">
        <v>40</v>
      </c>
      <c r="V92" s="111">
        <v>6</v>
      </c>
      <c r="W92" s="111" t="s">
        <v>276</v>
      </c>
      <c r="X92" s="111" t="s">
        <v>275</v>
      </c>
      <c r="Y92" s="111">
        <v>3</v>
      </c>
      <c r="Z92" s="111" t="s">
        <v>222</v>
      </c>
      <c r="AA92" s="111" t="s">
        <v>223</v>
      </c>
      <c r="AB92" s="112">
        <v>2.8402777777777777</v>
      </c>
      <c r="AC92" s="112">
        <v>1.2722222222222221</v>
      </c>
      <c r="AD92" s="43"/>
      <c r="AE92" s="43"/>
      <c r="AF92" s="47"/>
    </row>
    <row r="93" spans="13:32" x14ac:dyDescent="0.25">
      <c r="O93" s="2"/>
      <c r="P93" s="2"/>
      <c r="Q93" s="2"/>
      <c r="R93" s="2"/>
      <c r="S93" s="90"/>
      <c r="T93" s="52"/>
      <c r="U93" s="52"/>
      <c r="V93" s="84"/>
      <c r="W93" s="2"/>
      <c r="X93" s="2"/>
      <c r="Y93" s="2"/>
      <c r="Z93" s="2"/>
      <c r="AA93" s="2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8992F573-327A-4CD7-A508-A661FDED7744}">
  <ds:schemaRefs/>
</ds:datastoreItem>
</file>

<file path=customXml/itemProps2.xml><?xml version="1.0" encoding="utf-8"?>
<ds:datastoreItem xmlns:ds="http://schemas.openxmlformats.org/officeDocument/2006/customXml" ds:itemID="{91C36F66-5058-4696-973F-F858E5D43C23}">
  <ds:schemaRefs/>
</ds:datastoreItem>
</file>

<file path=customXml/itemProps3.xml><?xml version="1.0" encoding="utf-8"?>
<ds:datastoreItem xmlns:ds="http://schemas.openxmlformats.org/officeDocument/2006/customXml" ds:itemID="{4FBD1FF2-3050-47F2-8AFA-BDA17A6EAE8E}">
  <ds:schemaRefs/>
</ds:datastoreItem>
</file>

<file path=customXml/itemProps4.xml><?xml version="1.0" encoding="utf-8"?>
<ds:datastoreItem xmlns:ds="http://schemas.openxmlformats.org/officeDocument/2006/customXml" ds:itemID="{82933FF2-63DF-4400-AAC0-CA21A5FF35CC}">
  <ds:schemaRefs/>
</ds:datastoreItem>
</file>

<file path=customXml/itemProps5.xml><?xml version="1.0" encoding="utf-8"?>
<ds:datastoreItem xmlns:ds="http://schemas.openxmlformats.org/officeDocument/2006/customXml" ds:itemID="{280EBAB0-D6C7-4F3D-8524-462E93F9F52E}">
  <ds:schemaRefs/>
</ds:datastoreItem>
</file>

<file path=customXml/itemProps6.xml><?xml version="1.0" encoding="utf-8"?>
<ds:datastoreItem xmlns:ds="http://schemas.openxmlformats.org/officeDocument/2006/customXml" ds:itemID="{F01F06F7-14F2-4255-BBCB-B2CC9E7401A4}">
  <ds:schemaRefs/>
</ds:datastoreItem>
</file>

<file path=customXml/itemProps7.xml><?xml version="1.0" encoding="utf-8"?>
<ds:datastoreItem xmlns:ds="http://schemas.openxmlformats.org/officeDocument/2006/customXml" ds:itemID="{381C3125-BE14-44E4-B3A7-CBBE1D4067C2}">
  <ds:schemaRefs/>
</ds:datastoreItem>
</file>

<file path=customXml/itemProps8.xml><?xml version="1.0" encoding="utf-8"?>
<ds:datastoreItem xmlns:ds="http://schemas.openxmlformats.org/officeDocument/2006/customXml" ds:itemID="{06BD91E6-22A5-462E-910F-A615338FC250}">
  <ds:schemaRefs/>
</ds:datastoreItem>
</file>

<file path=customXml/itemProps9.xml><?xml version="1.0" encoding="utf-8"?>
<ds:datastoreItem xmlns:ds="http://schemas.openxmlformats.org/officeDocument/2006/customXml" ds:itemID="{8AE408D0-AA16-424A-ACD9-85B846F34B28}">
  <ds:schemaRefs/>
</ds:datastoreItem>
</file>

<file path=customXml/itemProps10.xml><?xml version="1.0" encoding="utf-8"?>
<ds:datastoreItem xmlns:ds="http://schemas.openxmlformats.org/officeDocument/2006/customXml" ds:itemID="{FD0A6C44-AF39-4A4B-BFD7-0AE76E98E9F7}">
  <ds:schemaRefs/>
</ds:datastoreItem>
</file>

<file path=customXml/itemProps11.xml><?xml version="1.0" encoding="utf-8"?>
<ds:datastoreItem xmlns:ds="http://schemas.openxmlformats.org/officeDocument/2006/customXml" ds:itemID="{6F5DE76A-4B46-422B-84C1-6E7E881BE86B}">
  <ds:schemaRefs/>
</ds:datastoreItem>
</file>

<file path=customXml/itemProps12.xml><?xml version="1.0" encoding="utf-8"?>
<ds:datastoreItem xmlns:ds="http://schemas.openxmlformats.org/officeDocument/2006/customXml" ds:itemID="{E958E4E3-33AB-41F7-890D-B5A5205C6529}">
  <ds:schemaRefs/>
</ds:datastoreItem>
</file>

<file path=customXml/itemProps13.xml><?xml version="1.0" encoding="utf-8"?>
<ds:datastoreItem xmlns:ds="http://schemas.openxmlformats.org/officeDocument/2006/customXml" ds:itemID="{FE71495F-0B72-4872-8105-6EA8524FB8EA}">
  <ds:schemaRefs/>
</ds:datastoreItem>
</file>

<file path=customXml/itemProps14.xml><?xml version="1.0" encoding="utf-8"?>
<ds:datastoreItem xmlns:ds="http://schemas.openxmlformats.org/officeDocument/2006/customXml" ds:itemID="{FE6D700A-3B06-4E11-AC97-F2BE3D47ACBA}">
  <ds:schemaRefs/>
</ds:datastoreItem>
</file>

<file path=customXml/itemProps15.xml><?xml version="1.0" encoding="utf-8"?>
<ds:datastoreItem xmlns:ds="http://schemas.openxmlformats.org/officeDocument/2006/customXml" ds:itemID="{3EA0AC82-CE9C-4DC3-A870-08CF52D54FAB}">
  <ds:schemaRefs/>
</ds:datastoreItem>
</file>

<file path=customXml/itemProps16.xml><?xml version="1.0" encoding="utf-8"?>
<ds:datastoreItem xmlns:ds="http://schemas.openxmlformats.org/officeDocument/2006/customXml" ds:itemID="{E4A8C763-2B65-4041-BD2B-0EB2E1CE9BDF}">
  <ds:schemaRefs/>
</ds:datastoreItem>
</file>

<file path=customXml/itemProps17.xml><?xml version="1.0" encoding="utf-8"?>
<ds:datastoreItem xmlns:ds="http://schemas.openxmlformats.org/officeDocument/2006/customXml" ds:itemID="{46D3F9FB-6BBF-4D47-BEBF-8A14DC8A7F41}">
  <ds:schemaRefs/>
</ds:datastoreItem>
</file>

<file path=customXml/itemProps18.xml><?xml version="1.0" encoding="utf-8"?>
<ds:datastoreItem xmlns:ds="http://schemas.openxmlformats.org/officeDocument/2006/customXml" ds:itemID="{D5DB2B10-9A30-49D7-B35F-8D0C28BE1552}">
  <ds:schemaRefs/>
</ds:datastoreItem>
</file>

<file path=customXml/itemProps19.xml><?xml version="1.0" encoding="utf-8"?>
<ds:datastoreItem xmlns:ds="http://schemas.openxmlformats.org/officeDocument/2006/customXml" ds:itemID="{C1C78B04-2E82-4E69-ACFA-1E8840679033}">
  <ds:schemaRefs/>
</ds:datastoreItem>
</file>

<file path=customXml/itemProps20.xml><?xml version="1.0" encoding="utf-8"?>
<ds:datastoreItem xmlns:ds="http://schemas.openxmlformats.org/officeDocument/2006/customXml" ds:itemID="{37BB6F2E-760D-46ED-A5E2-C4FE4CCE4ABD}">
  <ds:schemaRefs/>
</ds:datastoreItem>
</file>

<file path=customXml/itemProps21.xml><?xml version="1.0" encoding="utf-8"?>
<ds:datastoreItem xmlns:ds="http://schemas.openxmlformats.org/officeDocument/2006/customXml" ds:itemID="{0A20D4D1-CA6A-4287-85D5-0928AEDC4B4A}">
  <ds:schemaRefs/>
</ds:datastoreItem>
</file>

<file path=customXml/itemProps22.xml><?xml version="1.0" encoding="utf-8"?>
<ds:datastoreItem xmlns:ds="http://schemas.openxmlformats.org/officeDocument/2006/customXml" ds:itemID="{FBCA5601-7EE3-4582-8AA0-D8C74DE15EDE}">
  <ds:schemaRefs/>
</ds:datastoreItem>
</file>

<file path=customXml/itemProps23.xml><?xml version="1.0" encoding="utf-8"?>
<ds:datastoreItem xmlns:ds="http://schemas.openxmlformats.org/officeDocument/2006/customXml" ds:itemID="{751F8F0E-E739-4DE5-AEDB-A7BE39175BD6}">
  <ds:schemaRefs/>
</ds:datastoreItem>
</file>

<file path=customXml/itemProps24.xml><?xml version="1.0" encoding="utf-8"?>
<ds:datastoreItem xmlns:ds="http://schemas.openxmlformats.org/officeDocument/2006/customXml" ds:itemID="{72B2FDF6-20CC-4EBA-9449-9538ED24F692}">
  <ds:schemaRefs/>
</ds:datastoreItem>
</file>

<file path=customXml/itemProps25.xml><?xml version="1.0" encoding="utf-8"?>
<ds:datastoreItem xmlns:ds="http://schemas.openxmlformats.org/officeDocument/2006/customXml" ds:itemID="{533AF923-1421-4AD4-A3BD-D074EB2B31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bc_nl_kh</vt:lpstr>
      <vt:lpstr>loaixd</vt:lpstr>
      <vt:lpstr>nguon_nx</vt:lpstr>
      <vt:lpstr>Sheet2</vt:lpstr>
      <vt:lpstr>socai</vt:lpstr>
      <vt:lpstr>nhiem_vu</vt:lpstr>
      <vt:lpstr>bc_nxt</vt:lpstr>
      <vt:lpstr>Sheet6</vt:lpstr>
      <vt:lpstr>phantich_nhiemvu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2024-11-08T10:57:26Z</dcterms:modified>
</cp:coreProperties>
</file>