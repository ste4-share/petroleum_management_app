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tructhuoc" localSheetId="7" hidden="1">tructhuoc!$A$1:$G$15</definedName>
  </definedNames>
  <calcPr calcId="162913"/>
  <pivotCaches>
    <pivotCache cacheId="0" r:id="rId10"/>
    <pivotCache cacheId="4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B8" i="12"/>
  <c r="C7" i="12"/>
  <c r="V8" i="12"/>
  <c r="U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C8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A2" i="12"/>
  <c r="B2" i="12"/>
  <c r="C2" i="12"/>
  <c r="D2" i="12"/>
  <c r="E2" i="12"/>
  <c r="F2" i="12"/>
  <c r="G2" i="12"/>
  <c r="H2" i="12"/>
  <c r="I2" i="12"/>
  <c r="J2" i="12"/>
  <c r="L2" i="12"/>
  <c r="M2" i="12"/>
  <c r="N2" i="12"/>
  <c r="O2" i="12"/>
  <c r="P2" i="12"/>
  <c r="Q2" i="12"/>
  <c r="R2" i="12"/>
  <c r="S2" i="12"/>
  <c r="T2" i="12"/>
  <c r="D3" i="12"/>
  <c r="J3" i="12"/>
  <c r="K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7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8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0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1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2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3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<sst xmlns="http://schemas.openxmlformats.org/spreadsheetml/2006/main" count="821" uniqueCount="284">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</sst>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4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0" fontId="3" fillId="0" borderId="6" xfId="0" applyFont="1" applyBorder="1" applyAlignment="1">
      <alignment horizontal="left"/>
    </xf>
    <xf numFmtId="165" fontId="3" fillId="0" borderId="0" xfId="0" applyNumberFormat="1" applyFont="1" applyAlignment="1">
      <alignment vertical="center" wrapText="1"/>
    </xf>
    <xf numFmtId="0" fontId="3" fillId="0" borderId="7" xfId="0" applyNumberFormat="1" applyFont="1" applyBorder="1" applyAlignment="1">
      <alignment horizontal="center" vertical="center"/>
    </xf>
    <xf numFmtId="0" fontId="3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489">
    <dxf>
      <font>
        <b/>
      </font>
    </dxf>
    <dxf>
      <font>
        <b/>
      </font>
    </dxf>
    <dxf>
      <font>
        <b/>
      </font>
    </dxf>
    <dxf>
      <font>
        <b val="0"/>
      </font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vertic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vertic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vertic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numFmt numFmtId="27" formatCode="m/d/yyyy\ h:mm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488"/>
    </tableStyle>
    <tableStyle name="PivotTable Style 2" table="0" count="2">
      <tableStyleElement type="wholeTable" dxfId="487"/>
      <tableStyleElement type="lastColumn" dxfId="48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8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82.67325821759" createdVersion="6" refreshedVersion="6" minRefreshableVersion="3" recordCount="816">
  <cacheSource type="external" connectionId="2"/>
  <cacheFields count="10">
    <cacheField name="id" numFmtId="0" sqlType="4">
      <sharedItems containsSemiMixedTypes="0" containsString="0" containsNumber="1" containsInteger="1" minValue="14691" maxValue="15506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Dầu 132-25"/>
        <s v="Hypôit (TC Gip)"/>
        <s v="Dầu AMG-10"/>
        <s v="Turbonicoil210A(IPM-10)"/>
        <s v="Aeroshell Fluid41(AMG-10)"/>
        <s v="Turbonicoil 321(MC8P)"/>
        <s v="Turbonicoil 35M (B3V)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20002" count="6">
        <n v="0"/>
        <n v="20002"/>
        <n v="16482"/>
        <n v="2000"/>
        <n v="20000"/>
        <n v="6000"/>
      </sharedItems>
    </cacheField>
    <cacheField name="title_lv1" numFmtId="0" sqlType="-10">
      <sharedItems count="12">
        <s v="Trong QC"/>
        <s v="Ngoài QC"/>
        <s v="DT cho NV đột xuất"/>
        <s v="DT SSCD"/>
        <s v="QC"/>
        <s v="Mua P/cấp"/>
        <s v="Khác"/>
        <s v="TT Xe máy"/>
        <s v="BQ"/>
        <s v="Hao hụt"/>
        <s v="Tổn thất"/>
        <s v="CXD"/>
      </sharedItems>
    </cacheField>
    <cacheField name="title_lv2" numFmtId="0" sqlType="-10">
      <sharedItems containsBlank="1" count="13">
        <s v="Nhập khác"/>
        <s v="Xuất khác"/>
        <s v="DT cho NV đột xuất"/>
        <s v="DT SSCD"/>
        <s v="QC"/>
        <s v="Mua P/cấp"/>
        <s v="Khác"/>
        <s v="TT Xe máy"/>
        <s v="BQ"/>
        <s v="Hao hụt"/>
        <s v="Tổn thất"/>
        <s v="CXD"/>
        <m u="1"/>
      </sharedItems>
    </cacheField>
    <cacheField name="title_lv3" numFmtId="0" sqlType="-10">
      <sharedItems count="4">
        <s v="Nhập"/>
        <s v="Xuất"/>
        <s v="Tồn đầu kỳ"/>
        <s v="Tồn cuối kỳ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14691"/>
    <x v="0"/>
    <x v="0"/>
    <x v="0"/>
    <x v="0"/>
    <x v="0"/>
    <x v="0"/>
    <x v="0"/>
    <x v="0"/>
  </r>
  <r>
    <n v="14692"/>
    <x v="0"/>
    <x v="0"/>
    <x v="0"/>
    <x v="1"/>
    <x v="1"/>
    <x v="0"/>
    <x v="0"/>
    <x v="0"/>
  </r>
  <r>
    <n v="14693"/>
    <x v="0"/>
    <x v="0"/>
    <x v="1"/>
    <x v="1"/>
    <x v="1"/>
    <x v="0"/>
    <x v="0"/>
    <x v="0"/>
  </r>
  <r>
    <n v="14694"/>
    <x v="0"/>
    <x v="0"/>
    <x v="2"/>
    <x v="2"/>
    <x v="2"/>
    <x v="0"/>
    <x v="0"/>
    <x v="0"/>
  </r>
  <r>
    <n v="14695"/>
    <x v="0"/>
    <x v="0"/>
    <x v="3"/>
    <x v="3"/>
    <x v="2"/>
    <x v="0"/>
    <x v="0"/>
    <x v="0"/>
  </r>
  <r>
    <n v="14697"/>
    <x v="0"/>
    <x v="0"/>
    <x v="4"/>
    <x v="4"/>
    <x v="0"/>
    <x v="0"/>
    <x v="0"/>
    <x v="0"/>
  </r>
  <r>
    <n v="14698"/>
    <x v="0"/>
    <x v="0"/>
    <x v="5"/>
    <x v="5"/>
    <x v="0"/>
    <x v="0"/>
    <x v="0"/>
    <x v="0"/>
  </r>
  <r>
    <n v="14699"/>
    <x v="0"/>
    <x v="0"/>
    <x v="6"/>
    <x v="6"/>
    <x v="0"/>
    <x v="0"/>
    <x v="0"/>
    <x v="0"/>
  </r>
  <r>
    <n v="14700"/>
    <x v="0"/>
    <x v="0"/>
    <x v="7"/>
    <x v="7"/>
    <x v="1"/>
    <x v="0"/>
    <x v="0"/>
    <x v="0"/>
  </r>
  <r>
    <n v="14701"/>
    <x v="0"/>
    <x v="0"/>
    <x v="8"/>
    <x v="8"/>
    <x v="1"/>
    <x v="0"/>
    <x v="0"/>
    <x v="0"/>
  </r>
  <r>
    <n v="14702"/>
    <x v="0"/>
    <x v="0"/>
    <x v="9"/>
    <x v="9"/>
    <x v="1"/>
    <x v="0"/>
    <x v="0"/>
    <x v="0"/>
  </r>
  <r>
    <n v="14703"/>
    <x v="0"/>
    <x v="0"/>
    <x v="10"/>
    <x v="10"/>
    <x v="1"/>
    <x v="0"/>
    <x v="0"/>
    <x v="0"/>
  </r>
  <r>
    <n v="14704"/>
    <x v="0"/>
    <x v="0"/>
    <x v="6"/>
    <x v="6"/>
    <x v="1"/>
    <x v="0"/>
    <x v="0"/>
    <x v="0"/>
  </r>
  <r>
    <n v="14705"/>
    <x v="0"/>
    <x v="0"/>
    <x v="2"/>
    <x v="2"/>
    <x v="3"/>
    <x v="0"/>
    <x v="0"/>
    <x v="0"/>
  </r>
  <r>
    <n v="14706"/>
    <x v="0"/>
    <x v="0"/>
    <x v="3"/>
    <x v="3"/>
    <x v="3"/>
    <x v="0"/>
    <x v="0"/>
    <x v="0"/>
  </r>
  <r>
    <n v="14707"/>
    <x v="1"/>
    <x v="0"/>
    <x v="0"/>
    <x v="0"/>
    <x v="0"/>
    <x v="0"/>
    <x v="0"/>
    <x v="0"/>
  </r>
  <r>
    <n v="14708"/>
    <x v="1"/>
    <x v="0"/>
    <x v="0"/>
    <x v="1"/>
    <x v="1"/>
    <x v="0"/>
    <x v="0"/>
    <x v="0"/>
  </r>
  <r>
    <n v="14709"/>
    <x v="1"/>
    <x v="0"/>
    <x v="1"/>
    <x v="1"/>
    <x v="1"/>
    <x v="0"/>
    <x v="0"/>
    <x v="0"/>
  </r>
  <r>
    <n v="14710"/>
    <x v="1"/>
    <x v="0"/>
    <x v="2"/>
    <x v="2"/>
    <x v="2"/>
    <x v="0"/>
    <x v="0"/>
    <x v="0"/>
  </r>
  <r>
    <n v="14711"/>
    <x v="1"/>
    <x v="0"/>
    <x v="3"/>
    <x v="3"/>
    <x v="2"/>
    <x v="0"/>
    <x v="0"/>
    <x v="0"/>
  </r>
  <r>
    <n v="14713"/>
    <x v="1"/>
    <x v="0"/>
    <x v="4"/>
    <x v="4"/>
    <x v="0"/>
    <x v="0"/>
    <x v="0"/>
    <x v="0"/>
  </r>
  <r>
    <n v="14714"/>
    <x v="1"/>
    <x v="0"/>
    <x v="5"/>
    <x v="5"/>
    <x v="0"/>
    <x v="0"/>
    <x v="0"/>
    <x v="0"/>
  </r>
  <r>
    <n v="14715"/>
    <x v="1"/>
    <x v="0"/>
    <x v="6"/>
    <x v="6"/>
    <x v="0"/>
    <x v="0"/>
    <x v="0"/>
    <x v="0"/>
  </r>
  <r>
    <n v="14716"/>
    <x v="1"/>
    <x v="0"/>
    <x v="7"/>
    <x v="7"/>
    <x v="1"/>
    <x v="0"/>
    <x v="0"/>
    <x v="0"/>
  </r>
  <r>
    <n v="14717"/>
    <x v="1"/>
    <x v="0"/>
    <x v="8"/>
    <x v="8"/>
    <x v="1"/>
    <x v="0"/>
    <x v="0"/>
    <x v="0"/>
  </r>
  <r>
    <n v="14718"/>
    <x v="1"/>
    <x v="0"/>
    <x v="9"/>
    <x v="9"/>
    <x v="1"/>
    <x v="0"/>
    <x v="0"/>
    <x v="0"/>
  </r>
  <r>
    <n v="14719"/>
    <x v="1"/>
    <x v="0"/>
    <x v="10"/>
    <x v="10"/>
    <x v="1"/>
    <x v="0"/>
    <x v="0"/>
    <x v="0"/>
  </r>
  <r>
    <n v="14720"/>
    <x v="1"/>
    <x v="0"/>
    <x v="6"/>
    <x v="6"/>
    <x v="1"/>
    <x v="0"/>
    <x v="0"/>
    <x v="0"/>
  </r>
  <r>
    <n v="14721"/>
    <x v="1"/>
    <x v="0"/>
    <x v="2"/>
    <x v="2"/>
    <x v="3"/>
    <x v="0"/>
    <x v="0"/>
    <x v="0"/>
  </r>
  <r>
    <n v="14722"/>
    <x v="1"/>
    <x v="0"/>
    <x v="3"/>
    <x v="3"/>
    <x v="3"/>
    <x v="0"/>
    <x v="0"/>
    <x v="0"/>
  </r>
  <r>
    <n v="14723"/>
    <x v="2"/>
    <x v="0"/>
    <x v="0"/>
    <x v="0"/>
    <x v="0"/>
    <x v="1"/>
    <x v="1"/>
    <x v="0"/>
  </r>
  <r>
    <n v="14724"/>
    <x v="2"/>
    <x v="0"/>
    <x v="0"/>
    <x v="1"/>
    <x v="1"/>
    <x v="1"/>
    <x v="1"/>
    <x v="0"/>
  </r>
  <r>
    <n v="14725"/>
    <x v="2"/>
    <x v="0"/>
    <x v="1"/>
    <x v="1"/>
    <x v="1"/>
    <x v="1"/>
    <x v="1"/>
    <x v="0"/>
  </r>
  <r>
    <n v="14726"/>
    <x v="2"/>
    <x v="0"/>
    <x v="2"/>
    <x v="2"/>
    <x v="2"/>
    <x v="1"/>
    <x v="1"/>
    <x v="0"/>
  </r>
  <r>
    <n v="14727"/>
    <x v="2"/>
    <x v="0"/>
    <x v="3"/>
    <x v="3"/>
    <x v="2"/>
    <x v="1"/>
    <x v="1"/>
    <x v="0"/>
  </r>
  <r>
    <n v="14729"/>
    <x v="2"/>
    <x v="0"/>
    <x v="4"/>
    <x v="4"/>
    <x v="0"/>
    <x v="1"/>
    <x v="1"/>
    <x v="0"/>
  </r>
  <r>
    <n v="14730"/>
    <x v="2"/>
    <x v="0"/>
    <x v="5"/>
    <x v="5"/>
    <x v="0"/>
    <x v="1"/>
    <x v="1"/>
    <x v="0"/>
  </r>
  <r>
    <n v="14731"/>
    <x v="2"/>
    <x v="0"/>
    <x v="6"/>
    <x v="6"/>
    <x v="0"/>
    <x v="1"/>
    <x v="1"/>
    <x v="0"/>
  </r>
  <r>
    <n v="14732"/>
    <x v="2"/>
    <x v="0"/>
    <x v="7"/>
    <x v="7"/>
    <x v="1"/>
    <x v="1"/>
    <x v="1"/>
    <x v="0"/>
  </r>
  <r>
    <n v="14733"/>
    <x v="2"/>
    <x v="0"/>
    <x v="8"/>
    <x v="8"/>
    <x v="1"/>
    <x v="1"/>
    <x v="1"/>
    <x v="0"/>
  </r>
  <r>
    <n v="14734"/>
    <x v="2"/>
    <x v="0"/>
    <x v="9"/>
    <x v="9"/>
    <x v="1"/>
    <x v="1"/>
    <x v="1"/>
    <x v="0"/>
  </r>
  <r>
    <n v="14735"/>
    <x v="2"/>
    <x v="0"/>
    <x v="10"/>
    <x v="10"/>
    <x v="1"/>
    <x v="1"/>
    <x v="1"/>
    <x v="0"/>
  </r>
  <r>
    <n v="14736"/>
    <x v="2"/>
    <x v="0"/>
    <x v="6"/>
    <x v="6"/>
    <x v="1"/>
    <x v="1"/>
    <x v="1"/>
    <x v="0"/>
  </r>
  <r>
    <n v="14737"/>
    <x v="2"/>
    <x v="0"/>
    <x v="2"/>
    <x v="2"/>
    <x v="3"/>
    <x v="1"/>
    <x v="1"/>
    <x v="0"/>
  </r>
  <r>
    <n v="14738"/>
    <x v="2"/>
    <x v="0"/>
    <x v="3"/>
    <x v="3"/>
    <x v="3"/>
    <x v="1"/>
    <x v="1"/>
    <x v="0"/>
  </r>
  <r>
    <n v="14739"/>
    <x v="3"/>
    <x v="0"/>
    <x v="0"/>
    <x v="0"/>
    <x v="0"/>
    <x v="2"/>
    <x v="2"/>
    <x v="0"/>
  </r>
  <r>
    <n v="14740"/>
    <x v="3"/>
    <x v="0"/>
    <x v="0"/>
    <x v="1"/>
    <x v="1"/>
    <x v="2"/>
    <x v="2"/>
    <x v="0"/>
  </r>
  <r>
    <n v="14741"/>
    <x v="3"/>
    <x v="0"/>
    <x v="1"/>
    <x v="1"/>
    <x v="1"/>
    <x v="2"/>
    <x v="2"/>
    <x v="0"/>
  </r>
  <r>
    <n v="14742"/>
    <x v="3"/>
    <x v="0"/>
    <x v="2"/>
    <x v="2"/>
    <x v="2"/>
    <x v="2"/>
    <x v="2"/>
    <x v="0"/>
  </r>
  <r>
    <n v="14743"/>
    <x v="3"/>
    <x v="0"/>
    <x v="3"/>
    <x v="3"/>
    <x v="2"/>
    <x v="2"/>
    <x v="2"/>
    <x v="0"/>
  </r>
  <r>
    <n v="14744"/>
    <x v="3"/>
    <x v="0"/>
    <x v="11"/>
    <x v="11"/>
    <x v="0"/>
    <x v="2"/>
    <x v="2"/>
    <x v="0"/>
  </r>
  <r>
    <n v="14745"/>
    <x v="3"/>
    <x v="0"/>
    <x v="4"/>
    <x v="4"/>
    <x v="0"/>
    <x v="2"/>
    <x v="2"/>
    <x v="0"/>
  </r>
  <r>
    <n v="14746"/>
    <x v="3"/>
    <x v="0"/>
    <x v="5"/>
    <x v="5"/>
    <x v="0"/>
    <x v="2"/>
    <x v="2"/>
    <x v="0"/>
  </r>
  <r>
    <n v="14747"/>
    <x v="3"/>
    <x v="0"/>
    <x v="6"/>
    <x v="6"/>
    <x v="0"/>
    <x v="2"/>
    <x v="2"/>
    <x v="0"/>
  </r>
  <r>
    <n v="14748"/>
    <x v="3"/>
    <x v="0"/>
    <x v="7"/>
    <x v="7"/>
    <x v="1"/>
    <x v="2"/>
    <x v="2"/>
    <x v="0"/>
  </r>
  <r>
    <n v="14749"/>
    <x v="3"/>
    <x v="0"/>
    <x v="8"/>
    <x v="8"/>
    <x v="1"/>
    <x v="2"/>
    <x v="2"/>
    <x v="0"/>
  </r>
  <r>
    <n v="14750"/>
    <x v="3"/>
    <x v="0"/>
    <x v="9"/>
    <x v="9"/>
    <x v="1"/>
    <x v="2"/>
    <x v="2"/>
    <x v="0"/>
  </r>
  <r>
    <n v="14751"/>
    <x v="3"/>
    <x v="0"/>
    <x v="10"/>
    <x v="10"/>
    <x v="1"/>
    <x v="2"/>
    <x v="2"/>
    <x v="0"/>
  </r>
  <r>
    <n v="14752"/>
    <x v="3"/>
    <x v="0"/>
    <x v="6"/>
    <x v="6"/>
    <x v="1"/>
    <x v="2"/>
    <x v="2"/>
    <x v="0"/>
  </r>
  <r>
    <n v="14753"/>
    <x v="3"/>
    <x v="0"/>
    <x v="2"/>
    <x v="2"/>
    <x v="3"/>
    <x v="2"/>
    <x v="2"/>
    <x v="0"/>
  </r>
  <r>
    <n v="14754"/>
    <x v="3"/>
    <x v="0"/>
    <x v="3"/>
    <x v="3"/>
    <x v="3"/>
    <x v="2"/>
    <x v="2"/>
    <x v="0"/>
  </r>
  <r>
    <n v="14712"/>
    <x v="1"/>
    <x v="1"/>
    <x v="11"/>
    <x v="11"/>
    <x v="0"/>
    <x v="0"/>
    <x v="0"/>
    <x v="0"/>
  </r>
  <r>
    <n v="14728"/>
    <x v="2"/>
    <x v="2"/>
    <x v="11"/>
    <x v="11"/>
    <x v="0"/>
    <x v="1"/>
    <x v="1"/>
    <x v="0"/>
  </r>
  <r>
    <n v="14755"/>
    <x v="4"/>
    <x v="0"/>
    <x v="0"/>
    <x v="0"/>
    <x v="0"/>
    <x v="2"/>
    <x v="2"/>
    <x v="0"/>
  </r>
  <r>
    <n v="14756"/>
    <x v="4"/>
    <x v="0"/>
    <x v="0"/>
    <x v="1"/>
    <x v="1"/>
    <x v="2"/>
    <x v="2"/>
    <x v="0"/>
  </r>
  <r>
    <n v="14757"/>
    <x v="4"/>
    <x v="0"/>
    <x v="1"/>
    <x v="1"/>
    <x v="1"/>
    <x v="2"/>
    <x v="2"/>
    <x v="0"/>
  </r>
  <r>
    <n v="14758"/>
    <x v="4"/>
    <x v="0"/>
    <x v="2"/>
    <x v="2"/>
    <x v="2"/>
    <x v="2"/>
    <x v="2"/>
    <x v="0"/>
  </r>
  <r>
    <n v="14759"/>
    <x v="4"/>
    <x v="0"/>
    <x v="3"/>
    <x v="3"/>
    <x v="2"/>
    <x v="2"/>
    <x v="2"/>
    <x v="0"/>
  </r>
  <r>
    <n v="14762"/>
    <x v="4"/>
    <x v="0"/>
    <x v="5"/>
    <x v="5"/>
    <x v="0"/>
    <x v="2"/>
    <x v="2"/>
    <x v="0"/>
  </r>
  <r>
    <n v="14763"/>
    <x v="4"/>
    <x v="0"/>
    <x v="6"/>
    <x v="6"/>
    <x v="0"/>
    <x v="2"/>
    <x v="2"/>
    <x v="0"/>
  </r>
  <r>
    <n v="14764"/>
    <x v="4"/>
    <x v="0"/>
    <x v="7"/>
    <x v="7"/>
    <x v="1"/>
    <x v="2"/>
    <x v="2"/>
    <x v="0"/>
  </r>
  <r>
    <n v="14765"/>
    <x v="4"/>
    <x v="0"/>
    <x v="8"/>
    <x v="8"/>
    <x v="1"/>
    <x v="2"/>
    <x v="2"/>
    <x v="0"/>
  </r>
  <r>
    <n v="14766"/>
    <x v="4"/>
    <x v="0"/>
    <x v="9"/>
    <x v="9"/>
    <x v="1"/>
    <x v="2"/>
    <x v="2"/>
    <x v="0"/>
  </r>
  <r>
    <n v="14767"/>
    <x v="4"/>
    <x v="0"/>
    <x v="10"/>
    <x v="10"/>
    <x v="1"/>
    <x v="2"/>
    <x v="2"/>
    <x v="0"/>
  </r>
  <r>
    <n v="14768"/>
    <x v="4"/>
    <x v="0"/>
    <x v="6"/>
    <x v="6"/>
    <x v="1"/>
    <x v="2"/>
    <x v="2"/>
    <x v="0"/>
  </r>
  <r>
    <n v="14769"/>
    <x v="4"/>
    <x v="0"/>
    <x v="2"/>
    <x v="2"/>
    <x v="3"/>
    <x v="2"/>
    <x v="2"/>
    <x v="0"/>
  </r>
  <r>
    <n v="14770"/>
    <x v="4"/>
    <x v="0"/>
    <x v="3"/>
    <x v="3"/>
    <x v="3"/>
    <x v="2"/>
    <x v="2"/>
    <x v="0"/>
  </r>
  <r>
    <n v="14771"/>
    <x v="5"/>
    <x v="0"/>
    <x v="0"/>
    <x v="0"/>
    <x v="0"/>
    <x v="3"/>
    <x v="3"/>
    <x v="0"/>
  </r>
  <r>
    <n v="14772"/>
    <x v="5"/>
    <x v="0"/>
    <x v="0"/>
    <x v="1"/>
    <x v="1"/>
    <x v="3"/>
    <x v="3"/>
    <x v="0"/>
  </r>
  <r>
    <n v="14773"/>
    <x v="5"/>
    <x v="0"/>
    <x v="1"/>
    <x v="1"/>
    <x v="1"/>
    <x v="3"/>
    <x v="3"/>
    <x v="0"/>
  </r>
  <r>
    <n v="14774"/>
    <x v="5"/>
    <x v="0"/>
    <x v="2"/>
    <x v="2"/>
    <x v="2"/>
    <x v="3"/>
    <x v="3"/>
    <x v="0"/>
  </r>
  <r>
    <n v="14775"/>
    <x v="5"/>
    <x v="0"/>
    <x v="3"/>
    <x v="3"/>
    <x v="2"/>
    <x v="3"/>
    <x v="3"/>
    <x v="0"/>
  </r>
  <r>
    <n v="14776"/>
    <x v="5"/>
    <x v="0"/>
    <x v="11"/>
    <x v="11"/>
    <x v="0"/>
    <x v="3"/>
    <x v="3"/>
    <x v="0"/>
  </r>
  <r>
    <n v="14777"/>
    <x v="5"/>
    <x v="0"/>
    <x v="4"/>
    <x v="4"/>
    <x v="0"/>
    <x v="3"/>
    <x v="3"/>
    <x v="0"/>
  </r>
  <r>
    <n v="14778"/>
    <x v="5"/>
    <x v="0"/>
    <x v="5"/>
    <x v="5"/>
    <x v="0"/>
    <x v="3"/>
    <x v="3"/>
    <x v="0"/>
  </r>
  <r>
    <n v="14779"/>
    <x v="5"/>
    <x v="0"/>
    <x v="6"/>
    <x v="6"/>
    <x v="0"/>
    <x v="3"/>
    <x v="3"/>
    <x v="0"/>
  </r>
  <r>
    <n v="14780"/>
    <x v="5"/>
    <x v="0"/>
    <x v="7"/>
    <x v="7"/>
    <x v="1"/>
    <x v="3"/>
    <x v="3"/>
    <x v="0"/>
  </r>
  <r>
    <n v="14781"/>
    <x v="5"/>
    <x v="0"/>
    <x v="8"/>
    <x v="8"/>
    <x v="1"/>
    <x v="3"/>
    <x v="3"/>
    <x v="0"/>
  </r>
  <r>
    <n v="14782"/>
    <x v="5"/>
    <x v="0"/>
    <x v="9"/>
    <x v="9"/>
    <x v="1"/>
    <x v="3"/>
    <x v="3"/>
    <x v="0"/>
  </r>
  <r>
    <n v="14783"/>
    <x v="5"/>
    <x v="0"/>
    <x v="10"/>
    <x v="10"/>
    <x v="1"/>
    <x v="3"/>
    <x v="3"/>
    <x v="0"/>
  </r>
  <r>
    <n v="14784"/>
    <x v="5"/>
    <x v="0"/>
    <x v="6"/>
    <x v="6"/>
    <x v="1"/>
    <x v="3"/>
    <x v="3"/>
    <x v="0"/>
  </r>
  <r>
    <n v="14785"/>
    <x v="5"/>
    <x v="0"/>
    <x v="2"/>
    <x v="2"/>
    <x v="3"/>
    <x v="3"/>
    <x v="3"/>
    <x v="0"/>
  </r>
  <r>
    <n v="14786"/>
    <x v="5"/>
    <x v="0"/>
    <x v="3"/>
    <x v="3"/>
    <x v="3"/>
    <x v="3"/>
    <x v="3"/>
    <x v="0"/>
  </r>
  <r>
    <n v="14787"/>
    <x v="3"/>
    <x v="0"/>
    <x v="0"/>
    <x v="0"/>
    <x v="0"/>
    <x v="3"/>
    <x v="3"/>
    <x v="0"/>
  </r>
  <r>
    <n v="14788"/>
    <x v="3"/>
    <x v="0"/>
    <x v="0"/>
    <x v="1"/>
    <x v="1"/>
    <x v="3"/>
    <x v="3"/>
    <x v="0"/>
  </r>
  <r>
    <n v="14789"/>
    <x v="3"/>
    <x v="0"/>
    <x v="1"/>
    <x v="1"/>
    <x v="1"/>
    <x v="3"/>
    <x v="3"/>
    <x v="0"/>
  </r>
  <r>
    <n v="14790"/>
    <x v="3"/>
    <x v="0"/>
    <x v="2"/>
    <x v="2"/>
    <x v="2"/>
    <x v="3"/>
    <x v="3"/>
    <x v="0"/>
  </r>
  <r>
    <n v="14791"/>
    <x v="3"/>
    <x v="0"/>
    <x v="3"/>
    <x v="3"/>
    <x v="2"/>
    <x v="3"/>
    <x v="3"/>
    <x v="0"/>
  </r>
  <r>
    <n v="14792"/>
    <x v="3"/>
    <x v="0"/>
    <x v="11"/>
    <x v="11"/>
    <x v="0"/>
    <x v="3"/>
    <x v="3"/>
    <x v="0"/>
  </r>
  <r>
    <n v="14793"/>
    <x v="3"/>
    <x v="0"/>
    <x v="4"/>
    <x v="4"/>
    <x v="0"/>
    <x v="3"/>
    <x v="3"/>
    <x v="0"/>
  </r>
  <r>
    <n v="14794"/>
    <x v="3"/>
    <x v="0"/>
    <x v="5"/>
    <x v="5"/>
    <x v="0"/>
    <x v="3"/>
    <x v="3"/>
    <x v="0"/>
  </r>
  <r>
    <n v="14795"/>
    <x v="3"/>
    <x v="0"/>
    <x v="6"/>
    <x v="6"/>
    <x v="0"/>
    <x v="3"/>
    <x v="3"/>
    <x v="0"/>
  </r>
  <r>
    <n v="14796"/>
    <x v="3"/>
    <x v="0"/>
    <x v="7"/>
    <x v="7"/>
    <x v="1"/>
    <x v="3"/>
    <x v="3"/>
    <x v="0"/>
  </r>
  <r>
    <n v="14797"/>
    <x v="3"/>
    <x v="0"/>
    <x v="8"/>
    <x v="8"/>
    <x v="1"/>
    <x v="3"/>
    <x v="3"/>
    <x v="0"/>
  </r>
  <r>
    <n v="14798"/>
    <x v="3"/>
    <x v="0"/>
    <x v="9"/>
    <x v="9"/>
    <x v="1"/>
    <x v="3"/>
    <x v="3"/>
    <x v="0"/>
  </r>
  <r>
    <n v="14799"/>
    <x v="3"/>
    <x v="0"/>
    <x v="10"/>
    <x v="10"/>
    <x v="1"/>
    <x v="3"/>
    <x v="3"/>
    <x v="0"/>
  </r>
  <r>
    <n v="14800"/>
    <x v="3"/>
    <x v="0"/>
    <x v="6"/>
    <x v="6"/>
    <x v="1"/>
    <x v="3"/>
    <x v="3"/>
    <x v="0"/>
  </r>
  <r>
    <n v="14801"/>
    <x v="3"/>
    <x v="0"/>
    <x v="2"/>
    <x v="2"/>
    <x v="3"/>
    <x v="3"/>
    <x v="3"/>
    <x v="0"/>
  </r>
  <r>
    <n v="14802"/>
    <x v="3"/>
    <x v="0"/>
    <x v="3"/>
    <x v="3"/>
    <x v="3"/>
    <x v="3"/>
    <x v="3"/>
    <x v="0"/>
  </r>
  <r>
    <n v="14803"/>
    <x v="4"/>
    <x v="0"/>
    <x v="0"/>
    <x v="0"/>
    <x v="0"/>
    <x v="3"/>
    <x v="3"/>
    <x v="0"/>
  </r>
  <r>
    <n v="14804"/>
    <x v="4"/>
    <x v="0"/>
    <x v="0"/>
    <x v="1"/>
    <x v="1"/>
    <x v="3"/>
    <x v="3"/>
    <x v="0"/>
  </r>
  <r>
    <n v="14805"/>
    <x v="4"/>
    <x v="0"/>
    <x v="1"/>
    <x v="1"/>
    <x v="1"/>
    <x v="3"/>
    <x v="3"/>
    <x v="0"/>
  </r>
  <r>
    <n v="14806"/>
    <x v="4"/>
    <x v="0"/>
    <x v="2"/>
    <x v="2"/>
    <x v="2"/>
    <x v="3"/>
    <x v="3"/>
    <x v="0"/>
  </r>
  <r>
    <n v="14807"/>
    <x v="4"/>
    <x v="0"/>
    <x v="3"/>
    <x v="3"/>
    <x v="2"/>
    <x v="3"/>
    <x v="3"/>
    <x v="0"/>
  </r>
  <r>
    <n v="14808"/>
    <x v="4"/>
    <x v="0"/>
    <x v="11"/>
    <x v="11"/>
    <x v="0"/>
    <x v="3"/>
    <x v="3"/>
    <x v="0"/>
  </r>
  <r>
    <n v="14809"/>
    <x v="4"/>
    <x v="0"/>
    <x v="4"/>
    <x v="4"/>
    <x v="0"/>
    <x v="3"/>
    <x v="3"/>
    <x v="0"/>
  </r>
  <r>
    <n v="14810"/>
    <x v="4"/>
    <x v="0"/>
    <x v="5"/>
    <x v="5"/>
    <x v="0"/>
    <x v="3"/>
    <x v="3"/>
    <x v="0"/>
  </r>
  <r>
    <n v="14811"/>
    <x v="4"/>
    <x v="0"/>
    <x v="6"/>
    <x v="6"/>
    <x v="0"/>
    <x v="3"/>
    <x v="3"/>
    <x v="0"/>
  </r>
  <r>
    <n v="14812"/>
    <x v="4"/>
    <x v="0"/>
    <x v="7"/>
    <x v="7"/>
    <x v="1"/>
    <x v="3"/>
    <x v="3"/>
    <x v="0"/>
  </r>
  <r>
    <n v="14813"/>
    <x v="4"/>
    <x v="0"/>
    <x v="8"/>
    <x v="8"/>
    <x v="1"/>
    <x v="3"/>
    <x v="3"/>
    <x v="0"/>
  </r>
  <r>
    <n v="14814"/>
    <x v="4"/>
    <x v="0"/>
    <x v="9"/>
    <x v="9"/>
    <x v="1"/>
    <x v="3"/>
    <x v="3"/>
    <x v="0"/>
  </r>
  <r>
    <n v="14815"/>
    <x v="4"/>
    <x v="0"/>
    <x v="10"/>
    <x v="10"/>
    <x v="1"/>
    <x v="3"/>
    <x v="3"/>
    <x v="0"/>
  </r>
  <r>
    <n v="14816"/>
    <x v="4"/>
    <x v="0"/>
    <x v="6"/>
    <x v="6"/>
    <x v="1"/>
    <x v="3"/>
    <x v="3"/>
    <x v="0"/>
  </r>
  <r>
    <n v="14817"/>
    <x v="4"/>
    <x v="0"/>
    <x v="2"/>
    <x v="2"/>
    <x v="3"/>
    <x v="3"/>
    <x v="3"/>
    <x v="0"/>
  </r>
  <r>
    <n v="14760"/>
    <x v="4"/>
    <x v="3"/>
    <x v="11"/>
    <x v="11"/>
    <x v="0"/>
    <x v="2"/>
    <x v="2"/>
    <x v="0"/>
  </r>
  <r>
    <n v="14818"/>
    <x v="4"/>
    <x v="0"/>
    <x v="3"/>
    <x v="3"/>
    <x v="3"/>
    <x v="3"/>
    <x v="3"/>
    <x v="0"/>
  </r>
  <r>
    <n v="14819"/>
    <x v="6"/>
    <x v="0"/>
    <x v="0"/>
    <x v="0"/>
    <x v="0"/>
    <x v="4"/>
    <x v="4"/>
    <x v="1"/>
  </r>
  <r>
    <n v="14820"/>
    <x v="6"/>
    <x v="0"/>
    <x v="0"/>
    <x v="1"/>
    <x v="1"/>
    <x v="4"/>
    <x v="4"/>
    <x v="1"/>
  </r>
  <r>
    <n v="14821"/>
    <x v="6"/>
    <x v="0"/>
    <x v="1"/>
    <x v="1"/>
    <x v="1"/>
    <x v="4"/>
    <x v="4"/>
    <x v="1"/>
  </r>
  <r>
    <n v="14822"/>
    <x v="6"/>
    <x v="0"/>
    <x v="2"/>
    <x v="2"/>
    <x v="2"/>
    <x v="4"/>
    <x v="4"/>
    <x v="1"/>
  </r>
  <r>
    <n v="14823"/>
    <x v="6"/>
    <x v="0"/>
    <x v="3"/>
    <x v="3"/>
    <x v="2"/>
    <x v="4"/>
    <x v="4"/>
    <x v="1"/>
  </r>
  <r>
    <n v="14824"/>
    <x v="6"/>
    <x v="0"/>
    <x v="11"/>
    <x v="11"/>
    <x v="0"/>
    <x v="4"/>
    <x v="4"/>
    <x v="1"/>
  </r>
  <r>
    <n v="14825"/>
    <x v="6"/>
    <x v="0"/>
    <x v="4"/>
    <x v="4"/>
    <x v="0"/>
    <x v="4"/>
    <x v="4"/>
    <x v="1"/>
  </r>
  <r>
    <n v="14826"/>
    <x v="6"/>
    <x v="0"/>
    <x v="5"/>
    <x v="5"/>
    <x v="0"/>
    <x v="4"/>
    <x v="4"/>
    <x v="1"/>
  </r>
  <r>
    <n v="14827"/>
    <x v="6"/>
    <x v="0"/>
    <x v="6"/>
    <x v="6"/>
    <x v="0"/>
    <x v="4"/>
    <x v="4"/>
    <x v="1"/>
  </r>
  <r>
    <n v="14828"/>
    <x v="6"/>
    <x v="0"/>
    <x v="7"/>
    <x v="7"/>
    <x v="1"/>
    <x v="4"/>
    <x v="4"/>
    <x v="1"/>
  </r>
  <r>
    <n v="14829"/>
    <x v="6"/>
    <x v="0"/>
    <x v="8"/>
    <x v="8"/>
    <x v="1"/>
    <x v="4"/>
    <x v="4"/>
    <x v="1"/>
  </r>
  <r>
    <n v="14830"/>
    <x v="6"/>
    <x v="0"/>
    <x v="9"/>
    <x v="9"/>
    <x v="1"/>
    <x v="4"/>
    <x v="4"/>
    <x v="1"/>
  </r>
  <r>
    <n v="14831"/>
    <x v="6"/>
    <x v="0"/>
    <x v="10"/>
    <x v="10"/>
    <x v="1"/>
    <x v="4"/>
    <x v="4"/>
    <x v="1"/>
  </r>
  <r>
    <n v="14832"/>
    <x v="6"/>
    <x v="0"/>
    <x v="6"/>
    <x v="6"/>
    <x v="1"/>
    <x v="4"/>
    <x v="4"/>
    <x v="1"/>
  </r>
  <r>
    <n v="14833"/>
    <x v="6"/>
    <x v="0"/>
    <x v="2"/>
    <x v="2"/>
    <x v="3"/>
    <x v="4"/>
    <x v="4"/>
    <x v="1"/>
  </r>
  <r>
    <n v="14834"/>
    <x v="6"/>
    <x v="0"/>
    <x v="3"/>
    <x v="3"/>
    <x v="3"/>
    <x v="4"/>
    <x v="4"/>
    <x v="1"/>
  </r>
  <r>
    <n v="14835"/>
    <x v="7"/>
    <x v="0"/>
    <x v="0"/>
    <x v="0"/>
    <x v="0"/>
    <x v="4"/>
    <x v="4"/>
    <x v="1"/>
  </r>
  <r>
    <n v="14836"/>
    <x v="7"/>
    <x v="0"/>
    <x v="0"/>
    <x v="1"/>
    <x v="1"/>
    <x v="4"/>
    <x v="4"/>
    <x v="1"/>
  </r>
  <r>
    <n v="14837"/>
    <x v="7"/>
    <x v="0"/>
    <x v="1"/>
    <x v="1"/>
    <x v="1"/>
    <x v="4"/>
    <x v="4"/>
    <x v="1"/>
  </r>
  <r>
    <n v="14838"/>
    <x v="7"/>
    <x v="0"/>
    <x v="2"/>
    <x v="2"/>
    <x v="2"/>
    <x v="4"/>
    <x v="4"/>
    <x v="1"/>
  </r>
  <r>
    <n v="14839"/>
    <x v="7"/>
    <x v="0"/>
    <x v="3"/>
    <x v="3"/>
    <x v="2"/>
    <x v="4"/>
    <x v="4"/>
    <x v="1"/>
  </r>
  <r>
    <n v="14840"/>
    <x v="7"/>
    <x v="0"/>
    <x v="11"/>
    <x v="11"/>
    <x v="0"/>
    <x v="4"/>
    <x v="4"/>
    <x v="1"/>
  </r>
  <r>
    <n v="14841"/>
    <x v="7"/>
    <x v="0"/>
    <x v="4"/>
    <x v="4"/>
    <x v="0"/>
    <x v="4"/>
    <x v="4"/>
    <x v="1"/>
  </r>
  <r>
    <n v="14842"/>
    <x v="7"/>
    <x v="0"/>
    <x v="5"/>
    <x v="5"/>
    <x v="0"/>
    <x v="4"/>
    <x v="4"/>
    <x v="1"/>
  </r>
  <r>
    <n v="14843"/>
    <x v="7"/>
    <x v="0"/>
    <x v="6"/>
    <x v="6"/>
    <x v="0"/>
    <x v="4"/>
    <x v="4"/>
    <x v="1"/>
  </r>
  <r>
    <n v="14844"/>
    <x v="7"/>
    <x v="0"/>
    <x v="7"/>
    <x v="7"/>
    <x v="1"/>
    <x v="4"/>
    <x v="4"/>
    <x v="1"/>
  </r>
  <r>
    <n v="14845"/>
    <x v="7"/>
    <x v="0"/>
    <x v="8"/>
    <x v="8"/>
    <x v="1"/>
    <x v="4"/>
    <x v="4"/>
    <x v="1"/>
  </r>
  <r>
    <n v="14846"/>
    <x v="7"/>
    <x v="0"/>
    <x v="9"/>
    <x v="9"/>
    <x v="1"/>
    <x v="4"/>
    <x v="4"/>
    <x v="1"/>
  </r>
  <r>
    <n v="14847"/>
    <x v="7"/>
    <x v="0"/>
    <x v="10"/>
    <x v="10"/>
    <x v="1"/>
    <x v="4"/>
    <x v="4"/>
    <x v="1"/>
  </r>
  <r>
    <n v="14848"/>
    <x v="7"/>
    <x v="0"/>
    <x v="6"/>
    <x v="6"/>
    <x v="1"/>
    <x v="4"/>
    <x v="4"/>
    <x v="1"/>
  </r>
  <r>
    <n v="14849"/>
    <x v="7"/>
    <x v="0"/>
    <x v="2"/>
    <x v="2"/>
    <x v="3"/>
    <x v="4"/>
    <x v="4"/>
    <x v="1"/>
  </r>
  <r>
    <n v="14850"/>
    <x v="7"/>
    <x v="0"/>
    <x v="3"/>
    <x v="3"/>
    <x v="3"/>
    <x v="4"/>
    <x v="4"/>
    <x v="1"/>
  </r>
  <r>
    <n v="14851"/>
    <x v="8"/>
    <x v="0"/>
    <x v="0"/>
    <x v="0"/>
    <x v="0"/>
    <x v="4"/>
    <x v="4"/>
    <x v="1"/>
  </r>
  <r>
    <n v="14852"/>
    <x v="8"/>
    <x v="0"/>
    <x v="0"/>
    <x v="1"/>
    <x v="1"/>
    <x v="4"/>
    <x v="4"/>
    <x v="1"/>
  </r>
  <r>
    <n v="14853"/>
    <x v="8"/>
    <x v="0"/>
    <x v="1"/>
    <x v="1"/>
    <x v="1"/>
    <x v="4"/>
    <x v="4"/>
    <x v="1"/>
  </r>
  <r>
    <n v="14854"/>
    <x v="8"/>
    <x v="0"/>
    <x v="2"/>
    <x v="2"/>
    <x v="2"/>
    <x v="4"/>
    <x v="4"/>
    <x v="1"/>
  </r>
  <r>
    <n v="14855"/>
    <x v="8"/>
    <x v="0"/>
    <x v="3"/>
    <x v="3"/>
    <x v="2"/>
    <x v="4"/>
    <x v="4"/>
    <x v="1"/>
  </r>
  <r>
    <n v="14856"/>
    <x v="8"/>
    <x v="0"/>
    <x v="11"/>
    <x v="11"/>
    <x v="0"/>
    <x v="4"/>
    <x v="4"/>
    <x v="1"/>
  </r>
  <r>
    <n v="14857"/>
    <x v="8"/>
    <x v="0"/>
    <x v="4"/>
    <x v="4"/>
    <x v="0"/>
    <x v="4"/>
    <x v="4"/>
    <x v="1"/>
  </r>
  <r>
    <n v="14858"/>
    <x v="8"/>
    <x v="0"/>
    <x v="5"/>
    <x v="5"/>
    <x v="0"/>
    <x v="4"/>
    <x v="4"/>
    <x v="1"/>
  </r>
  <r>
    <n v="14859"/>
    <x v="8"/>
    <x v="0"/>
    <x v="6"/>
    <x v="6"/>
    <x v="0"/>
    <x v="4"/>
    <x v="4"/>
    <x v="1"/>
  </r>
  <r>
    <n v="14860"/>
    <x v="8"/>
    <x v="0"/>
    <x v="7"/>
    <x v="7"/>
    <x v="1"/>
    <x v="4"/>
    <x v="4"/>
    <x v="1"/>
  </r>
  <r>
    <n v="14861"/>
    <x v="8"/>
    <x v="0"/>
    <x v="8"/>
    <x v="8"/>
    <x v="1"/>
    <x v="4"/>
    <x v="4"/>
    <x v="1"/>
  </r>
  <r>
    <n v="14862"/>
    <x v="8"/>
    <x v="0"/>
    <x v="9"/>
    <x v="9"/>
    <x v="1"/>
    <x v="4"/>
    <x v="4"/>
    <x v="1"/>
  </r>
  <r>
    <n v="14863"/>
    <x v="8"/>
    <x v="0"/>
    <x v="10"/>
    <x v="10"/>
    <x v="1"/>
    <x v="4"/>
    <x v="4"/>
    <x v="1"/>
  </r>
  <r>
    <n v="14864"/>
    <x v="8"/>
    <x v="0"/>
    <x v="6"/>
    <x v="6"/>
    <x v="1"/>
    <x v="4"/>
    <x v="4"/>
    <x v="1"/>
  </r>
  <r>
    <n v="14865"/>
    <x v="8"/>
    <x v="0"/>
    <x v="2"/>
    <x v="2"/>
    <x v="3"/>
    <x v="4"/>
    <x v="4"/>
    <x v="1"/>
  </r>
  <r>
    <n v="14866"/>
    <x v="8"/>
    <x v="0"/>
    <x v="3"/>
    <x v="3"/>
    <x v="3"/>
    <x v="4"/>
    <x v="4"/>
    <x v="1"/>
  </r>
  <r>
    <n v="14867"/>
    <x v="9"/>
    <x v="0"/>
    <x v="0"/>
    <x v="0"/>
    <x v="0"/>
    <x v="4"/>
    <x v="4"/>
    <x v="1"/>
  </r>
  <r>
    <n v="14868"/>
    <x v="9"/>
    <x v="0"/>
    <x v="0"/>
    <x v="1"/>
    <x v="1"/>
    <x v="4"/>
    <x v="4"/>
    <x v="1"/>
  </r>
  <r>
    <n v="14869"/>
    <x v="9"/>
    <x v="0"/>
    <x v="1"/>
    <x v="1"/>
    <x v="1"/>
    <x v="4"/>
    <x v="4"/>
    <x v="1"/>
  </r>
  <r>
    <n v="14870"/>
    <x v="9"/>
    <x v="0"/>
    <x v="2"/>
    <x v="2"/>
    <x v="2"/>
    <x v="4"/>
    <x v="4"/>
    <x v="1"/>
  </r>
  <r>
    <n v="14871"/>
    <x v="9"/>
    <x v="0"/>
    <x v="3"/>
    <x v="3"/>
    <x v="2"/>
    <x v="4"/>
    <x v="4"/>
    <x v="1"/>
  </r>
  <r>
    <n v="14872"/>
    <x v="9"/>
    <x v="0"/>
    <x v="11"/>
    <x v="11"/>
    <x v="0"/>
    <x v="4"/>
    <x v="4"/>
    <x v="1"/>
  </r>
  <r>
    <n v="14873"/>
    <x v="9"/>
    <x v="0"/>
    <x v="4"/>
    <x v="4"/>
    <x v="0"/>
    <x v="4"/>
    <x v="4"/>
    <x v="1"/>
  </r>
  <r>
    <n v="14874"/>
    <x v="9"/>
    <x v="0"/>
    <x v="5"/>
    <x v="5"/>
    <x v="0"/>
    <x v="4"/>
    <x v="4"/>
    <x v="1"/>
  </r>
  <r>
    <n v="14875"/>
    <x v="9"/>
    <x v="0"/>
    <x v="6"/>
    <x v="6"/>
    <x v="0"/>
    <x v="4"/>
    <x v="4"/>
    <x v="1"/>
  </r>
  <r>
    <n v="14876"/>
    <x v="9"/>
    <x v="0"/>
    <x v="7"/>
    <x v="7"/>
    <x v="1"/>
    <x v="4"/>
    <x v="4"/>
    <x v="1"/>
  </r>
  <r>
    <n v="14877"/>
    <x v="9"/>
    <x v="0"/>
    <x v="8"/>
    <x v="8"/>
    <x v="1"/>
    <x v="4"/>
    <x v="4"/>
    <x v="1"/>
  </r>
  <r>
    <n v="14878"/>
    <x v="9"/>
    <x v="0"/>
    <x v="9"/>
    <x v="9"/>
    <x v="1"/>
    <x v="4"/>
    <x v="4"/>
    <x v="1"/>
  </r>
  <r>
    <n v="14879"/>
    <x v="9"/>
    <x v="0"/>
    <x v="10"/>
    <x v="10"/>
    <x v="1"/>
    <x v="4"/>
    <x v="4"/>
    <x v="1"/>
  </r>
  <r>
    <n v="14880"/>
    <x v="9"/>
    <x v="0"/>
    <x v="6"/>
    <x v="6"/>
    <x v="1"/>
    <x v="4"/>
    <x v="4"/>
    <x v="1"/>
  </r>
  <r>
    <n v="14881"/>
    <x v="9"/>
    <x v="0"/>
    <x v="2"/>
    <x v="2"/>
    <x v="3"/>
    <x v="4"/>
    <x v="4"/>
    <x v="1"/>
  </r>
  <r>
    <n v="14882"/>
    <x v="9"/>
    <x v="0"/>
    <x v="3"/>
    <x v="3"/>
    <x v="3"/>
    <x v="4"/>
    <x v="4"/>
    <x v="1"/>
  </r>
  <r>
    <n v="14883"/>
    <x v="10"/>
    <x v="0"/>
    <x v="0"/>
    <x v="0"/>
    <x v="0"/>
    <x v="4"/>
    <x v="4"/>
    <x v="1"/>
  </r>
  <r>
    <n v="14884"/>
    <x v="10"/>
    <x v="0"/>
    <x v="0"/>
    <x v="1"/>
    <x v="1"/>
    <x v="4"/>
    <x v="4"/>
    <x v="1"/>
  </r>
  <r>
    <n v="14885"/>
    <x v="10"/>
    <x v="0"/>
    <x v="1"/>
    <x v="1"/>
    <x v="1"/>
    <x v="4"/>
    <x v="4"/>
    <x v="1"/>
  </r>
  <r>
    <n v="14886"/>
    <x v="10"/>
    <x v="0"/>
    <x v="2"/>
    <x v="2"/>
    <x v="2"/>
    <x v="4"/>
    <x v="4"/>
    <x v="1"/>
  </r>
  <r>
    <n v="14887"/>
    <x v="10"/>
    <x v="0"/>
    <x v="3"/>
    <x v="3"/>
    <x v="2"/>
    <x v="4"/>
    <x v="4"/>
    <x v="1"/>
  </r>
  <r>
    <n v="14888"/>
    <x v="10"/>
    <x v="0"/>
    <x v="11"/>
    <x v="11"/>
    <x v="0"/>
    <x v="4"/>
    <x v="4"/>
    <x v="1"/>
  </r>
  <r>
    <n v="14889"/>
    <x v="10"/>
    <x v="0"/>
    <x v="4"/>
    <x v="4"/>
    <x v="0"/>
    <x v="4"/>
    <x v="4"/>
    <x v="1"/>
  </r>
  <r>
    <n v="14890"/>
    <x v="10"/>
    <x v="0"/>
    <x v="5"/>
    <x v="5"/>
    <x v="0"/>
    <x v="4"/>
    <x v="4"/>
    <x v="1"/>
  </r>
  <r>
    <n v="14891"/>
    <x v="10"/>
    <x v="0"/>
    <x v="6"/>
    <x v="6"/>
    <x v="0"/>
    <x v="4"/>
    <x v="4"/>
    <x v="1"/>
  </r>
  <r>
    <n v="14892"/>
    <x v="10"/>
    <x v="0"/>
    <x v="7"/>
    <x v="7"/>
    <x v="1"/>
    <x v="4"/>
    <x v="4"/>
    <x v="1"/>
  </r>
  <r>
    <n v="14893"/>
    <x v="10"/>
    <x v="0"/>
    <x v="8"/>
    <x v="8"/>
    <x v="1"/>
    <x v="4"/>
    <x v="4"/>
    <x v="1"/>
  </r>
  <r>
    <n v="14894"/>
    <x v="10"/>
    <x v="0"/>
    <x v="9"/>
    <x v="9"/>
    <x v="1"/>
    <x v="4"/>
    <x v="4"/>
    <x v="1"/>
  </r>
  <r>
    <n v="14895"/>
    <x v="10"/>
    <x v="0"/>
    <x v="10"/>
    <x v="10"/>
    <x v="1"/>
    <x v="4"/>
    <x v="4"/>
    <x v="1"/>
  </r>
  <r>
    <n v="14896"/>
    <x v="10"/>
    <x v="0"/>
    <x v="6"/>
    <x v="6"/>
    <x v="1"/>
    <x v="4"/>
    <x v="4"/>
    <x v="1"/>
  </r>
  <r>
    <n v="14897"/>
    <x v="10"/>
    <x v="0"/>
    <x v="2"/>
    <x v="2"/>
    <x v="3"/>
    <x v="4"/>
    <x v="4"/>
    <x v="1"/>
  </r>
  <r>
    <n v="14898"/>
    <x v="10"/>
    <x v="0"/>
    <x v="3"/>
    <x v="3"/>
    <x v="3"/>
    <x v="4"/>
    <x v="4"/>
    <x v="1"/>
  </r>
  <r>
    <n v="14899"/>
    <x v="11"/>
    <x v="0"/>
    <x v="0"/>
    <x v="0"/>
    <x v="0"/>
    <x v="4"/>
    <x v="4"/>
    <x v="1"/>
  </r>
  <r>
    <n v="14900"/>
    <x v="11"/>
    <x v="0"/>
    <x v="0"/>
    <x v="1"/>
    <x v="1"/>
    <x v="4"/>
    <x v="4"/>
    <x v="1"/>
  </r>
  <r>
    <n v="14901"/>
    <x v="11"/>
    <x v="0"/>
    <x v="1"/>
    <x v="1"/>
    <x v="1"/>
    <x v="4"/>
    <x v="4"/>
    <x v="1"/>
  </r>
  <r>
    <n v="14902"/>
    <x v="11"/>
    <x v="0"/>
    <x v="2"/>
    <x v="2"/>
    <x v="2"/>
    <x v="4"/>
    <x v="4"/>
    <x v="1"/>
  </r>
  <r>
    <n v="14903"/>
    <x v="11"/>
    <x v="0"/>
    <x v="3"/>
    <x v="3"/>
    <x v="2"/>
    <x v="4"/>
    <x v="4"/>
    <x v="1"/>
  </r>
  <r>
    <n v="14904"/>
    <x v="11"/>
    <x v="0"/>
    <x v="11"/>
    <x v="11"/>
    <x v="0"/>
    <x v="4"/>
    <x v="4"/>
    <x v="1"/>
  </r>
  <r>
    <n v="14905"/>
    <x v="11"/>
    <x v="0"/>
    <x v="4"/>
    <x v="4"/>
    <x v="0"/>
    <x v="4"/>
    <x v="4"/>
    <x v="1"/>
  </r>
  <r>
    <n v="14906"/>
    <x v="11"/>
    <x v="0"/>
    <x v="5"/>
    <x v="5"/>
    <x v="0"/>
    <x v="4"/>
    <x v="4"/>
    <x v="1"/>
  </r>
  <r>
    <n v="14907"/>
    <x v="11"/>
    <x v="0"/>
    <x v="6"/>
    <x v="6"/>
    <x v="0"/>
    <x v="4"/>
    <x v="4"/>
    <x v="1"/>
  </r>
  <r>
    <n v="14908"/>
    <x v="11"/>
    <x v="0"/>
    <x v="7"/>
    <x v="7"/>
    <x v="1"/>
    <x v="4"/>
    <x v="4"/>
    <x v="1"/>
  </r>
  <r>
    <n v="14909"/>
    <x v="11"/>
    <x v="0"/>
    <x v="8"/>
    <x v="8"/>
    <x v="1"/>
    <x v="4"/>
    <x v="4"/>
    <x v="1"/>
  </r>
  <r>
    <n v="14910"/>
    <x v="11"/>
    <x v="0"/>
    <x v="9"/>
    <x v="9"/>
    <x v="1"/>
    <x v="4"/>
    <x v="4"/>
    <x v="1"/>
  </r>
  <r>
    <n v="14911"/>
    <x v="11"/>
    <x v="0"/>
    <x v="10"/>
    <x v="10"/>
    <x v="1"/>
    <x v="4"/>
    <x v="4"/>
    <x v="1"/>
  </r>
  <r>
    <n v="14912"/>
    <x v="11"/>
    <x v="0"/>
    <x v="6"/>
    <x v="6"/>
    <x v="1"/>
    <x v="4"/>
    <x v="4"/>
    <x v="1"/>
  </r>
  <r>
    <n v="14913"/>
    <x v="11"/>
    <x v="0"/>
    <x v="2"/>
    <x v="2"/>
    <x v="3"/>
    <x v="4"/>
    <x v="4"/>
    <x v="1"/>
  </r>
  <r>
    <n v="14914"/>
    <x v="11"/>
    <x v="0"/>
    <x v="3"/>
    <x v="3"/>
    <x v="3"/>
    <x v="4"/>
    <x v="4"/>
    <x v="1"/>
  </r>
  <r>
    <n v="14915"/>
    <x v="12"/>
    <x v="0"/>
    <x v="0"/>
    <x v="0"/>
    <x v="0"/>
    <x v="4"/>
    <x v="4"/>
    <x v="1"/>
  </r>
  <r>
    <n v="14916"/>
    <x v="12"/>
    <x v="0"/>
    <x v="0"/>
    <x v="1"/>
    <x v="1"/>
    <x v="4"/>
    <x v="4"/>
    <x v="1"/>
  </r>
  <r>
    <n v="14917"/>
    <x v="12"/>
    <x v="0"/>
    <x v="1"/>
    <x v="1"/>
    <x v="1"/>
    <x v="4"/>
    <x v="4"/>
    <x v="1"/>
  </r>
  <r>
    <n v="14918"/>
    <x v="12"/>
    <x v="0"/>
    <x v="2"/>
    <x v="2"/>
    <x v="2"/>
    <x v="4"/>
    <x v="4"/>
    <x v="1"/>
  </r>
  <r>
    <n v="14919"/>
    <x v="12"/>
    <x v="0"/>
    <x v="3"/>
    <x v="3"/>
    <x v="2"/>
    <x v="4"/>
    <x v="4"/>
    <x v="1"/>
  </r>
  <r>
    <n v="14920"/>
    <x v="12"/>
    <x v="0"/>
    <x v="11"/>
    <x v="11"/>
    <x v="0"/>
    <x v="4"/>
    <x v="4"/>
    <x v="1"/>
  </r>
  <r>
    <n v="14921"/>
    <x v="12"/>
    <x v="0"/>
    <x v="4"/>
    <x v="4"/>
    <x v="0"/>
    <x v="4"/>
    <x v="4"/>
    <x v="1"/>
  </r>
  <r>
    <n v="14922"/>
    <x v="12"/>
    <x v="0"/>
    <x v="5"/>
    <x v="5"/>
    <x v="0"/>
    <x v="4"/>
    <x v="4"/>
    <x v="1"/>
  </r>
  <r>
    <n v="14923"/>
    <x v="12"/>
    <x v="0"/>
    <x v="6"/>
    <x v="6"/>
    <x v="0"/>
    <x v="4"/>
    <x v="4"/>
    <x v="1"/>
  </r>
  <r>
    <n v="14924"/>
    <x v="12"/>
    <x v="0"/>
    <x v="7"/>
    <x v="7"/>
    <x v="1"/>
    <x v="4"/>
    <x v="4"/>
    <x v="1"/>
  </r>
  <r>
    <n v="14925"/>
    <x v="12"/>
    <x v="0"/>
    <x v="8"/>
    <x v="8"/>
    <x v="1"/>
    <x v="4"/>
    <x v="4"/>
    <x v="1"/>
  </r>
  <r>
    <n v="14926"/>
    <x v="12"/>
    <x v="0"/>
    <x v="9"/>
    <x v="9"/>
    <x v="1"/>
    <x v="4"/>
    <x v="4"/>
    <x v="1"/>
  </r>
  <r>
    <n v="14927"/>
    <x v="12"/>
    <x v="0"/>
    <x v="10"/>
    <x v="10"/>
    <x v="1"/>
    <x v="4"/>
    <x v="4"/>
    <x v="1"/>
  </r>
  <r>
    <n v="14928"/>
    <x v="12"/>
    <x v="0"/>
    <x v="6"/>
    <x v="6"/>
    <x v="1"/>
    <x v="4"/>
    <x v="4"/>
    <x v="1"/>
  </r>
  <r>
    <n v="14929"/>
    <x v="12"/>
    <x v="0"/>
    <x v="2"/>
    <x v="2"/>
    <x v="3"/>
    <x v="4"/>
    <x v="4"/>
    <x v="1"/>
  </r>
  <r>
    <n v="14930"/>
    <x v="12"/>
    <x v="0"/>
    <x v="3"/>
    <x v="3"/>
    <x v="3"/>
    <x v="4"/>
    <x v="4"/>
    <x v="1"/>
  </r>
  <r>
    <n v="14931"/>
    <x v="13"/>
    <x v="0"/>
    <x v="0"/>
    <x v="0"/>
    <x v="0"/>
    <x v="4"/>
    <x v="4"/>
    <x v="1"/>
  </r>
  <r>
    <n v="14932"/>
    <x v="13"/>
    <x v="0"/>
    <x v="0"/>
    <x v="1"/>
    <x v="1"/>
    <x v="4"/>
    <x v="4"/>
    <x v="1"/>
  </r>
  <r>
    <n v="14933"/>
    <x v="13"/>
    <x v="0"/>
    <x v="1"/>
    <x v="1"/>
    <x v="1"/>
    <x v="4"/>
    <x v="4"/>
    <x v="1"/>
  </r>
  <r>
    <n v="14934"/>
    <x v="13"/>
    <x v="0"/>
    <x v="2"/>
    <x v="2"/>
    <x v="2"/>
    <x v="4"/>
    <x v="4"/>
    <x v="1"/>
  </r>
  <r>
    <n v="14935"/>
    <x v="13"/>
    <x v="0"/>
    <x v="3"/>
    <x v="3"/>
    <x v="2"/>
    <x v="4"/>
    <x v="4"/>
    <x v="1"/>
  </r>
  <r>
    <n v="14936"/>
    <x v="13"/>
    <x v="0"/>
    <x v="11"/>
    <x v="11"/>
    <x v="0"/>
    <x v="4"/>
    <x v="4"/>
    <x v="1"/>
  </r>
  <r>
    <n v="14937"/>
    <x v="13"/>
    <x v="0"/>
    <x v="4"/>
    <x v="4"/>
    <x v="0"/>
    <x v="4"/>
    <x v="4"/>
    <x v="1"/>
  </r>
  <r>
    <n v="14938"/>
    <x v="13"/>
    <x v="0"/>
    <x v="5"/>
    <x v="5"/>
    <x v="0"/>
    <x v="4"/>
    <x v="4"/>
    <x v="1"/>
  </r>
  <r>
    <n v="14939"/>
    <x v="13"/>
    <x v="0"/>
    <x v="6"/>
    <x v="6"/>
    <x v="0"/>
    <x v="4"/>
    <x v="4"/>
    <x v="1"/>
  </r>
  <r>
    <n v="14940"/>
    <x v="13"/>
    <x v="0"/>
    <x v="7"/>
    <x v="7"/>
    <x v="1"/>
    <x v="4"/>
    <x v="4"/>
    <x v="1"/>
  </r>
  <r>
    <n v="14941"/>
    <x v="13"/>
    <x v="0"/>
    <x v="8"/>
    <x v="8"/>
    <x v="1"/>
    <x v="4"/>
    <x v="4"/>
    <x v="1"/>
  </r>
  <r>
    <n v="14942"/>
    <x v="13"/>
    <x v="0"/>
    <x v="9"/>
    <x v="9"/>
    <x v="1"/>
    <x v="4"/>
    <x v="4"/>
    <x v="1"/>
  </r>
  <r>
    <n v="14943"/>
    <x v="13"/>
    <x v="0"/>
    <x v="10"/>
    <x v="10"/>
    <x v="1"/>
    <x v="4"/>
    <x v="4"/>
    <x v="1"/>
  </r>
  <r>
    <n v="14944"/>
    <x v="13"/>
    <x v="0"/>
    <x v="6"/>
    <x v="6"/>
    <x v="1"/>
    <x v="4"/>
    <x v="4"/>
    <x v="1"/>
  </r>
  <r>
    <n v="14945"/>
    <x v="13"/>
    <x v="0"/>
    <x v="2"/>
    <x v="2"/>
    <x v="3"/>
    <x v="4"/>
    <x v="4"/>
    <x v="1"/>
  </r>
  <r>
    <n v="14946"/>
    <x v="13"/>
    <x v="0"/>
    <x v="3"/>
    <x v="3"/>
    <x v="3"/>
    <x v="4"/>
    <x v="4"/>
    <x v="1"/>
  </r>
  <r>
    <n v="14947"/>
    <x v="14"/>
    <x v="0"/>
    <x v="0"/>
    <x v="0"/>
    <x v="0"/>
    <x v="4"/>
    <x v="4"/>
    <x v="1"/>
  </r>
  <r>
    <n v="14948"/>
    <x v="14"/>
    <x v="0"/>
    <x v="0"/>
    <x v="1"/>
    <x v="1"/>
    <x v="4"/>
    <x v="4"/>
    <x v="1"/>
  </r>
  <r>
    <n v="14949"/>
    <x v="14"/>
    <x v="0"/>
    <x v="1"/>
    <x v="1"/>
    <x v="1"/>
    <x v="4"/>
    <x v="4"/>
    <x v="1"/>
  </r>
  <r>
    <n v="14950"/>
    <x v="14"/>
    <x v="0"/>
    <x v="2"/>
    <x v="2"/>
    <x v="2"/>
    <x v="4"/>
    <x v="4"/>
    <x v="1"/>
  </r>
  <r>
    <n v="14951"/>
    <x v="14"/>
    <x v="0"/>
    <x v="3"/>
    <x v="3"/>
    <x v="2"/>
    <x v="4"/>
    <x v="4"/>
    <x v="1"/>
  </r>
  <r>
    <n v="14952"/>
    <x v="14"/>
    <x v="0"/>
    <x v="11"/>
    <x v="11"/>
    <x v="0"/>
    <x v="4"/>
    <x v="4"/>
    <x v="1"/>
  </r>
  <r>
    <n v="14953"/>
    <x v="14"/>
    <x v="0"/>
    <x v="4"/>
    <x v="4"/>
    <x v="0"/>
    <x v="4"/>
    <x v="4"/>
    <x v="1"/>
  </r>
  <r>
    <n v="14954"/>
    <x v="14"/>
    <x v="0"/>
    <x v="5"/>
    <x v="5"/>
    <x v="0"/>
    <x v="4"/>
    <x v="4"/>
    <x v="1"/>
  </r>
  <r>
    <n v="14955"/>
    <x v="14"/>
    <x v="0"/>
    <x v="6"/>
    <x v="6"/>
    <x v="0"/>
    <x v="4"/>
    <x v="4"/>
    <x v="1"/>
  </r>
  <r>
    <n v="14956"/>
    <x v="14"/>
    <x v="0"/>
    <x v="7"/>
    <x v="7"/>
    <x v="1"/>
    <x v="4"/>
    <x v="4"/>
    <x v="1"/>
  </r>
  <r>
    <n v="14957"/>
    <x v="14"/>
    <x v="0"/>
    <x v="8"/>
    <x v="8"/>
    <x v="1"/>
    <x v="4"/>
    <x v="4"/>
    <x v="1"/>
  </r>
  <r>
    <n v="14958"/>
    <x v="14"/>
    <x v="0"/>
    <x v="9"/>
    <x v="9"/>
    <x v="1"/>
    <x v="4"/>
    <x v="4"/>
    <x v="1"/>
  </r>
  <r>
    <n v="14959"/>
    <x v="14"/>
    <x v="0"/>
    <x v="10"/>
    <x v="10"/>
    <x v="1"/>
    <x v="4"/>
    <x v="4"/>
    <x v="1"/>
  </r>
  <r>
    <n v="14960"/>
    <x v="14"/>
    <x v="0"/>
    <x v="6"/>
    <x v="6"/>
    <x v="1"/>
    <x v="4"/>
    <x v="4"/>
    <x v="1"/>
  </r>
  <r>
    <n v="14961"/>
    <x v="14"/>
    <x v="0"/>
    <x v="2"/>
    <x v="2"/>
    <x v="3"/>
    <x v="4"/>
    <x v="4"/>
    <x v="1"/>
  </r>
  <r>
    <n v="14962"/>
    <x v="14"/>
    <x v="0"/>
    <x v="3"/>
    <x v="3"/>
    <x v="3"/>
    <x v="4"/>
    <x v="4"/>
    <x v="1"/>
  </r>
  <r>
    <n v="14963"/>
    <x v="15"/>
    <x v="0"/>
    <x v="0"/>
    <x v="0"/>
    <x v="0"/>
    <x v="4"/>
    <x v="4"/>
    <x v="1"/>
  </r>
  <r>
    <n v="14964"/>
    <x v="15"/>
    <x v="0"/>
    <x v="0"/>
    <x v="1"/>
    <x v="1"/>
    <x v="4"/>
    <x v="4"/>
    <x v="1"/>
  </r>
  <r>
    <n v="14965"/>
    <x v="15"/>
    <x v="0"/>
    <x v="1"/>
    <x v="1"/>
    <x v="1"/>
    <x v="4"/>
    <x v="4"/>
    <x v="1"/>
  </r>
  <r>
    <n v="14966"/>
    <x v="15"/>
    <x v="0"/>
    <x v="2"/>
    <x v="2"/>
    <x v="2"/>
    <x v="4"/>
    <x v="4"/>
    <x v="1"/>
  </r>
  <r>
    <n v="14967"/>
    <x v="15"/>
    <x v="0"/>
    <x v="3"/>
    <x v="3"/>
    <x v="2"/>
    <x v="4"/>
    <x v="4"/>
    <x v="1"/>
  </r>
  <r>
    <n v="14968"/>
    <x v="15"/>
    <x v="0"/>
    <x v="11"/>
    <x v="11"/>
    <x v="0"/>
    <x v="4"/>
    <x v="4"/>
    <x v="1"/>
  </r>
  <r>
    <n v="14969"/>
    <x v="15"/>
    <x v="0"/>
    <x v="4"/>
    <x v="4"/>
    <x v="0"/>
    <x v="4"/>
    <x v="4"/>
    <x v="1"/>
  </r>
  <r>
    <n v="14970"/>
    <x v="15"/>
    <x v="0"/>
    <x v="5"/>
    <x v="5"/>
    <x v="0"/>
    <x v="4"/>
    <x v="4"/>
    <x v="1"/>
  </r>
  <r>
    <n v="14971"/>
    <x v="15"/>
    <x v="0"/>
    <x v="6"/>
    <x v="6"/>
    <x v="0"/>
    <x v="4"/>
    <x v="4"/>
    <x v="1"/>
  </r>
  <r>
    <n v="14972"/>
    <x v="15"/>
    <x v="0"/>
    <x v="7"/>
    <x v="7"/>
    <x v="1"/>
    <x v="4"/>
    <x v="4"/>
    <x v="1"/>
  </r>
  <r>
    <n v="14973"/>
    <x v="15"/>
    <x v="0"/>
    <x v="8"/>
    <x v="8"/>
    <x v="1"/>
    <x v="4"/>
    <x v="4"/>
    <x v="1"/>
  </r>
  <r>
    <n v="14974"/>
    <x v="15"/>
    <x v="0"/>
    <x v="9"/>
    <x v="9"/>
    <x v="1"/>
    <x v="4"/>
    <x v="4"/>
    <x v="1"/>
  </r>
  <r>
    <n v="14975"/>
    <x v="15"/>
    <x v="0"/>
    <x v="10"/>
    <x v="10"/>
    <x v="1"/>
    <x v="4"/>
    <x v="4"/>
    <x v="1"/>
  </r>
  <r>
    <n v="14976"/>
    <x v="15"/>
    <x v="0"/>
    <x v="6"/>
    <x v="6"/>
    <x v="1"/>
    <x v="4"/>
    <x v="4"/>
    <x v="1"/>
  </r>
  <r>
    <n v="14977"/>
    <x v="15"/>
    <x v="0"/>
    <x v="2"/>
    <x v="2"/>
    <x v="3"/>
    <x v="4"/>
    <x v="4"/>
    <x v="1"/>
  </r>
  <r>
    <n v="14978"/>
    <x v="15"/>
    <x v="0"/>
    <x v="3"/>
    <x v="3"/>
    <x v="3"/>
    <x v="4"/>
    <x v="4"/>
    <x v="1"/>
  </r>
  <r>
    <n v="14979"/>
    <x v="16"/>
    <x v="0"/>
    <x v="0"/>
    <x v="0"/>
    <x v="0"/>
    <x v="5"/>
    <x v="4"/>
    <x v="1"/>
  </r>
  <r>
    <n v="14980"/>
    <x v="16"/>
    <x v="0"/>
    <x v="0"/>
    <x v="1"/>
    <x v="1"/>
    <x v="5"/>
    <x v="4"/>
    <x v="1"/>
  </r>
  <r>
    <n v="14981"/>
    <x v="16"/>
    <x v="0"/>
    <x v="1"/>
    <x v="1"/>
    <x v="1"/>
    <x v="5"/>
    <x v="4"/>
    <x v="1"/>
  </r>
  <r>
    <n v="14982"/>
    <x v="16"/>
    <x v="0"/>
    <x v="2"/>
    <x v="2"/>
    <x v="2"/>
    <x v="5"/>
    <x v="4"/>
    <x v="1"/>
  </r>
  <r>
    <n v="14983"/>
    <x v="16"/>
    <x v="0"/>
    <x v="3"/>
    <x v="3"/>
    <x v="2"/>
    <x v="5"/>
    <x v="4"/>
    <x v="1"/>
  </r>
  <r>
    <n v="14984"/>
    <x v="16"/>
    <x v="0"/>
    <x v="11"/>
    <x v="11"/>
    <x v="0"/>
    <x v="5"/>
    <x v="4"/>
    <x v="1"/>
  </r>
  <r>
    <n v="14985"/>
    <x v="16"/>
    <x v="0"/>
    <x v="4"/>
    <x v="4"/>
    <x v="0"/>
    <x v="5"/>
    <x v="4"/>
    <x v="1"/>
  </r>
  <r>
    <n v="14986"/>
    <x v="16"/>
    <x v="0"/>
    <x v="5"/>
    <x v="5"/>
    <x v="0"/>
    <x v="5"/>
    <x v="4"/>
    <x v="1"/>
  </r>
  <r>
    <n v="14987"/>
    <x v="16"/>
    <x v="0"/>
    <x v="6"/>
    <x v="6"/>
    <x v="0"/>
    <x v="5"/>
    <x v="4"/>
    <x v="1"/>
  </r>
  <r>
    <n v="14988"/>
    <x v="16"/>
    <x v="0"/>
    <x v="7"/>
    <x v="7"/>
    <x v="1"/>
    <x v="5"/>
    <x v="4"/>
    <x v="1"/>
  </r>
  <r>
    <n v="14989"/>
    <x v="16"/>
    <x v="0"/>
    <x v="8"/>
    <x v="8"/>
    <x v="1"/>
    <x v="5"/>
    <x v="4"/>
    <x v="1"/>
  </r>
  <r>
    <n v="14990"/>
    <x v="16"/>
    <x v="0"/>
    <x v="9"/>
    <x v="9"/>
    <x v="1"/>
    <x v="5"/>
    <x v="4"/>
    <x v="1"/>
  </r>
  <r>
    <n v="14991"/>
    <x v="16"/>
    <x v="0"/>
    <x v="10"/>
    <x v="10"/>
    <x v="1"/>
    <x v="5"/>
    <x v="4"/>
    <x v="1"/>
  </r>
  <r>
    <n v="14992"/>
    <x v="16"/>
    <x v="0"/>
    <x v="6"/>
    <x v="6"/>
    <x v="1"/>
    <x v="5"/>
    <x v="4"/>
    <x v="1"/>
  </r>
  <r>
    <n v="14993"/>
    <x v="16"/>
    <x v="0"/>
    <x v="2"/>
    <x v="2"/>
    <x v="3"/>
    <x v="5"/>
    <x v="4"/>
    <x v="1"/>
  </r>
  <r>
    <n v="14994"/>
    <x v="16"/>
    <x v="0"/>
    <x v="3"/>
    <x v="3"/>
    <x v="3"/>
    <x v="5"/>
    <x v="4"/>
    <x v="1"/>
  </r>
  <r>
    <n v="14995"/>
    <x v="17"/>
    <x v="0"/>
    <x v="0"/>
    <x v="0"/>
    <x v="0"/>
    <x v="5"/>
    <x v="4"/>
    <x v="1"/>
  </r>
  <r>
    <n v="14996"/>
    <x v="17"/>
    <x v="0"/>
    <x v="0"/>
    <x v="1"/>
    <x v="1"/>
    <x v="5"/>
    <x v="4"/>
    <x v="1"/>
  </r>
  <r>
    <n v="14997"/>
    <x v="17"/>
    <x v="0"/>
    <x v="1"/>
    <x v="1"/>
    <x v="1"/>
    <x v="5"/>
    <x v="4"/>
    <x v="1"/>
  </r>
  <r>
    <n v="14998"/>
    <x v="17"/>
    <x v="0"/>
    <x v="2"/>
    <x v="2"/>
    <x v="2"/>
    <x v="5"/>
    <x v="4"/>
    <x v="1"/>
  </r>
  <r>
    <n v="14999"/>
    <x v="17"/>
    <x v="0"/>
    <x v="3"/>
    <x v="3"/>
    <x v="2"/>
    <x v="5"/>
    <x v="4"/>
    <x v="1"/>
  </r>
  <r>
    <n v="15000"/>
    <x v="17"/>
    <x v="0"/>
    <x v="11"/>
    <x v="11"/>
    <x v="0"/>
    <x v="5"/>
    <x v="4"/>
    <x v="1"/>
  </r>
  <r>
    <n v="15001"/>
    <x v="17"/>
    <x v="0"/>
    <x v="4"/>
    <x v="4"/>
    <x v="0"/>
    <x v="5"/>
    <x v="4"/>
    <x v="1"/>
  </r>
  <r>
    <n v="15002"/>
    <x v="17"/>
    <x v="0"/>
    <x v="5"/>
    <x v="5"/>
    <x v="0"/>
    <x v="5"/>
    <x v="4"/>
    <x v="1"/>
  </r>
  <r>
    <n v="15003"/>
    <x v="17"/>
    <x v="0"/>
    <x v="6"/>
    <x v="6"/>
    <x v="0"/>
    <x v="5"/>
    <x v="4"/>
    <x v="1"/>
  </r>
  <r>
    <n v="15004"/>
    <x v="17"/>
    <x v="0"/>
    <x v="7"/>
    <x v="7"/>
    <x v="1"/>
    <x v="5"/>
    <x v="4"/>
    <x v="1"/>
  </r>
  <r>
    <n v="15005"/>
    <x v="17"/>
    <x v="0"/>
    <x v="8"/>
    <x v="8"/>
    <x v="1"/>
    <x v="5"/>
    <x v="4"/>
    <x v="1"/>
  </r>
  <r>
    <n v="15006"/>
    <x v="17"/>
    <x v="0"/>
    <x v="9"/>
    <x v="9"/>
    <x v="1"/>
    <x v="5"/>
    <x v="4"/>
    <x v="1"/>
  </r>
  <r>
    <n v="15007"/>
    <x v="17"/>
    <x v="0"/>
    <x v="10"/>
    <x v="10"/>
    <x v="1"/>
    <x v="5"/>
    <x v="4"/>
    <x v="1"/>
  </r>
  <r>
    <n v="15008"/>
    <x v="17"/>
    <x v="0"/>
    <x v="6"/>
    <x v="6"/>
    <x v="1"/>
    <x v="5"/>
    <x v="4"/>
    <x v="1"/>
  </r>
  <r>
    <n v="15009"/>
    <x v="17"/>
    <x v="0"/>
    <x v="2"/>
    <x v="2"/>
    <x v="3"/>
    <x v="5"/>
    <x v="4"/>
    <x v="1"/>
  </r>
  <r>
    <n v="15010"/>
    <x v="17"/>
    <x v="0"/>
    <x v="3"/>
    <x v="3"/>
    <x v="3"/>
    <x v="5"/>
    <x v="4"/>
    <x v="1"/>
  </r>
  <r>
    <n v="15011"/>
    <x v="18"/>
    <x v="0"/>
    <x v="0"/>
    <x v="0"/>
    <x v="0"/>
    <x v="5"/>
    <x v="4"/>
    <x v="1"/>
  </r>
  <r>
    <n v="15012"/>
    <x v="18"/>
    <x v="0"/>
    <x v="0"/>
    <x v="1"/>
    <x v="1"/>
    <x v="5"/>
    <x v="4"/>
    <x v="1"/>
  </r>
  <r>
    <n v="15013"/>
    <x v="18"/>
    <x v="0"/>
    <x v="1"/>
    <x v="1"/>
    <x v="1"/>
    <x v="5"/>
    <x v="4"/>
    <x v="1"/>
  </r>
  <r>
    <n v="15014"/>
    <x v="18"/>
    <x v="0"/>
    <x v="2"/>
    <x v="2"/>
    <x v="2"/>
    <x v="5"/>
    <x v="4"/>
    <x v="1"/>
  </r>
  <r>
    <n v="15015"/>
    <x v="18"/>
    <x v="0"/>
    <x v="3"/>
    <x v="3"/>
    <x v="2"/>
    <x v="5"/>
    <x v="4"/>
    <x v="1"/>
  </r>
  <r>
    <n v="15016"/>
    <x v="18"/>
    <x v="0"/>
    <x v="11"/>
    <x v="11"/>
    <x v="0"/>
    <x v="5"/>
    <x v="4"/>
    <x v="1"/>
  </r>
  <r>
    <n v="15017"/>
    <x v="18"/>
    <x v="0"/>
    <x v="4"/>
    <x v="4"/>
    <x v="0"/>
    <x v="5"/>
    <x v="4"/>
    <x v="1"/>
  </r>
  <r>
    <n v="15018"/>
    <x v="18"/>
    <x v="0"/>
    <x v="5"/>
    <x v="5"/>
    <x v="0"/>
    <x v="5"/>
    <x v="4"/>
    <x v="1"/>
  </r>
  <r>
    <n v="15019"/>
    <x v="18"/>
    <x v="0"/>
    <x v="6"/>
    <x v="6"/>
    <x v="0"/>
    <x v="5"/>
    <x v="4"/>
    <x v="1"/>
  </r>
  <r>
    <n v="15020"/>
    <x v="18"/>
    <x v="0"/>
    <x v="7"/>
    <x v="7"/>
    <x v="1"/>
    <x v="5"/>
    <x v="4"/>
    <x v="1"/>
  </r>
  <r>
    <n v="15021"/>
    <x v="18"/>
    <x v="0"/>
    <x v="8"/>
    <x v="8"/>
    <x v="1"/>
    <x v="5"/>
    <x v="4"/>
    <x v="1"/>
  </r>
  <r>
    <n v="15022"/>
    <x v="18"/>
    <x v="0"/>
    <x v="9"/>
    <x v="9"/>
    <x v="1"/>
    <x v="5"/>
    <x v="4"/>
    <x v="1"/>
  </r>
  <r>
    <n v="15023"/>
    <x v="18"/>
    <x v="0"/>
    <x v="10"/>
    <x v="10"/>
    <x v="1"/>
    <x v="5"/>
    <x v="4"/>
    <x v="1"/>
  </r>
  <r>
    <n v="15024"/>
    <x v="18"/>
    <x v="0"/>
    <x v="6"/>
    <x v="6"/>
    <x v="1"/>
    <x v="5"/>
    <x v="4"/>
    <x v="1"/>
  </r>
  <r>
    <n v="15025"/>
    <x v="18"/>
    <x v="0"/>
    <x v="2"/>
    <x v="2"/>
    <x v="3"/>
    <x v="5"/>
    <x v="4"/>
    <x v="1"/>
  </r>
  <r>
    <n v="15026"/>
    <x v="18"/>
    <x v="0"/>
    <x v="3"/>
    <x v="3"/>
    <x v="3"/>
    <x v="5"/>
    <x v="4"/>
    <x v="1"/>
  </r>
  <r>
    <n v="15027"/>
    <x v="19"/>
    <x v="0"/>
    <x v="0"/>
    <x v="0"/>
    <x v="0"/>
    <x v="5"/>
    <x v="4"/>
    <x v="1"/>
  </r>
  <r>
    <n v="15028"/>
    <x v="19"/>
    <x v="0"/>
    <x v="0"/>
    <x v="1"/>
    <x v="1"/>
    <x v="5"/>
    <x v="4"/>
    <x v="1"/>
  </r>
  <r>
    <n v="15029"/>
    <x v="19"/>
    <x v="0"/>
    <x v="1"/>
    <x v="1"/>
    <x v="1"/>
    <x v="5"/>
    <x v="4"/>
    <x v="1"/>
  </r>
  <r>
    <n v="15030"/>
    <x v="19"/>
    <x v="0"/>
    <x v="2"/>
    <x v="2"/>
    <x v="2"/>
    <x v="5"/>
    <x v="4"/>
    <x v="1"/>
  </r>
  <r>
    <n v="15031"/>
    <x v="19"/>
    <x v="0"/>
    <x v="3"/>
    <x v="3"/>
    <x v="2"/>
    <x v="5"/>
    <x v="4"/>
    <x v="1"/>
  </r>
  <r>
    <n v="15032"/>
    <x v="19"/>
    <x v="0"/>
    <x v="11"/>
    <x v="11"/>
    <x v="0"/>
    <x v="5"/>
    <x v="4"/>
    <x v="1"/>
  </r>
  <r>
    <n v="15033"/>
    <x v="19"/>
    <x v="0"/>
    <x v="4"/>
    <x v="4"/>
    <x v="0"/>
    <x v="5"/>
    <x v="4"/>
    <x v="1"/>
  </r>
  <r>
    <n v="15034"/>
    <x v="19"/>
    <x v="0"/>
    <x v="5"/>
    <x v="5"/>
    <x v="0"/>
    <x v="5"/>
    <x v="4"/>
    <x v="1"/>
  </r>
  <r>
    <n v="15035"/>
    <x v="19"/>
    <x v="0"/>
    <x v="6"/>
    <x v="6"/>
    <x v="0"/>
    <x v="5"/>
    <x v="4"/>
    <x v="1"/>
  </r>
  <r>
    <n v="15036"/>
    <x v="19"/>
    <x v="0"/>
    <x v="7"/>
    <x v="7"/>
    <x v="1"/>
    <x v="5"/>
    <x v="4"/>
    <x v="1"/>
  </r>
  <r>
    <n v="15037"/>
    <x v="19"/>
    <x v="0"/>
    <x v="8"/>
    <x v="8"/>
    <x v="1"/>
    <x v="5"/>
    <x v="4"/>
    <x v="1"/>
  </r>
  <r>
    <n v="15038"/>
    <x v="19"/>
    <x v="0"/>
    <x v="9"/>
    <x v="9"/>
    <x v="1"/>
    <x v="5"/>
    <x v="4"/>
    <x v="1"/>
  </r>
  <r>
    <n v="15039"/>
    <x v="19"/>
    <x v="0"/>
    <x v="10"/>
    <x v="10"/>
    <x v="1"/>
    <x v="5"/>
    <x v="4"/>
    <x v="1"/>
  </r>
  <r>
    <n v="15040"/>
    <x v="19"/>
    <x v="0"/>
    <x v="6"/>
    <x v="6"/>
    <x v="1"/>
    <x v="5"/>
    <x v="4"/>
    <x v="1"/>
  </r>
  <r>
    <n v="15041"/>
    <x v="19"/>
    <x v="0"/>
    <x v="2"/>
    <x v="2"/>
    <x v="3"/>
    <x v="5"/>
    <x v="4"/>
    <x v="1"/>
  </r>
  <r>
    <n v="15042"/>
    <x v="19"/>
    <x v="0"/>
    <x v="3"/>
    <x v="3"/>
    <x v="3"/>
    <x v="5"/>
    <x v="4"/>
    <x v="1"/>
  </r>
  <r>
    <n v="15043"/>
    <x v="20"/>
    <x v="0"/>
    <x v="0"/>
    <x v="0"/>
    <x v="0"/>
    <x v="5"/>
    <x v="4"/>
    <x v="1"/>
  </r>
  <r>
    <n v="15044"/>
    <x v="20"/>
    <x v="0"/>
    <x v="0"/>
    <x v="1"/>
    <x v="1"/>
    <x v="5"/>
    <x v="4"/>
    <x v="1"/>
  </r>
  <r>
    <n v="15045"/>
    <x v="20"/>
    <x v="0"/>
    <x v="1"/>
    <x v="1"/>
    <x v="1"/>
    <x v="5"/>
    <x v="4"/>
    <x v="1"/>
  </r>
  <r>
    <n v="15046"/>
    <x v="20"/>
    <x v="0"/>
    <x v="2"/>
    <x v="2"/>
    <x v="2"/>
    <x v="5"/>
    <x v="4"/>
    <x v="1"/>
  </r>
  <r>
    <n v="15047"/>
    <x v="20"/>
    <x v="0"/>
    <x v="3"/>
    <x v="3"/>
    <x v="2"/>
    <x v="5"/>
    <x v="4"/>
    <x v="1"/>
  </r>
  <r>
    <n v="15048"/>
    <x v="20"/>
    <x v="0"/>
    <x v="11"/>
    <x v="11"/>
    <x v="0"/>
    <x v="5"/>
    <x v="4"/>
    <x v="1"/>
  </r>
  <r>
    <n v="15049"/>
    <x v="20"/>
    <x v="0"/>
    <x v="4"/>
    <x v="4"/>
    <x v="0"/>
    <x v="5"/>
    <x v="4"/>
    <x v="1"/>
  </r>
  <r>
    <n v="15050"/>
    <x v="20"/>
    <x v="0"/>
    <x v="5"/>
    <x v="5"/>
    <x v="0"/>
    <x v="5"/>
    <x v="4"/>
    <x v="1"/>
  </r>
  <r>
    <n v="15051"/>
    <x v="20"/>
    <x v="0"/>
    <x v="6"/>
    <x v="6"/>
    <x v="0"/>
    <x v="5"/>
    <x v="4"/>
    <x v="1"/>
  </r>
  <r>
    <n v="15052"/>
    <x v="20"/>
    <x v="0"/>
    <x v="7"/>
    <x v="7"/>
    <x v="1"/>
    <x v="5"/>
    <x v="4"/>
    <x v="1"/>
  </r>
  <r>
    <n v="15053"/>
    <x v="20"/>
    <x v="0"/>
    <x v="8"/>
    <x v="8"/>
    <x v="1"/>
    <x v="5"/>
    <x v="4"/>
    <x v="1"/>
  </r>
  <r>
    <n v="15054"/>
    <x v="20"/>
    <x v="0"/>
    <x v="9"/>
    <x v="9"/>
    <x v="1"/>
    <x v="5"/>
    <x v="4"/>
    <x v="1"/>
  </r>
  <r>
    <n v="15055"/>
    <x v="20"/>
    <x v="0"/>
    <x v="10"/>
    <x v="10"/>
    <x v="1"/>
    <x v="5"/>
    <x v="4"/>
    <x v="1"/>
  </r>
  <r>
    <n v="15056"/>
    <x v="20"/>
    <x v="0"/>
    <x v="6"/>
    <x v="6"/>
    <x v="1"/>
    <x v="5"/>
    <x v="4"/>
    <x v="1"/>
  </r>
  <r>
    <n v="15057"/>
    <x v="20"/>
    <x v="0"/>
    <x v="2"/>
    <x v="2"/>
    <x v="3"/>
    <x v="5"/>
    <x v="4"/>
    <x v="1"/>
  </r>
  <r>
    <n v="15058"/>
    <x v="20"/>
    <x v="0"/>
    <x v="3"/>
    <x v="3"/>
    <x v="3"/>
    <x v="5"/>
    <x v="4"/>
    <x v="1"/>
  </r>
  <r>
    <n v="15059"/>
    <x v="21"/>
    <x v="0"/>
    <x v="0"/>
    <x v="0"/>
    <x v="0"/>
    <x v="6"/>
    <x v="4"/>
    <x v="1"/>
  </r>
  <r>
    <n v="15060"/>
    <x v="21"/>
    <x v="0"/>
    <x v="0"/>
    <x v="1"/>
    <x v="1"/>
    <x v="6"/>
    <x v="4"/>
    <x v="1"/>
  </r>
  <r>
    <n v="15061"/>
    <x v="21"/>
    <x v="0"/>
    <x v="1"/>
    <x v="1"/>
    <x v="1"/>
    <x v="6"/>
    <x v="4"/>
    <x v="1"/>
  </r>
  <r>
    <n v="15062"/>
    <x v="21"/>
    <x v="0"/>
    <x v="2"/>
    <x v="2"/>
    <x v="2"/>
    <x v="6"/>
    <x v="4"/>
    <x v="1"/>
  </r>
  <r>
    <n v="15063"/>
    <x v="21"/>
    <x v="0"/>
    <x v="3"/>
    <x v="3"/>
    <x v="2"/>
    <x v="6"/>
    <x v="4"/>
    <x v="1"/>
  </r>
  <r>
    <n v="15064"/>
    <x v="21"/>
    <x v="0"/>
    <x v="11"/>
    <x v="11"/>
    <x v="0"/>
    <x v="6"/>
    <x v="4"/>
    <x v="1"/>
  </r>
  <r>
    <n v="15065"/>
    <x v="21"/>
    <x v="0"/>
    <x v="4"/>
    <x v="4"/>
    <x v="0"/>
    <x v="6"/>
    <x v="4"/>
    <x v="1"/>
  </r>
  <r>
    <n v="15066"/>
    <x v="21"/>
    <x v="0"/>
    <x v="5"/>
    <x v="5"/>
    <x v="0"/>
    <x v="6"/>
    <x v="4"/>
    <x v="1"/>
  </r>
  <r>
    <n v="15067"/>
    <x v="21"/>
    <x v="0"/>
    <x v="6"/>
    <x v="6"/>
    <x v="0"/>
    <x v="6"/>
    <x v="4"/>
    <x v="1"/>
  </r>
  <r>
    <n v="15068"/>
    <x v="21"/>
    <x v="0"/>
    <x v="7"/>
    <x v="7"/>
    <x v="1"/>
    <x v="6"/>
    <x v="4"/>
    <x v="1"/>
  </r>
  <r>
    <n v="15069"/>
    <x v="21"/>
    <x v="0"/>
    <x v="8"/>
    <x v="8"/>
    <x v="1"/>
    <x v="6"/>
    <x v="4"/>
    <x v="1"/>
  </r>
  <r>
    <n v="15070"/>
    <x v="21"/>
    <x v="0"/>
    <x v="9"/>
    <x v="9"/>
    <x v="1"/>
    <x v="6"/>
    <x v="4"/>
    <x v="1"/>
  </r>
  <r>
    <n v="15071"/>
    <x v="21"/>
    <x v="0"/>
    <x v="10"/>
    <x v="10"/>
    <x v="1"/>
    <x v="6"/>
    <x v="4"/>
    <x v="1"/>
  </r>
  <r>
    <n v="15072"/>
    <x v="21"/>
    <x v="0"/>
    <x v="6"/>
    <x v="6"/>
    <x v="1"/>
    <x v="6"/>
    <x v="4"/>
    <x v="1"/>
  </r>
  <r>
    <n v="15073"/>
    <x v="21"/>
    <x v="0"/>
    <x v="2"/>
    <x v="2"/>
    <x v="3"/>
    <x v="6"/>
    <x v="4"/>
    <x v="1"/>
  </r>
  <r>
    <n v="15074"/>
    <x v="21"/>
    <x v="0"/>
    <x v="3"/>
    <x v="3"/>
    <x v="3"/>
    <x v="6"/>
    <x v="4"/>
    <x v="1"/>
  </r>
  <r>
    <n v="15075"/>
    <x v="22"/>
    <x v="0"/>
    <x v="0"/>
    <x v="0"/>
    <x v="0"/>
    <x v="6"/>
    <x v="4"/>
    <x v="1"/>
  </r>
  <r>
    <n v="15076"/>
    <x v="22"/>
    <x v="0"/>
    <x v="0"/>
    <x v="1"/>
    <x v="1"/>
    <x v="6"/>
    <x v="4"/>
    <x v="1"/>
  </r>
  <r>
    <n v="15077"/>
    <x v="22"/>
    <x v="0"/>
    <x v="1"/>
    <x v="1"/>
    <x v="1"/>
    <x v="6"/>
    <x v="4"/>
    <x v="1"/>
  </r>
  <r>
    <n v="15078"/>
    <x v="22"/>
    <x v="0"/>
    <x v="2"/>
    <x v="2"/>
    <x v="2"/>
    <x v="6"/>
    <x v="4"/>
    <x v="1"/>
  </r>
  <r>
    <n v="15079"/>
    <x v="22"/>
    <x v="0"/>
    <x v="3"/>
    <x v="3"/>
    <x v="2"/>
    <x v="6"/>
    <x v="4"/>
    <x v="1"/>
  </r>
  <r>
    <n v="15080"/>
    <x v="22"/>
    <x v="0"/>
    <x v="11"/>
    <x v="11"/>
    <x v="0"/>
    <x v="6"/>
    <x v="4"/>
    <x v="1"/>
  </r>
  <r>
    <n v="15081"/>
    <x v="22"/>
    <x v="0"/>
    <x v="4"/>
    <x v="4"/>
    <x v="0"/>
    <x v="6"/>
    <x v="4"/>
    <x v="1"/>
  </r>
  <r>
    <n v="15082"/>
    <x v="22"/>
    <x v="0"/>
    <x v="5"/>
    <x v="5"/>
    <x v="0"/>
    <x v="6"/>
    <x v="4"/>
    <x v="1"/>
  </r>
  <r>
    <n v="15083"/>
    <x v="22"/>
    <x v="0"/>
    <x v="6"/>
    <x v="6"/>
    <x v="0"/>
    <x v="6"/>
    <x v="4"/>
    <x v="1"/>
  </r>
  <r>
    <n v="15084"/>
    <x v="22"/>
    <x v="0"/>
    <x v="7"/>
    <x v="7"/>
    <x v="1"/>
    <x v="6"/>
    <x v="4"/>
    <x v="1"/>
  </r>
  <r>
    <n v="15085"/>
    <x v="22"/>
    <x v="0"/>
    <x v="8"/>
    <x v="8"/>
    <x v="1"/>
    <x v="6"/>
    <x v="4"/>
    <x v="1"/>
  </r>
  <r>
    <n v="15086"/>
    <x v="22"/>
    <x v="0"/>
    <x v="9"/>
    <x v="9"/>
    <x v="1"/>
    <x v="6"/>
    <x v="4"/>
    <x v="1"/>
  </r>
  <r>
    <n v="15087"/>
    <x v="22"/>
    <x v="0"/>
    <x v="10"/>
    <x v="10"/>
    <x v="1"/>
    <x v="6"/>
    <x v="4"/>
    <x v="1"/>
  </r>
  <r>
    <n v="15088"/>
    <x v="22"/>
    <x v="0"/>
    <x v="6"/>
    <x v="6"/>
    <x v="1"/>
    <x v="6"/>
    <x v="4"/>
    <x v="1"/>
  </r>
  <r>
    <n v="15089"/>
    <x v="22"/>
    <x v="0"/>
    <x v="2"/>
    <x v="2"/>
    <x v="3"/>
    <x v="6"/>
    <x v="4"/>
    <x v="1"/>
  </r>
  <r>
    <n v="15090"/>
    <x v="22"/>
    <x v="0"/>
    <x v="3"/>
    <x v="3"/>
    <x v="3"/>
    <x v="6"/>
    <x v="4"/>
    <x v="1"/>
  </r>
  <r>
    <n v="15091"/>
    <x v="23"/>
    <x v="0"/>
    <x v="0"/>
    <x v="0"/>
    <x v="0"/>
    <x v="7"/>
    <x v="4"/>
    <x v="1"/>
  </r>
  <r>
    <n v="15092"/>
    <x v="23"/>
    <x v="0"/>
    <x v="0"/>
    <x v="1"/>
    <x v="1"/>
    <x v="7"/>
    <x v="4"/>
    <x v="1"/>
  </r>
  <r>
    <n v="15093"/>
    <x v="23"/>
    <x v="0"/>
    <x v="1"/>
    <x v="1"/>
    <x v="1"/>
    <x v="7"/>
    <x v="4"/>
    <x v="1"/>
  </r>
  <r>
    <n v="15094"/>
    <x v="23"/>
    <x v="0"/>
    <x v="2"/>
    <x v="2"/>
    <x v="2"/>
    <x v="7"/>
    <x v="4"/>
    <x v="1"/>
  </r>
  <r>
    <n v="15095"/>
    <x v="23"/>
    <x v="0"/>
    <x v="3"/>
    <x v="3"/>
    <x v="2"/>
    <x v="7"/>
    <x v="4"/>
    <x v="1"/>
  </r>
  <r>
    <n v="15096"/>
    <x v="23"/>
    <x v="0"/>
    <x v="11"/>
    <x v="11"/>
    <x v="0"/>
    <x v="7"/>
    <x v="4"/>
    <x v="1"/>
  </r>
  <r>
    <n v="15097"/>
    <x v="23"/>
    <x v="0"/>
    <x v="4"/>
    <x v="4"/>
    <x v="0"/>
    <x v="7"/>
    <x v="4"/>
    <x v="1"/>
  </r>
  <r>
    <n v="15098"/>
    <x v="23"/>
    <x v="0"/>
    <x v="5"/>
    <x v="5"/>
    <x v="0"/>
    <x v="7"/>
    <x v="4"/>
    <x v="1"/>
  </r>
  <r>
    <n v="15099"/>
    <x v="23"/>
    <x v="0"/>
    <x v="6"/>
    <x v="6"/>
    <x v="0"/>
    <x v="7"/>
    <x v="4"/>
    <x v="1"/>
  </r>
  <r>
    <n v="15100"/>
    <x v="23"/>
    <x v="0"/>
    <x v="7"/>
    <x v="7"/>
    <x v="1"/>
    <x v="7"/>
    <x v="4"/>
    <x v="1"/>
  </r>
  <r>
    <n v="15101"/>
    <x v="23"/>
    <x v="0"/>
    <x v="8"/>
    <x v="8"/>
    <x v="1"/>
    <x v="7"/>
    <x v="4"/>
    <x v="1"/>
  </r>
  <r>
    <n v="15102"/>
    <x v="23"/>
    <x v="0"/>
    <x v="9"/>
    <x v="9"/>
    <x v="1"/>
    <x v="7"/>
    <x v="4"/>
    <x v="1"/>
  </r>
  <r>
    <n v="15103"/>
    <x v="23"/>
    <x v="0"/>
    <x v="10"/>
    <x v="10"/>
    <x v="1"/>
    <x v="7"/>
    <x v="4"/>
    <x v="1"/>
  </r>
  <r>
    <n v="15104"/>
    <x v="23"/>
    <x v="0"/>
    <x v="6"/>
    <x v="6"/>
    <x v="1"/>
    <x v="7"/>
    <x v="4"/>
    <x v="1"/>
  </r>
  <r>
    <n v="15105"/>
    <x v="23"/>
    <x v="0"/>
    <x v="2"/>
    <x v="2"/>
    <x v="3"/>
    <x v="7"/>
    <x v="4"/>
    <x v="1"/>
  </r>
  <r>
    <n v="15106"/>
    <x v="23"/>
    <x v="0"/>
    <x v="3"/>
    <x v="3"/>
    <x v="3"/>
    <x v="7"/>
    <x v="4"/>
    <x v="1"/>
  </r>
  <r>
    <n v="15107"/>
    <x v="24"/>
    <x v="0"/>
    <x v="0"/>
    <x v="0"/>
    <x v="0"/>
    <x v="7"/>
    <x v="4"/>
    <x v="1"/>
  </r>
  <r>
    <n v="15108"/>
    <x v="24"/>
    <x v="0"/>
    <x v="0"/>
    <x v="1"/>
    <x v="1"/>
    <x v="7"/>
    <x v="4"/>
    <x v="1"/>
  </r>
  <r>
    <n v="15109"/>
    <x v="24"/>
    <x v="0"/>
    <x v="1"/>
    <x v="1"/>
    <x v="1"/>
    <x v="7"/>
    <x v="4"/>
    <x v="1"/>
  </r>
  <r>
    <n v="15110"/>
    <x v="24"/>
    <x v="0"/>
    <x v="2"/>
    <x v="2"/>
    <x v="2"/>
    <x v="7"/>
    <x v="4"/>
    <x v="1"/>
  </r>
  <r>
    <n v="15111"/>
    <x v="24"/>
    <x v="0"/>
    <x v="3"/>
    <x v="3"/>
    <x v="2"/>
    <x v="7"/>
    <x v="4"/>
    <x v="1"/>
  </r>
  <r>
    <n v="15112"/>
    <x v="24"/>
    <x v="0"/>
    <x v="11"/>
    <x v="11"/>
    <x v="0"/>
    <x v="7"/>
    <x v="4"/>
    <x v="1"/>
  </r>
  <r>
    <n v="15113"/>
    <x v="24"/>
    <x v="0"/>
    <x v="4"/>
    <x v="4"/>
    <x v="0"/>
    <x v="7"/>
    <x v="4"/>
    <x v="1"/>
  </r>
  <r>
    <n v="15114"/>
    <x v="24"/>
    <x v="0"/>
    <x v="5"/>
    <x v="5"/>
    <x v="0"/>
    <x v="7"/>
    <x v="4"/>
    <x v="1"/>
  </r>
  <r>
    <n v="15115"/>
    <x v="24"/>
    <x v="0"/>
    <x v="6"/>
    <x v="6"/>
    <x v="0"/>
    <x v="7"/>
    <x v="4"/>
    <x v="1"/>
  </r>
  <r>
    <n v="15116"/>
    <x v="24"/>
    <x v="0"/>
    <x v="7"/>
    <x v="7"/>
    <x v="1"/>
    <x v="7"/>
    <x v="4"/>
    <x v="1"/>
  </r>
  <r>
    <n v="15117"/>
    <x v="24"/>
    <x v="0"/>
    <x v="8"/>
    <x v="8"/>
    <x v="1"/>
    <x v="7"/>
    <x v="4"/>
    <x v="1"/>
  </r>
  <r>
    <n v="15118"/>
    <x v="24"/>
    <x v="0"/>
    <x v="9"/>
    <x v="9"/>
    <x v="1"/>
    <x v="7"/>
    <x v="4"/>
    <x v="1"/>
  </r>
  <r>
    <n v="15119"/>
    <x v="24"/>
    <x v="0"/>
    <x v="10"/>
    <x v="10"/>
    <x v="1"/>
    <x v="7"/>
    <x v="4"/>
    <x v="1"/>
  </r>
  <r>
    <n v="15120"/>
    <x v="24"/>
    <x v="0"/>
    <x v="6"/>
    <x v="6"/>
    <x v="1"/>
    <x v="7"/>
    <x v="4"/>
    <x v="1"/>
  </r>
  <r>
    <n v="15121"/>
    <x v="24"/>
    <x v="0"/>
    <x v="2"/>
    <x v="2"/>
    <x v="3"/>
    <x v="7"/>
    <x v="4"/>
    <x v="1"/>
  </r>
  <r>
    <n v="15122"/>
    <x v="24"/>
    <x v="0"/>
    <x v="3"/>
    <x v="3"/>
    <x v="3"/>
    <x v="7"/>
    <x v="4"/>
    <x v="1"/>
  </r>
  <r>
    <n v="15123"/>
    <x v="25"/>
    <x v="0"/>
    <x v="0"/>
    <x v="0"/>
    <x v="0"/>
    <x v="7"/>
    <x v="4"/>
    <x v="1"/>
  </r>
  <r>
    <n v="15124"/>
    <x v="25"/>
    <x v="0"/>
    <x v="0"/>
    <x v="1"/>
    <x v="1"/>
    <x v="7"/>
    <x v="4"/>
    <x v="1"/>
  </r>
  <r>
    <n v="15125"/>
    <x v="25"/>
    <x v="0"/>
    <x v="1"/>
    <x v="1"/>
    <x v="1"/>
    <x v="7"/>
    <x v="4"/>
    <x v="1"/>
  </r>
  <r>
    <n v="15126"/>
    <x v="25"/>
    <x v="0"/>
    <x v="2"/>
    <x v="2"/>
    <x v="2"/>
    <x v="7"/>
    <x v="4"/>
    <x v="1"/>
  </r>
  <r>
    <n v="15127"/>
    <x v="25"/>
    <x v="0"/>
    <x v="3"/>
    <x v="3"/>
    <x v="2"/>
    <x v="7"/>
    <x v="4"/>
    <x v="1"/>
  </r>
  <r>
    <n v="15128"/>
    <x v="25"/>
    <x v="0"/>
    <x v="11"/>
    <x v="11"/>
    <x v="0"/>
    <x v="7"/>
    <x v="4"/>
    <x v="1"/>
  </r>
  <r>
    <n v="15129"/>
    <x v="25"/>
    <x v="0"/>
    <x v="4"/>
    <x v="4"/>
    <x v="0"/>
    <x v="7"/>
    <x v="4"/>
    <x v="1"/>
  </r>
  <r>
    <n v="15130"/>
    <x v="25"/>
    <x v="0"/>
    <x v="5"/>
    <x v="5"/>
    <x v="0"/>
    <x v="7"/>
    <x v="4"/>
    <x v="1"/>
  </r>
  <r>
    <n v="15131"/>
    <x v="25"/>
    <x v="0"/>
    <x v="6"/>
    <x v="6"/>
    <x v="0"/>
    <x v="7"/>
    <x v="4"/>
    <x v="1"/>
  </r>
  <r>
    <n v="15132"/>
    <x v="25"/>
    <x v="0"/>
    <x v="7"/>
    <x v="7"/>
    <x v="1"/>
    <x v="7"/>
    <x v="4"/>
    <x v="1"/>
  </r>
  <r>
    <n v="15133"/>
    <x v="25"/>
    <x v="0"/>
    <x v="8"/>
    <x v="8"/>
    <x v="1"/>
    <x v="7"/>
    <x v="4"/>
    <x v="1"/>
  </r>
  <r>
    <n v="15134"/>
    <x v="25"/>
    <x v="0"/>
    <x v="9"/>
    <x v="9"/>
    <x v="1"/>
    <x v="7"/>
    <x v="4"/>
    <x v="1"/>
  </r>
  <r>
    <n v="15135"/>
    <x v="25"/>
    <x v="0"/>
    <x v="10"/>
    <x v="10"/>
    <x v="1"/>
    <x v="7"/>
    <x v="4"/>
    <x v="1"/>
  </r>
  <r>
    <n v="15136"/>
    <x v="25"/>
    <x v="0"/>
    <x v="6"/>
    <x v="6"/>
    <x v="1"/>
    <x v="7"/>
    <x v="4"/>
    <x v="1"/>
  </r>
  <r>
    <n v="15137"/>
    <x v="25"/>
    <x v="0"/>
    <x v="2"/>
    <x v="2"/>
    <x v="3"/>
    <x v="7"/>
    <x v="4"/>
    <x v="1"/>
  </r>
  <r>
    <n v="15138"/>
    <x v="25"/>
    <x v="0"/>
    <x v="3"/>
    <x v="3"/>
    <x v="3"/>
    <x v="7"/>
    <x v="4"/>
    <x v="1"/>
  </r>
  <r>
    <n v="15139"/>
    <x v="26"/>
    <x v="0"/>
    <x v="0"/>
    <x v="0"/>
    <x v="0"/>
    <x v="7"/>
    <x v="4"/>
    <x v="1"/>
  </r>
  <r>
    <n v="15140"/>
    <x v="26"/>
    <x v="0"/>
    <x v="0"/>
    <x v="1"/>
    <x v="1"/>
    <x v="7"/>
    <x v="4"/>
    <x v="1"/>
  </r>
  <r>
    <n v="15141"/>
    <x v="26"/>
    <x v="0"/>
    <x v="1"/>
    <x v="1"/>
    <x v="1"/>
    <x v="7"/>
    <x v="4"/>
    <x v="1"/>
  </r>
  <r>
    <n v="15142"/>
    <x v="26"/>
    <x v="0"/>
    <x v="2"/>
    <x v="2"/>
    <x v="2"/>
    <x v="7"/>
    <x v="4"/>
    <x v="1"/>
  </r>
  <r>
    <n v="15143"/>
    <x v="26"/>
    <x v="0"/>
    <x v="3"/>
    <x v="3"/>
    <x v="2"/>
    <x v="7"/>
    <x v="4"/>
    <x v="1"/>
  </r>
  <r>
    <n v="15144"/>
    <x v="26"/>
    <x v="0"/>
    <x v="11"/>
    <x v="11"/>
    <x v="0"/>
    <x v="7"/>
    <x v="4"/>
    <x v="1"/>
  </r>
  <r>
    <n v="15145"/>
    <x v="26"/>
    <x v="0"/>
    <x v="4"/>
    <x v="4"/>
    <x v="0"/>
    <x v="7"/>
    <x v="4"/>
    <x v="1"/>
  </r>
  <r>
    <n v="15146"/>
    <x v="26"/>
    <x v="0"/>
    <x v="5"/>
    <x v="5"/>
    <x v="0"/>
    <x v="7"/>
    <x v="4"/>
    <x v="1"/>
  </r>
  <r>
    <n v="15147"/>
    <x v="26"/>
    <x v="0"/>
    <x v="6"/>
    <x v="6"/>
    <x v="0"/>
    <x v="7"/>
    <x v="4"/>
    <x v="1"/>
  </r>
  <r>
    <n v="15148"/>
    <x v="26"/>
    <x v="0"/>
    <x v="7"/>
    <x v="7"/>
    <x v="1"/>
    <x v="7"/>
    <x v="4"/>
    <x v="1"/>
  </r>
  <r>
    <n v="15149"/>
    <x v="26"/>
    <x v="0"/>
    <x v="8"/>
    <x v="8"/>
    <x v="1"/>
    <x v="7"/>
    <x v="4"/>
    <x v="1"/>
  </r>
  <r>
    <n v="15150"/>
    <x v="26"/>
    <x v="0"/>
    <x v="9"/>
    <x v="9"/>
    <x v="1"/>
    <x v="7"/>
    <x v="4"/>
    <x v="1"/>
  </r>
  <r>
    <n v="15151"/>
    <x v="26"/>
    <x v="0"/>
    <x v="10"/>
    <x v="10"/>
    <x v="1"/>
    <x v="7"/>
    <x v="4"/>
    <x v="1"/>
  </r>
  <r>
    <n v="15152"/>
    <x v="26"/>
    <x v="0"/>
    <x v="6"/>
    <x v="6"/>
    <x v="1"/>
    <x v="7"/>
    <x v="4"/>
    <x v="1"/>
  </r>
  <r>
    <n v="15153"/>
    <x v="26"/>
    <x v="0"/>
    <x v="2"/>
    <x v="2"/>
    <x v="3"/>
    <x v="7"/>
    <x v="4"/>
    <x v="1"/>
  </r>
  <r>
    <n v="15154"/>
    <x v="26"/>
    <x v="0"/>
    <x v="3"/>
    <x v="3"/>
    <x v="3"/>
    <x v="7"/>
    <x v="4"/>
    <x v="1"/>
  </r>
  <r>
    <n v="15155"/>
    <x v="27"/>
    <x v="0"/>
    <x v="0"/>
    <x v="0"/>
    <x v="0"/>
    <x v="7"/>
    <x v="4"/>
    <x v="1"/>
  </r>
  <r>
    <n v="15156"/>
    <x v="27"/>
    <x v="0"/>
    <x v="0"/>
    <x v="1"/>
    <x v="1"/>
    <x v="7"/>
    <x v="4"/>
    <x v="1"/>
  </r>
  <r>
    <n v="15157"/>
    <x v="27"/>
    <x v="0"/>
    <x v="1"/>
    <x v="1"/>
    <x v="1"/>
    <x v="7"/>
    <x v="4"/>
    <x v="1"/>
  </r>
  <r>
    <n v="15158"/>
    <x v="27"/>
    <x v="0"/>
    <x v="2"/>
    <x v="2"/>
    <x v="2"/>
    <x v="7"/>
    <x v="4"/>
    <x v="1"/>
  </r>
  <r>
    <n v="15159"/>
    <x v="27"/>
    <x v="0"/>
    <x v="3"/>
    <x v="3"/>
    <x v="2"/>
    <x v="7"/>
    <x v="4"/>
    <x v="1"/>
  </r>
  <r>
    <n v="15160"/>
    <x v="27"/>
    <x v="0"/>
    <x v="11"/>
    <x v="11"/>
    <x v="0"/>
    <x v="7"/>
    <x v="4"/>
    <x v="1"/>
  </r>
  <r>
    <n v="15161"/>
    <x v="27"/>
    <x v="0"/>
    <x v="4"/>
    <x v="4"/>
    <x v="0"/>
    <x v="7"/>
    <x v="4"/>
    <x v="1"/>
  </r>
  <r>
    <n v="15162"/>
    <x v="27"/>
    <x v="0"/>
    <x v="5"/>
    <x v="5"/>
    <x v="0"/>
    <x v="7"/>
    <x v="4"/>
    <x v="1"/>
  </r>
  <r>
    <n v="15163"/>
    <x v="27"/>
    <x v="0"/>
    <x v="6"/>
    <x v="6"/>
    <x v="0"/>
    <x v="7"/>
    <x v="4"/>
    <x v="1"/>
  </r>
  <r>
    <n v="15164"/>
    <x v="27"/>
    <x v="0"/>
    <x v="7"/>
    <x v="7"/>
    <x v="1"/>
    <x v="7"/>
    <x v="4"/>
    <x v="1"/>
  </r>
  <r>
    <n v="15165"/>
    <x v="27"/>
    <x v="0"/>
    <x v="8"/>
    <x v="8"/>
    <x v="1"/>
    <x v="7"/>
    <x v="4"/>
    <x v="1"/>
  </r>
  <r>
    <n v="15166"/>
    <x v="27"/>
    <x v="0"/>
    <x v="9"/>
    <x v="9"/>
    <x v="1"/>
    <x v="7"/>
    <x v="4"/>
    <x v="1"/>
  </r>
  <r>
    <n v="15167"/>
    <x v="27"/>
    <x v="0"/>
    <x v="10"/>
    <x v="10"/>
    <x v="1"/>
    <x v="7"/>
    <x v="4"/>
    <x v="1"/>
  </r>
  <r>
    <n v="15168"/>
    <x v="27"/>
    <x v="0"/>
    <x v="6"/>
    <x v="6"/>
    <x v="1"/>
    <x v="7"/>
    <x v="4"/>
    <x v="1"/>
  </r>
  <r>
    <n v="15169"/>
    <x v="27"/>
    <x v="0"/>
    <x v="2"/>
    <x v="2"/>
    <x v="3"/>
    <x v="7"/>
    <x v="4"/>
    <x v="1"/>
  </r>
  <r>
    <n v="15170"/>
    <x v="27"/>
    <x v="0"/>
    <x v="3"/>
    <x v="3"/>
    <x v="3"/>
    <x v="7"/>
    <x v="4"/>
    <x v="1"/>
  </r>
  <r>
    <n v="15171"/>
    <x v="28"/>
    <x v="0"/>
    <x v="0"/>
    <x v="0"/>
    <x v="0"/>
    <x v="7"/>
    <x v="4"/>
    <x v="1"/>
  </r>
  <r>
    <n v="15172"/>
    <x v="28"/>
    <x v="0"/>
    <x v="0"/>
    <x v="1"/>
    <x v="1"/>
    <x v="7"/>
    <x v="4"/>
    <x v="1"/>
  </r>
  <r>
    <n v="15173"/>
    <x v="28"/>
    <x v="0"/>
    <x v="1"/>
    <x v="1"/>
    <x v="1"/>
    <x v="7"/>
    <x v="4"/>
    <x v="1"/>
  </r>
  <r>
    <n v="15174"/>
    <x v="28"/>
    <x v="0"/>
    <x v="2"/>
    <x v="2"/>
    <x v="2"/>
    <x v="7"/>
    <x v="4"/>
    <x v="1"/>
  </r>
  <r>
    <n v="15175"/>
    <x v="28"/>
    <x v="0"/>
    <x v="3"/>
    <x v="3"/>
    <x v="2"/>
    <x v="7"/>
    <x v="4"/>
    <x v="1"/>
  </r>
  <r>
    <n v="15176"/>
    <x v="28"/>
    <x v="0"/>
    <x v="11"/>
    <x v="11"/>
    <x v="0"/>
    <x v="7"/>
    <x v="4"/>
    <x v="1"/>
  </r>
  <r>
    <n v="15177"/>
    <x v="28"/>
    <x v="0"/>
    <x v="4"/>
    <x v="4"/>
    <x v="0"/>
    <x v="7"/>
    <x v="4"/>
    <x v="1"/>
  </r>
  <r>
    <n v="15178"/>
    <x v="28"/>
    <x v="0"/>
    <x v="5"/>
    <x v="5"/>
    <x v="0"/>
    <x v="7"/>
    <x v="4"/>
    <x v="1"/>
  </r>
  <r>
    <n v="15179"/>
    <x v="28"/>
    <x v="0"/>
    <x v="6"/>
    <x v="6"/>
    <x v="0"/>
    <x v="7"/>
    <x v="4"/>
    <x v="1"/>
  </r>
  <r>
    <n v="15180"/>
    <x v="28"/>
    <x v="0"/>
    <x v="7"/>
    <x v="7"/>
    <x v="1"/>
    <x v="7"/>
    <x v="4"/>
    <x v="1"/>
  </r>
  <r>
    <n v="15181"/>
    <x v="28"/>
    <x v="0"/>
    <x v="8"/>
    <x v="8"/>
    <x v="1"/>
    <x v="7"/>
    <x v="4"/>
    <x v="1"/>
  </r>
  <r>
    <n v="15182"/>
    <x v="28"/>
    <x v="0"/>
    <x v="9"/>
    <x v="9"/>
    <x v="1"/>
    <x v="7"/>
    <x v="4"/>
    <x v="1"/>
  </r>
  <r>
    <n v="15183"/>
    <x v="28"/>
    <x v="0"/>
    <x v="10"/>
    <x v="10"/>
    <x v="1"/>
    <x v="7"/>
    <x v="4"/>
    <x v="1"/>
  </r>
  <r>
    <n v="15184"/>
    <x v="28"/>
    <x v="0"/>
    <x v="6"/>
    <x v="6"/>
    <x v="1"/>
    <x v="7"/>
    <x v="4"/>
    <x v="1"/>
  </r>
  <r>
    <n v="15185"/>
    <x v="28"/>
    <x v="0"/>
    <x v="2"/>
    <x v="2"/>
    <x v="3"/>
    <x v="7"/>
    <x v="4"/>
    <x v="1"/>
  </r>
  <r>
    <n v="15186"/>
    <x v="28"/>
    <x v="0"/>
    <x v="3"/>
    <x v="3"/>
    <x v="3"/>
    <x v="7"/>
    <x v="4"/>
    <x v="1"/>
  </r>
  <r>
    <n v="15187"/>
    <x v="29"/>
    <x v="0"/>
    <x v="0"/>
    <x v="0"/>
    <x v="0"/>
    <x v="8"/>
    <x v="5"/>
    <x v="1"/>
  </r>
  <r>
    <n v="15188"/>
    <x v="29"/>
    <x v="0"/>
    <x v="0"/>
    <x v="1"/>
    <x v="1"/>
    <x v="8"/>
    <x v="5"/>
    <x v="1"/>
  </r>
  <r>
    <n v="15189"/>
    <x v="29"/>
    <x v="0"/>
    <x v="1"/>
    <x v="1"/>
    <x v="1"/>
    <x v="8"/>
    <x v="5"/>
    <x v="1"/>
  </r>
  <r>
    <n v="15190"/>
    <x v="29"/>
    <x v="0"/>
    <x v="2"/>
    <x v="2"/>
    <x v="2"/>
    <x v="8"/>
    <x v="5"/>
    <x v="1"/>
  </r>
  <r>
    <n v="15191"/>
    <x v="29"/>
    <x v="0"/>
    <x v="3"/>
    <x v="3"/>
    <x v="2"/>
    <x v="8"/>
    <x v="5"/>
    <x v="1"/>
  </r>
  <r>
    <n v="15192"/>
    <x v="29"/>
    <x v="0"/>
    <x v="11"/>
    <x v="11"/>
    <x v="0"/>
    <x v="8"/>
    <x v="5"/>
    <x v="1"/>
  </r>
  <r>
    <n v="15193"/>
    <x v="29"/>
    <x v="0"/>
    <x v="4"/>
    <x v="4"/>
    <x v="0"/>
    <x v="8"/>
    <x v="5"/>
    <x v="1"/>
  </r>
  <r>
    <n v="15194"/>
    <x v="29"/>
    <x v="0"/>
    <x v="5"/>
    <x v="5"/>
    <x v="0"/>
    <x v="8"/>
    <x v="5"/>
    <x v="1"/>
  </r>
  <r>
    <n v="15195"/>
    <x v="29"/>
    <x v="0"/>
    <x v="6"/>
    <x v="6"/>
    <x v="0"/>
    <x v="8"/>
    <x v="5"/>
    <x v="1"/>
  </r>
  <r>
    <n v="15196"/>
    <x v="29"/>
    <x v="0"/>
    <x v="7"/>
    <x v="7"/>
    <x v="1"/>
    <x v="8"/>
    <x v="5"/>
    <x v="1"/>
  </r>
  <r>
    <n v="15197"/>
    <x v="29"/>
    <x v="0"/>
    <x v="8"/>
    <x v="8"/>
    <x v="1"/>
    <x v="8"/>
    <x v="5"/>
    <x v="1"/>
  </r>
  <r>
    <n v="15198"/>
    <x v="29"/>
    <x v="0"/>
    <x v="9"/>
    <x v="9"/>
    <x v="1"/>
    <x v="8"/>
    <x v="5"/>
    <x v="1"/>
  </r>
  <r>
    <n v="15199"/>
    <x v="29"/>
    <x v="0"/>
    <x v="10"/>
    <x v="10"/>
    <x v="1"/>
    <x v="8"/>
    <x v="5"/>
    <x v="1"/>
  </r>
  <r>
    <n v="15200"/>
    <x v="29"/>
    <x v="0"/>
    <x v="6"/>
    <x v="6"/>
    <x v="1"/>
    <x v="8"/>
    <x v="5"/>
    <x v="1"/>
  </r>
  <r>
    <n v="15201"/>
    <x v="29"/>
    <x v="0"/>
    <x v="2"/>
    <x v="2"/>
    <x v="3"/>
    <x v="8"/>
    <x v="5"/>
    <x v="1"/>
  </r>
  <r>
    <n v="15202"/>
    <x v="29"/>
    <x v="0"/>
    <x v="3"/>
    <x v="3"/>
    <x v="3"/>
    <x v="8"/>
    <x v="5"/>
    <x v="1"/>
  </r>
  <r>
    <n v="15203"/>
    <x v="30"/>
    <x v="0"/>
    <x v="0"/>
    <x v="0"/>
    <x v="0"/>
    <x v="8"/>
    <x v="5"/>
    <x v="1"/>
  </r>
  <r>
    <n v="15204"/>
    <x v="30"/>
    <x v="0"/>
    <x v="0"/>
    <x v="1"/>
    <x v="1"/>
    <x v="8"/>
    <x v="5"/>
    <x v="1"/>
  </r>
  <r>
    <n v="15205"/>
    <x v="30"/>
    <x v="0"/>
    <x v="1"/>
    <x v="1"/>
    <x v="1"/>
    <x v="8"/>
    <x v="5"/>
    <x v="1"/>
  </r>
  <r>
    <n v="15206"/>
    <x v="30"/>
    <x v="0"/>
    <x v="2"/>
    <x v="2"/>
    <x v="2"/>
    <x v="8"/>
    <x v="5"/>
    <x v="1"/>
  </r>
  <r>
    <n v="15207"/>
    <x v="30"/>
    <x v="0"/>
    <x v="3"/>
    <x v="3"/>
    <x v="2"/>
    <x v="8"/>
    <x v="5"/>
    <x v="1"/>
  </r>
  <r>
    <n v="15208"/>
    <x v="30"/>
    <x v="0"/>
    <x v="11"/>
    <x v="11"/>
    <x v="0"/>
    <x v="8"/>
    <x v="5"/>
    <x v="1"/>
  </r>
  <r>
    <n v="15209"/>
    <x v="30"/>
    <x v="0"/>
    <x v="4"/>
    <x v="4"/>
    <x v="0"/>
    <x v="8"/>
    <x v="5"/>
    <x v="1"/>
  </r>
  <r>
    <n v="15210"/>
    <x v="30"/>
    <x v="0"/>
    <x v="5"/>
    <x v="5"/>
    <x v="0"/>
    <x v="8"/>
    <x v="5"/>
    <x v="1"/>
  </r>
  <r>
    <n v="15211"/>
    <x v="30"/>
    <x v="0"/>
    <x v="6"/>
    <x v="6"/>
    <x v="0"/>
    <x v="8"/>
    <x v="5"/>
    <x v="1"/>
  </r>
  <r>
    <n v="15212"/>
    <x v="30"/>
    <x v="0"/>
    <x v="7"/>
    <x v="7"/>
    <x v="1"/>
    <x v="8"/>
    <x v="5"/>
    <x v="1"/>
  </r>
  <r>
    <n v="15213"/>
    <x v="30"/>
    <x v="0"/>
    <x v="8"/>
    <x v="8"/>
    <x v="1"/>
    <x v="8"/>
    <x v="5"/>
    <x v="1"/>
  </r>
  <r>
    <n v="15214"/>
    <x v="30"/>
    <x v="0"/>
    <x v="9"/>
    <x v="9"/>
    <x v="1"/>
    <x v="8"/>
    <x v="5"/>
    <x v="1"/>
  </r>
  <r>
    <n v="15215"/>
    <x v="30"/>
    <x v="0"/>
    <x v="10"/>
    <x v="10"/>
    <x v="1"/>
    <x v="8"/>
    <x v="5"/>
    <x v="1"/>
  </r>
  <r>
    <n v="15216"/>
    <x v="30"/>
    <x v="0"/>
    <x v="6"/>
    <x v="6"/>
    <x v="1"/>
    <x v="8"/>
    <x v="5"/>
    <x v="1"/>
  </r>
  <r>
    <n v="15217"/>
    <x v="30"/>
    <x v="0"/>
    <x v="2"/>
    <x v="2"/>
    <x v="3"/>
    <x v="8"/>
    <x v="5"/>
    <x v="1"/>
  </r>
  <r>
    <n v="15218"/>
    <x v="30"/>
    <x v="0"/>
    <x v="3"/>
    <x v="3"/>
    <x v="3"/>
    <x v="8"/>
    <x v="5"/>
    <x v="1"/>
  </r>
  <r>
    <n v="15219"/>
    <x v="31"/>
    <x v="0"/>
    <x v="0"/>
    <x v="0"/>
    <x v="0"/>
    <x v="8"/>
    <x v="5"/>
    <x v="1"/>
  </r>
  <r>
    <n v="15220"/>
    <x v="31"/>
    <x v="0"/>
    <x v="0"/>
    <x v="1"/>
    <x v="1"/>
    <x v="8"/>
    <x v="5"/>
    <x v="1"/>
  </r>
  <r>
    <n v="15221"/>
    <x v="31"/>
    <x v="0"/>
    <x v="1"/>
    <x v="1"/>
    <x v="1"/>
    <x v="8"/>
    <x v="5"/>
    <x v="1"/>
  </r>
  <r>
    <n v="15222"/>
    <x v="31"/>
    <x v="0"/>
    <x v="2"/>
    <x v="2"/>
    <x v="2"/>
    <x v="8"/>
    <x v="5"/>
    <x v="1"/>
  </r>
  <r>
    <n v="15223"/>
    <x v="31"/>
    <x v="0"/>
    <x v="3"/>
    <x v="3"/>
    <x v="2"/>
    <x v="8"/>
    <x v="5"/>
    <x v="1"/>
  </r>
  <r>
    <n v="15224"/>
    <x v="31"/>
    <x v="0"/>
    <x v="11"/>
    <x v="11"/>
    <x v="0"/>
    <x v="8"/>
    <x v="5"/>
    <x v="1"/>
  </r>
  <r>
    <n v="15225"/>
    <x v="31"/>
    <x v="0"/>
    <x v="4"/>
    <x v="4"/>
    <x v="0"/>
    <x v="8"/>
    <x v="5"/>
    <x v="1"/>
  </r>
  <r>
    <n v="15226"/>
    <x v="31"/>
    <x v="0"/>
    <x v="5"/>
    <x v="5"/>
    <x v="0"/>
    <x v="8"/>
    <x v="5"/>
    <x v="1"/>
  </r>
  <r>
    <n v="15227"/>
    <x v="31"/>
    <x v="0"/>
    <x v="6"/>
    <x v="6"/>
    <x v="0"/>
    <x v="8"/>
    <x v="5"/>
    <x v="1"/>
  </r>
  <r>
    <n v="15228"/>
    <x v="31"/>
    <x v="0"/>
    <x v="7"/>
    <x v="7"/>
    <x v="1"/>
    <x v="8"/>
    <x v="5"/>
    <x v="1"/>
  </r>
  <r>
    <n v="15229"/>
    <x v="31"/>
    <x v="0"/>
    <x v="8"/>
    <x v="8"/>
    <x v="1"/>
    <x v="8"/>
    <x v="5"/>
    <x v="1"/>
  </r>
  <r>
    <n v="15230"/>
    <x v="31"/>
    <x v="0"/>
    <x v="9"/>
    <x v="9"/>
    <x v="1"/>
    <x v="8"/>
    <x v="5"/>
    <x v="1"/>
  </r>
  <r>
    <n v="15231"/>
    <x v="31"/>
    <x v="0"/>
    <x v="10"/>
    <x v="10"/>
    <x v="1"/>
    <x v="8"/>
    <x v="5"/>
    <x v="1"/>
  </r>
  <r>
    <n v="15232"/>
    <x v="31"/>
    <x v="0"/>
    <x v="6"/>
    <x v="6"/>
    <x v="1"/>
    <x v="8"/>
    <x v="5"/>
    <x v="1"/>
  </r>
  <r>
    <n v="15233"/>
    <x v="31"/>
    <x v="0"/>
    <x v="2"/>
    <x v="2"/>
    <x v="3"/>
    <x v="8"/>
    <x v="5"/>
    <x v="1"/>
  </r>
  <r>
    <n v="15234"/>
    <x v="31"/>
    <x v="0"/>
    <x v="3"/>
    <x v="3"/>
    <x v="3"/>
    <x v="8"/>
    <x v="5"/>
    <x v="1"/>
  </r>
  <r>
    <n v="15235"/>
    <x v="32"/>
    <x v="0"/>
    <x v="0"/>
    <x v="0"/>
    <x v="0"/>
    <x v="8"/>
    <x v="5"/>
    <x v="1"/>
  </r>
  <r>
    <n v="15236"/>
    <x v="32"/>
    <x v="0"/>
    <x v="0"/>
    <x v="1"/>
    <x v="1"/>
    <x v="8"/>
    <x v="5"/>
    <x v="1"/>
  </r>
  <r>
    <n v="15237"/>
    <x v="32"/>
    <x v="0"/>
    <x v="1"/>
    <x v="1"/>
    <x v="1"/>
    <x v="8"/>
    <x v="5"/>
    <x v="1"/>
  </r>
  <r>
    <n v="15356"/>
    <x v="33"/>
    <x v="0"/>
    <x v="7"/>
    <x v="7"/>
    <x v="1"/>
    <x v="6"/>
    <x v="5"/>
    <x v="1"/>
  </r>
  <r>
    <n v="15238"/>
    <x v="32"/>
    <x v="0"/>
    <x v="2"/>
    <x v="2"/>
    <x v="2"/>
    <x v="8"/>
    <x v="5"/>
    <x v="1"/>
  </r>
  <r>
    <n v="15239"/>
    <x v="32"/>
    <x v="0"/>
    <x v="3"/>
    <x v="3"/>
    <x v="2"/>
    <x v="8"/>
    <x v="5"/>
    <x v="1"/>
  </r>
  <r>
    <n v="15240"/>
    <x v="32"/>
    <x v="0"/>
    <x v="11"/>
    <x v="11"/>
    <x v="0"/>
    <x v="8"/>
    <x v="5"/>
    <x v="1"/>
  </r>
  <r>
    <n v="15241"/>
    <x v="32"/>
    <x v="0"/>
    <x v="4"/>
    <x v="4"/>
    <x v="0"/>
    <x v="8"/>
    <x v="5"/>
    <x v="1"/>
  </r>
  <r>
    <n v="15242"/>
    <x v="32"/>
    <x v="0"/>
    <x v="5"/>
    <x v="5"/>
    <x v="0"/>
    <x v="8"/>
    <x v="5"/>
    <x v="1"/>
  </r>
  <r>
    <n v="15243"/>
    <x v="32"/>
    <x v="0"/>
    <x v="6"/>
    <x v="6"/>
    <x v="0"/>
    <x v="8"/>
    <x v="5"/>
    <x v="1"/>
  </r>
  <r>
    <n v="15244"/>
    <x v="32"/>
    <x v="0"/>
    <x v="7"/>
    <x v="7"/>
    <x v="1"/>
    <x v="8"/>
    <x v="5"/>
    <x v="1"/>
  </r>
  <r>
    <n v="15245"/>
    <x v="32"/>
    <x v="0"/>
    <x v="8"/>
    <x v="8"/>
    <x v="1"/>
    <x v="8"/>
    <x v="5"/>
    <x v="1"/>
  </r>
  <r>
    <n v="15246"/>
    <x v="32"/>
    <x v="0"/>
    <x v="9"/>
    <x v="9"/>
    <x v="1"/>
    <x v="8"/>
    <x v="5"/>
    <x v="1"/>
  </r>
  <r>
    <n v="15247"/>
    <x v="32"/>
    <x v="0"/>
    <x v="10"/>
    <x v="10"/>
    <x v="1"/>
    <x v="8"/>
    <x v="5"/>
    <x v="1"/>
  </r>
  <r>
    <n v="15248"/>
    <x v="32"/>
    <x v="0"/>
    <x v="6"/>
    <x v="6"/>
    <x v="1"/>
    <x v="8"/>
    <x v="5"/>
    <x v="1"/>
  </r>
  <r>
    <n v="15249"/>
    <x v="32"/>
    <x v="0"/>
    <x v="2"/>
    <x v="2"/>
    <x v="3"/>
    <x v="8"/>
    <x v="5"/>
    <x v="1"/>
  </r>
  <r>
    <n v="15250"/>
    <x v="32"/>
    <x v="0"/>
    <x v="3"/>
    <x v="3"/>
    <x v="3"/>
    <x v="8"/>
    <x v="5"/>
    <x v="1"/>
  </r>
  <r>
    <n v="15251"/>
    <x v="34"/>
    <x v="0"/>
    <x v="0"/>
    <x v="0"/>
    <x v="0"/>
    <x v="8"/>
    <x v="5"/>
    <x v="1"/>
  </r>
  <r>
    <n v="15252"/>
    <x v="34"/>
    <x v="0"/>
    <x v="0"/>
    <x v="1"/>
    <x v="1"/>
    <x v="8"/>
    <x v="5"/>
    <x v="1"/>
  </r>
  <r>
    <n v="15253"/>
    <x v="34"/>
    <x v="0"/>
    <x v="1"/>
    <x v="1"/>
    <x v="1"/>
    <x v="8"/>
    <x v="5"/>
    <x v="1"/>
  </r>
  <r>
    <n v="15254"/>
    <x v="34"/>
    <x v="0"/>
    <x v="2"/>
    <x v="2"/>
    <x v="2"/>
    <x v="8"/>
    <x v="5"/>
    <x v="1"/>
  </r>
  <r>
    <n v="15255"/>
    <x v="34"/>
    <x v="0"/>
    <x v="3"/>
    <x v="3"/>
    <x v="2"/>
    <x v="8"/>
    <x v="5"/>
    <x v="1"/>
  </r>
  <r>
    <n v="15256"/>
    <x v="34"/>
    <x v="0"/>
    <x v="11"/>
    <x v="11"/>
    <x v="0"/>
    <x v="8"/>
    <x v="5"/>
    <x v="1"/>
  </r>
  <r>
    <n v="15257"/>
    <x v="34"/>
    <x v="0"/>
    <x v="4"/>
    <x v="4"/>
    <x v="0"/>
    <x v="8"/>
    <x v="5"/>
    <x v="1"/>
  </r>
  <r>
    <n v="15258"/>
    <x v="34"/>
    <x v="0"/>
    <x v="5"/>
    <x v="5"/>
    <x v="0"/>
    <x v="8"/>
    <x v="5"/>
    <x v="1"/>
  </r>
  <r>
    <n v="15259"/>
    <x v="34"/>
    <x v="0"/>
    <x v="6"/>
    <x v="6"/>
    <x v="0"/>
    <x v="8"/>
    <x v="5"/>
    <x v="1"/>
  </r>
  <r>
    <n v="15260"/>
    <x v="34"/>
    <x v="0"/>
    <x v="7"/>
    <x v="7"/>
    <x v="1"/>
    <x v="8"/>
    <x v="5"/>
    <x v="1"/>
  </r>
  <r>
    <n v="15261"/>
    <x v="34"/>
    <x v="0"/>
    <x v="8"/>
    <x v="8"/>
    <x v="1"/>
    <x v="8"/>
    <x v="5"/>
    <x v="1"/>
  </r>
  <r>
    <n v="15262"/>
    <x v="34"/>
    <x v="0"/>
    <x v="9"/>
    <x v="9"/>
    <x v="1"/>
    <x v="8"/>
    <x v="5"/>
    <x v="1"/>
  </r>
  <r>
    <n v="15263"/>
    <x v="34"/>
    <x v="0"/>
    <x v="10"/>
    <x v="10"/>
    <x v="1"/>
    <x v="8"/>
    <x v="5"/>
    <x v="1"/>
  </r>
  <r>
    <n v="15264"/>
    <x v="34"/>
    <x v="0"/>
    <x v="6"/>
    <x v="6"/>
    <x v="1"/>
    <x v="8"/>
    <x v="5"/>
    <x v="1"/>
  </r>
  <r>
    <n v="15265"/>
    <x v="34"/>
    <x v="0"/>
    <x v="2"/>
    <x v="2"/>
    <x v="3"/>
    <x v="8"/>
    <x v="5"/>
    <x v="1"/>
  </r>
  <r>
    <n v="15266"/>
    <x v="34"/>
    <x v="0"/>
    <x v="3"/>
    <x v="3"/>
    <x v="3"/>
    <x v="8"/>
    <x v="5"/>
    <x v="1"/>
  </r>
  <r>
    <n v="15267"/>
    <x v="35"/>
    <x v="0"/>
    <x v="0"/>
    <x v="0"/>
    <x v="0"/>
    <x v="9"/>
    <x v="5"/>
    <x v="1"/>
  </r>
  <r>
    <n v="15268"/>
    <x v="35"/>
    <x v="0"/>
    <x v="0"/>
    <x v="1"/>
    <x v="1"/>
    <x v="9"/>
    <x v="5"/>
    <x v="1"/>
  </r>
  <r>
    <n v="15269"/>
    <x v="35"/>
    <x v="0"/>
    <x v="1"/>
    <x v="1"/>
    <x v="1"/>
    <x v="9"/>
    <x v="5"/>
    <x v="1"/>
  </r>
  <r>
    <n v="15270"/>
    <x v="35"/>
    <x v="0"/>
    <x v="2"/>
    <x v="2"/>
    <x v="2"/>
    <x v="9"/>
    <x v="5"/>
    <x v="1"/>
  </r>
  <r>
    <n v="15271"/>
    <x v="35"/>
    <x v="0"/>
    <x v="3"/>
    <x v="3"/>
    <x v="2"/>
    <x v="9"/>
    <x v="5"/>
    <x v="1"/>
  </r>
  <r>
    <n v="15272"/>
    <x v="35"/>
    <x v="0"/>
    <x v="11"/>
    <x v="11"/>
    <x v="0"/>
    <x v="9"/>
    <x v="5"/>
    <x v="1"/>
  </r>
  <r>
    <n v="15273"/>
    <x v="35"/>
    <x v="0"/>
    <x v="4"/>
    <x v="4"/>
    <x v="0"/>
    <x v="9"/>
    <x v="5"/>
    <x v="1"/>
  </r>
  <r>
    <n v="15274"/>
    <x v="35"/>
    <x v="0"/>
    <x v="5"/>
    <x v="5"/>
    <x v="0"/>
    <x v="9"/>
    <x v="5"/>
    <x v="1"/>
  </r>
  <r>
    <n v="15275"/>
    <x v="35"/>
    <x v="0"/>
    <x v="6"/>
    <x v="6"/>
    <x v="0"/>
    <x v="9"/>
    <x v="5"/>
    <x v="1"/>
  </r>
  <r>
    <n v="15276"/>
    <x v="35"/>
    <x v="0"/>
    <x v="7"/>
    <x v="7"/>
    <x v="1"/>
    <x v="9"/>
    <x v="5"/>
    <x v="1"/>
  </r>
  <r>
    <n v="15277"/>
    <x v="35"/>
    <x v="0"/>
    <x v="8"/>
    <x v="8"/>
    <x v="1"/>
    <x v="9"/>
    <x v="5"/>
    <x v="1"/>
  </r>
  <r>
    <n v="15278"/>
    <x v="35"/>
    <x v="0"/>
    <x v="9"/>
    <x v="9"/>
    <x v="1"/>
    <x v="9"/>
    <x v="5"/>
    <x v="1"/>
  </r>
  <r>
    <n v="15279"/>
    <x v="35"/>
    <x v="0"/>
    <x v="10"/>
    <x v="10"/>
    <x v="1"/>
    <x v="9"/>
    <x v="5"/>
    <x v="1"/>
  </r>
  <r>
    <n v="15280"/>
    <x v="35"/>
    <x v="0"/>
    <x v="6"/>
    <x v="6"/>
    <x v="1"/>
    <x v="9"/>
    <x v="5"/>
    <x v="1"/>
  </r>
  <r>
    <n v="15281"/>
    <x v="35"/>
    <x v="0"/>
    <x v="2"/>
    <x v="2"/>
    <x v="3"/>
    <x v="9"/>
    <x v="5"/>
    <x v="1"/>
  </r>
  <r>
    <n v="15282"/>
    <x v="35"/>
    <x v="0"/>
    <x v="3"/>
    <x v="3"/>
    <x v="3"/>
    <x v="9"/>
    <x v="5"/>
    <x v="1"/>
  </r>
  <r>
    <n v="15283"/>
    <x v="36"/>
    <x v="0"/>
    <x v="0"/>
    <x v="0"/>
    <x v="0"/>
    <x v="6"/>
    <x v="5"/>
    <x v="1"/>
  </r>
  <r>
    <n v="15284"/>
    <x v="36"/>
    <x v="0"/>
    <x v="0"/>
    <x v="1"/>
    <x v="1"/>
    <x v="6"/>
    <x v="5"/>
    <x v="1"/>
  </r>
  <r>
    <n v="15285"/>
    <x v="36"/>
    <x v="0"/>
    <x v="1"/>
    <x v="1"/>
    <x v="1"/>
    <x v="6"/>
    <x v="5"/>
    <x v="1"/>
  </r>
  <r>
    <n v="15286"/>
    <x v="36"/>
    <x v="0"/>
    <x v="2"/>
    <x v="2"/>
    <x v="2"/>
    <x v="6"/>
    <x v="5"/>
    <x v="1"/>
  </r>
  <r>
    <n v="15287"/>
    <x v="36"/>
    <x v="0"/>
    <x v="3"/>
    <x v="3"/>
    <x v="2"/>
    <x v="6"/>
    <x v="5"/>
    <x v="1"/>
  </r>
  <r>
    <n v="15288"/>
    <x v="36"/>
    <x v="0"/>
    <x v="11"/>
    <x v="11"/>
    <x v="0"/>
    <x v="6"/>
    <x v="5"/>
    <x v="1"/>
  </r>
  <r>
    <n v="15289"/>
    <x v="36"/>
    <x v="0"/>
    <x v="4"/>
    <x v="4"/>
    <x v="0"/>
    <x v="6"/>
    <x v="5"/>
    <x v="1"/>
  </r>
  <r>
    <n v="15290"/>
    <x v="36"/>
    <x v="0"/>
    <x v="5"/>
    <x v="5"/>
    <x v="0"/>
    <x v="6"/>
    <x v="5"/>
    <x v="1"/>
  </r>
  <r>
    <n v="15291"/>
    <x v="36"/>
    <x v="0"/>
    <x v="6"/>
    <x v="6"/>
    <x v="0"/>
    <x v="6"/>
    <x v="5"/>
    <x v="1"/>
  </r>
  <r>
    <n v="15292"/>
    <x v="36"/>
    <x v="0"/>
    <x v="7"/>
    <x v="7"/>
    <x v="1"/>
    <x v="6"/>
    <x v="5"/>
    <x v="1"/>
  </r>
  <r>
    <n v="15293"/>
    <x v="36"/>
    <x v="0"/>
    <x v="8"/>
    <x v="8"/>
    <x v="1"/>
    <x v="6"/>
    <x v="5"/>
    <x v="1"/>
  </r>
  <r>
    <n v="15294"/>
    <x v="36"/>
    <x v="0"/>
    <x v="9"/>
    <x v="9"/>
    <x v="1"/>
    <x v="6"/>
    <x v="5"/>
    <x v="1"/>
  </r>
  <r>
    <n v="15295"/>
    <x v="36"/>
    <x v="0"/>
    <x v="10"/>
    <x v="10"/>
    <x v="1"/>
    <x v="6"/>
    <x v="5"/>
    <x v="1"/>
  </r>
  <r>
    <n v="15296"/>
    <x v="36"/>
    <x v="0"/>
    <x v="6"/>
    <x v="6"/>
    <x v="1"/>
    <x v="6"/>
    <x v="5"/>
    <x v="1"/>
  </r>
  <r>
    <n v="15357"/>
    <x v="33"/>
    <x v="0"/>
    <x v="8"/>
    <x v="8"/>
    <x v="1"/>
    <x v="6"/>
    <x v="5"/>
    <x v="1"/>
  </r>
  <r>
    <n v="15297"/>
    <x v="36"/>
    <x v="0"/>
    <x v="2"/>
    <x v="2"/>
    <x v="3"/>
    <x v="6"/>
    <x v="5"/>
    <x v="1"/>
  </r>
  <r>
    <n v="15298"/>
    <x v="36"/>
    <x v="0"/>
    <x v="3"/>
    <x v="3"/>
    <x v="3"/>
    <x v="6"/>
    <x v="5"/>
    <x v="1"/>
  </r>
  <r>
    <n v="15299"/>
    <x v="37"/>
    <x v="0"/>
    <x v="0"/>
    <x v="0"/>
    <x v="0"/>
    <x v="6"/>
    <x v="5"/>
    <x v="1"/>
  </r>
  <r>
    <n v="15300"/>
    <x v="37"/>
    <x v="0"/>
    <x v="0"/>
    <x v="1"/>
    <x v="1"/>
    <x v="6"/>
    <x v="5"/>
    <x v="1"/>
  </r>
  <r>
    <n v="15301"/>
    <x v="37"/>
    <x v="0"/>
    <x v="1"/>
    <x v="1"/>
    <x v="1"/>
    <x v="6"/>
    <x v="5"/>
    <x v="1"/>
  </r>
  <r>
    <n v="15302"/>
    <x v="37"/>
    <x v="0"/>
    <x v="2"/>
    <x v="2"/>
    <x v="2"/>
    <x v="6"/>
    <x v="5"/>
    <x v="1"/>
  </r>
  <r>
    <n v="15303"/>
    <x v="37"/>
    <x v="0"/>
    <x v="3"/>
    <x v="3"/>
    <x v="2"/>
    <x v="6"/>
    <x v="5"/>
    <x v="1"/>
  </r>
  <r>
    <n v="15304"/>
    <x v="37"/>
    <x v="0"/>
    <x v="11"/>
    <x v="11"/>
    <x v="0"/>
    <x v="6"/>
    <x v="5"/>
    <x v="1"/>
  </r>
  <r>
    <n v="15305"/>
    <x v="37"/>
    <x v="0"/>
    <x v="4"/>
    <x v="4"/>
    <x v="0"/>
    <x v="6"/>
    <x v="5"/>
    <x v="1"/>
  </r>
  <r>
    <n v="15306"/>
    <x v="37"/>
    <x v="0"/>
    <x v="5"/>
    <x v="5"/>
    <x v="0"/>
    <x v="6"/>
    <x v="5"/>
    <x v="1"/>
  </r>
  <r>
    <n v="15307"/>
    <x v="37"/>
    <x v="0"/>
    <x v="6"/>
    <x v="6"/>
    <x v="0"/>
    <x v="6"/>
    <x v="5"/>
    <x v="1"/>
  </r>
  <r>
    <n v="15308"/>
    <x v="37"/>
    <x v="0"/>
    <x v="7"/>
    <x v="7"/>
    <x v="1"/>
    <x v="6"/>
    <x v="5"/>
    <x v="1"/>
  </r>
  <r>
    <n v="15309"/>
    <x v="37"/>
    <x v="0"/>
    <x v="8"/>
    <x v="8"/>
    <x v="1"/>
    <x v="6"/>
    <x v="5"/>
    <x v="1"/>
  </r>
  <r>
    <n v="15310"/>
    <x v="37"/>
    <x v="0"/>
    <x v="9"/>
    <x v="9"/>
    <x v="1"/>
    <x v="6"/>
    <x v="5"/>
    <x v="1"/>
  </r>
  <r>
    <n v="15311"/>
    <x v="37"/>
    <x v="0"/>
    <x v="10"/>
    <x v="10"/>
    <x v="1"/>
    <x v="6"/>
    <x v="5"/>
    <x v="1"/>
  </r>
  <r>
    <n v="15312"/>
    <x v="37"/>
    <x v="0"/>
    <x v="6"/>
    <x v="6"/>
    <x v="1"/>
    <x v="6"/>
    <x v="5"/>
    <x v="1"/>
  </r>
  <r>
    <n v="15313"/>
    <x v="37"/>
    <x v="0"/>
    <x v="2"/>
    <x v="2"/>
    <x v="3"/>
    <x v="6"/>
    <x v="5"/>
    <x v="1"/>
  </r>
  <r>
    <n v="15314"/>
    <x v="37"/>
    <x v="0"/>
    <x v="3"/>
    <x v="3"/>
    <x v="3"/>
    <x v="6"/>
    <x v="5"/>
    <x v="1"/>
  </r>
  <r>
    <n v="15315"/>
    <x v="38"/>
    <x v="0"/>
    <x v="0"/>
    <x v="0"/>
    <x v="0"/>
    <x v="6"/>
    <x v="5"/>
    <x v="1"/>
  </r>
  <r>
    <n v="15316"/>
    <x v="38"/>
    <x v="0"/>
    <x v="0"/>
    <x v="1"/>
    <x v="1"/>
    <x v="6"/>
    <x v="5"/>
    <x v="1"/>
  </r>
  <r>
    <n v="15317"/>
    <x v="38"/>
    <x v="0"/>
    <x v="1"/>
    <x v="1"/>
    <x v="1"/>
    <x v="6"/>
    <x v="5"/>
    <x v="1"/>
  </r>
  <r>
    <n v="15318"/>
    <x v="38"/>
    <x v="0"/>
    <x v="2"/>
    <x v="2"/>
    <x v="2"/>
    <x v="6"/>
    <x v="5"/>
    <x v="1"/>
  </r>
  <r>
    <n v="15319"/>
    <x v="38"/>
    <x v="0"/>
    <x v="3"/>
    <x v="3"/>
    <x v="2"/>
    <x v="6"/>
    <x v="5"/>
    <x v="1"/>
  </r>
  <r>
    <n v="15320"/>
    <x v="38"/>
    <x v="0"/>
    <x v="11"/>
    <x v="11"/>
    <x v="0"/>
    <x v="6"/>
    <x v="5"/>
    <x v="1"/>
  </r>
  <r>
    <n v="15321"/>
    <x v="38"/>
    <x v="0"/>
    <x v="4"/>
    <x v="4"/>
    <x v="0"/>
    <x v="6"/>
    <x v="5"/>
    <x v="1"/>
  </r>
  <r>
    <n v="15322"/>
    <x v="38"/>
    <x v="0"/>
    <x v="5"/>
    <x v="5"/>
    <x v="0"/>
    <x v="6"/>
    <x v="5"/>
    <x v="1"/>
  </r>
  <r>
    <n v="15323"/>
    <x v="38"/>
    <x v="0"/>
    <x v="6"/>
    <x v="6"/>
    <x v="0"/>
    <x v="6"/>
    <x v="5"/>
    <x v="1"/>
  </r>
  <r>
    <n v="15324"/>
    <x v="38"/>
    <x v="0"/>
    <x v="7"/>
    <x v="7"/>
    <x v="1"/>
    <x v="6"/>
    <x v="5"/>
    <x v="1"/>
  </r>
  <r>
    <n v="15325"/>
    <x v="38"/>
    <x v="0"/>
    <x v="8"/>
    <x v="8"/>
    <x v="1"/>
    <x v="6"/>
    <x v="5"/>
    <x v="1"/>
  </r>
  <r>
    <n v="15326"/>
    <x v="38"/>
    <x v="0"/>
    <x v="9"/>
    <x v="9"/>
    <x v="1"/>
    <x v="6"/>
    <x v="5"/>
    <x v="1"/>
  </r>
  <r>
    <n v="15327"/>
    <x v="38"/>
    <x v="0"/>
    <x v="10"/>
    <x v="10"/>
    <x v="1"/>
    <x v="6"/>
    <x v="5"/>
    <x v="1"/>
  </r>
  <r>
    <n v="15328"/>
    <x v="38"/>
    <x v="0"/>
    <x v="6"/>
    <x v="6"/>
    <x v="1"/>
    <x v="6"/>
    <x v="5"/>
    <x v="1"/>
  </r>
  <r>
    <n v="15329"/>
    <x v="38"/>
    <x v="0"/>
    <x v="2"/>
    <x v="2"/>
    <x v="3"/>
    <x v="6"/>
    <x v="5"/>
    <x v="1"/>
  </r>
  <r>
    <n v="15330"/>
    <x v="38"/>
    <x v="0"/>
    <x v="3"/>
    <x v="3"/>
    <x v="3"/>
    <x v="6"/>
    <x v="5"/>
    <x v="1"/>
  </r>
  <r>
    <n v="15331"/>
    <x v="39"/>
    <x v="0"/>
    <x v="0"/>
    <x v="0"/>
    <x v="0"/>
    <x v="6"/>
    <x v="5"/>
    <x v="1"/>
  </r>
  <r>
    <n v="15332"/>
    <x v="39"/>
    <x v="0"/>
    <x v="0"/>
    <x v="1"/>
    <x v="1"/>
    <x v="6"/>
    <x v="5"/>
    <x v="1"/>
  </r>
  <r>
    <n v="15333"/>
    <x v="39"/>
    <x v="0"/>
    <x v="1"/>
    <x v="1"/>
    <x v="1"/>
    <x v="6"/>
    <x v="5"/>
    <x v="1"/>
  </r>
  <r>
    <n v="15334"/>
    <x v="39"/>
    <x v="0"/>
    <x v="2"/>
    <x v="2"/>
    <x v="2"/>
    <x v="6"/>
    <x v="5"/>
    <x v="1"/>
  </r>
  <r>
    <n v="15335"/>
    <x v="39"/>
    <x v="0"/>
    <x v="3"/>
    <x v="3"/>
    <x v="2"/>
    <x v="6"/>
    <x v="5"/>
    <x v="1"/>
  </r>
  <r>
    <n v="15336"/>
    <x v="39"/>
    <x v="0"/>
    <x v="11"/>
    <x v="11"/>
    <x v="0"/>
    <x v="6"/>
    <x v="5"/>
    <x v="1"/>
  </r>
  <r>
    <n v="15337"/>
    <x v="39"/>
    <x v="0"/>
    <x v="4"/>
    <x v="4"/>
    <x v="0"/>
    <x v="6"/>
    <x v="5"/>
    <x v="1"/>
  </r>
  <r>
    <n v="15338"/>
    <x v="39"/>
    <x v="0"/>
    <x v="5"/>
    <x v="5"/>
    <x v="0"/>
    <x v="6"/>
    <x v="5"/>
    <x v="1"/>
  </r>
  <r>
    <n v="15339"/>
    <x v="39"/>
    <x v="0"/>
    <x v="6"/>
    <x v="6"/>
    <x v="0"/>
    <x v="6"/>
    <x v="5"/>
    <x v="1"/>
  </r>
  <r>
    <n v="15340"/>
    <x v="39"/>
    <x v="0"/>
    <x v="7"/>
    <x v="7"/>
    <x v="1"/>
    <x v="6"/>
    <x v="5"/>
    <x v="1"/>
  </r>
  <r>
    <n v="15341"/>
    <x v="39"/>
    <x v="0"/>
    <x v="8"/>
    <x v="8"/>
    <x v="1"/>
    <x v="6"/>
    <x v="5"/>
    <x v="1"/>
  </r>
  <r>
    <n v="15342"/>
    <x v="39"/>
    <x v="0"/>
    <x v="9"/>
    <x v="9"/>
    <x v="1"/>
    <x v="6"/>
    <x v="5"/>
    <x v="1"/>
  </r>
  <r>
    <n v="15343"/>
    <x v="39"/>
    <x v="0"/>
    <x v="10"/>
    <x v="10"/>
    <x v="1"/>
    <x v="6"/>
    <x v="5"/>
    <x v="1"/>
  </r>
  <r>
    <n v="15344"/>
    <x v="39"/>
    <x v="0"/>
    <x v="6"/>
    <x v="6"/>
    <x v="1"/>
    <x v="6"/>
    <x v="5"/>
    <x v="1"/>
  </r>
  <r>
    <n v="15345"/>
    <x v="39"/>
    <x v="0"/>
    <x v="2"/>
    <x v="2"/>
    <x v="3"/>
    <x v="6"/>
    <x v="5"/>
    <x v="1"/>
  </r>
  <r>
    <n v="15346"/>
    <x v="39"/>
    <x v="0"/>
    <x v="3"/>
    <x v="3"/>
    <x v="3"/>
    <x v="6"/>
    <x v="5"/>
    <x v="1"/>
  </r>
  <r>
    <n v="15347"/>
    <x v="33"/>
    <x v="0"/>
    <x v="0"/>
    <x v="0"/>
    <x v="0"/>
    <x v="6"/>
    <x v="5"/>
    <x v="1"/>
  </r>
  <r>
    <n v="15348"/>
    <x v="33"/>
    <x v="0"/>
    <x v="0"/>
    <x v="1"/>
    <x v="1"/>
    <x v="6"/>
    <x v="5"/>
    <x v="1"/>
  </r>
  <r>
    <n v="15349"/>
    <x v="33"/>
    <x v="0"/>
    <x v="1"/>
    <x v="1"/>
    <x v="1"/>
    <x v="6"/>
    <x v="5"/>
    <x v="1"/>
  </r>
  <r>
    <n v="15350"/>
    <x v="33"/>
    <x v="0"/>
    <x v="2"/>
    <x v="2"/>
    <x v="2"/>
    <x v="6"/>
    <x v="5"/>
    <x v="1"/>
  </r>
  <r>
    <n v="15351"/>
    <x v="33"/>
    <x v="0"/>
    <x v="3"/>
    <x v="3"/>
    <x v="2"/>
    <x v="6"/>
    <x v="5"/>
    <x v="1"/>
  </r>
  <r>
    <n v="15352"/>
    <x v="33"/>
    <x v="0"/>
    <x v="11"/>
    <x v="11"/>
    <x v="0"/>
    <x v="6"/>
    <x v="5"/>
    <x v="1"/>
  </r>
  <r>
    <n v="15353"/>
    <x v="33"/>
    <x v="0"/>
    <x v="4"/>
    <x v="4"/>
    <x v="0"/>
    <x v="6"/>
    <x v="5"/>
    <x v="1"/>
  </r>
  <r>
    <n v="15354"/>
    <x v="33"/>
    <x v="0"/>
    <x v="5"/>
    <x v="5"/>
    <x v="0"/>
    <x v="6"/>
    <x v="5"/>
    <x v="1"/>
  </r>
  <r>
    <n v="15355"/>
    <x v="33"/>
    <x v="0"/>
    <x v="6"/>
    <x v="6"/>
    <x v="0"/>
    <x v="6"/>
    <x v="5"/>
    <x v="1"/>
  </r>
  <r>
    <n v="15358"/>
    <x v="33"/>
    <x v="0"/>
    <x v="9"/>
    <x v="9"/>
    <x v="1"/>
    <x v="6"/>
    <x v="5"/>
    <x v="1"/>
  </r>
  <r>
    <n v="15359"/>
    <x v="33"/>
    <x v="0"/>
    <x v="10"/>
    <x v="10"/>
    <x v="1"/>
    <x v="6"/>
    <x v="5"/>
    <x v="1"/>
  </r>
  <r>
    <n v="15360"/>
    <x v="33"/>
    <x v="0"/>
    <x v="6"/>
    <x v="6"/>
    <x v="1"/>
    <x v="6"/>
    <x v="5"/>
    <x v="1"/>
  </r>
  <r>
    <n v="15361"/>
    <x v="33"/>
    <x v="0"/>
    <x v="2"/>
    <x v="2"/>
    <x v="3"/>
    <x v="6"/>
    <x v="5"/>
    <x v="1"/>
  </r>
  <r>
    <n v="15362"/>
    <x v="33"/>
    <x v="0"/>
    <x v="3"/>
    <x v="3"/>
    <x v="3"/>
    <x v="6"/>
    <x v="5"/>
    <x v="1"/>
  </r>
  <r>
    <n v="15363"/>
    <x v="40"/>
    <x v="0"/>
    <x v="0"/>
    <x v="0"/>
    <x v="0"/>
    <x v="6"/>
    <x v="5"/>
    <x v="1"/>
  </r>
  <r>
    <n v="15364"/>
    <x v="40"/>
    <x v="0"/>
    <x v="0"/>
    <x v="1"/>
    <x v="1"/>
    <x v="6"/>
    <x v="5"/>
    <x v="1"/>
  </r>
  <r>
    <n v="15365"/>
    <x v="40"/>
    <x v="0"/>
    <x v="1"/>
    <x v="1"/>
    <x v="1"/>
    <x v="6"/>
    <x v="5"/>
    <x v="1"/>
  </r>
  <r>
    <n v="15366"/>
    <x v="40"/>
    <x v="0"/>
    <x v="2"/>
    <x v="2"/>
    <x v="2"/>
    <x v="6"/>
    <x v="5"/>
    <x v="1"/>
  </r>
  <r>
    <n v="15367"/>
    <x v="40"/>
    <x v="0"/>
    <x v="3"/>
    <x v="3"/>
    <x v="2"/>
    <x v="6"/>
    <x v="5"/>
    <x v="1"/>
  </r>
  <r>
    <n v="15368"/>
    <x v="40"/>
    <x v="0"/>
    <x v="11"/>
    <x v="11"/>
    <x v="0"/>
    <x v="6"/>
    <x v="5"/>
    <x v="1"/>
  </r>
  <r>
    <n v="15369"/>
    <x v="40"/>
    <x v="0"/>
    <x v="4"/>
    <x v="4"/>
    <x v="0"/>
    <x v="6"/>
    <x v="5"/>
    <x v="1"/>
  </r>
  <r>
    <n v="15370"/>
    <x v="40"/>
    <x v="0"/>
    <x v="5"/>
    <x v="5"/>
    <x v="0"/>
    <x v="6"/>
    <x v="5"/>
    <x v="1"/>
  </r>
  <r>
    <n v="15371"/>
    <x v="40"/>
    <x v="0"/>
    <x v="6"/>
    <x v="6"/>
    <x v="0"/>
    <x v="6"/>
    <x v="5"/>
    <x v="1"/>
  </r>
  <r>
    <n v="15372"/>
    <x v="40"/>
    <x v="0"/>
    <x v="7"/>
    <x v="7"/>
    <x v="1"/>
    <x v="6"/>
    <x v="5"/>
    <x v="1"/>
  </r>
  <r>
    <n v="15373"/>
    <x v="40"/>
    <x v="0"/>
    <x v="8"/>
    <x v="8"/>
    <x v="1"/>
    <x v="6"/>
    <x v="5"/>
    <x v="1"/>
  </r>
  <r>
    <n v="15374"/>
    <x v="40"/>
    <x v="0"/>
    <x v="9"/>
    <x v="9"/>
    <x v="1"/>
    <x v="6"/>
    <x v="5"/>
    <x v="1"/>
  </r>
  <r>
    <n v="15375"/>
    <x v="40"/>
    <x v="0"/>
    <x v="10"/>
    <x v="10"/>
    <x v="1"/>
    <x v="6"/>
    <x v="5"/>
    <x v="1"/>
  </r>
  <r>
    <n v="15376"/>
    <x v="40"/>
    <x v="0"/>
    <x v="6"/>
    <x v="6"/>
    <x v="1"/>
    <x v="6"/>
    <x v="5"/>
    <x v="1"/>
  </r>
  <r>
    <n v="15377"/>
    <x v="40"/>
    <x v="0"/>
    <x v="2"/>
    <x v="2"/>
    <x v="3"/>
    <x v="6"/>
    <x v="5"/>
    <x v="1"/>
  </r>
  <r>
    <n v="15378"/>
    <x v="40"/>
    <x v="0"/>
    <x v="3"/>
    <x v="3"/>
    <x v="3"/>
    <x v="6"/>
    <x v="5"/>
    <x v="1"/>
  </r>
  <r>
    <n v="15379"/>
    <x v="41"/>
    <x v="0"/>
    <x v="0"/>
    <x v="0"/>
    <x v="0"/>
    <x v="6"/>
    <x v="5"/>
    <x v="1"/>
  </r>
  <r>
    <n v="15380"/>
    <x v="41"/>
    <x v="0"/>
    <x v="0"/>
    <x v="1"/>
    <x v="1"/>
    <x v="6"/>
    <x v="5"/>
    <x v="1"/>
  </r>
  <r>
    <n v="15381"/>
    <x v="41"/>
    <x v="0"/>
    <x v="1"/>
    <x v="1"/>
    <x v="1"/>
    <x v="6"/>
    <x v="5"/>
    <x v="1"/>
  </r>
  <r>
    <n v="15382"/>
    <x v="41"/>
    <x v="0"/>
    <x v="2"/>
    <x v="2"/>
    <x v="2"/>
    <x v="6"/>
    <x v="5"/>
    <x v="1"/>
  </r>
  <r>
    <n v="15383"/>
    <x v="41"/>
    <x v="0"/>
    <x v="3"/>
    <x v="3"/>
    <x v="2"/>
    <x v="6"/>
    <x v="5"/>
    <x v="1"/>
  </r>
  <r>
    <n v="15384"/>
    <x v="41"/>
    <x v="0"/>
    <x v="11"/>
    <x v="11"/>
    <x v="0"/>
    <x v="6"/>
    <x v="5"/>
    <x v="1"/>
  </r>
  <r>
    <n v="15385"/>
    <x v="41"/>
    <x v="0"/>
    <x v="4"/>
    <x v="4"/>
    <x v="0"/>
    <x v="6"/>
    <x v="5"/>
    <x v="1"/>
  </r>
  <r>
    <n v="15386"/>
    <x v="41"/>
    <x v="0"/>
    <x v="5"/>
    <x v="5"/>
    <x v="0"/>
    <x v="6"/>
    <x v="5"/>
    <x v="1"/>
  </r>
  <r>
    <n v="15387"/>
    <x v="41"/>
    <x v="0"/>
    <x v="6"/>
    <x v="6"/>
    <x v="0"/>
    <x v="6"/>
    <x v="5"/>
    <x v="1"/>
  </r>
  <r>
    <n v="15388"/>
    <x v="41"/>
    <x v="0"/>
    <x v="7"/>
    <x v="7"/>
    <x v="1"/>
    <x v="6"/>
    <x v="5"/>
    <x v="1"/>
  </r>
  <r>
    <n v="15389"/>
    <x v="41"/>
    <x v="0"/>
    <x v="8"/>
    <x v="8"/>
    <x v="1"/>
    <x v="6"/>
    <x v="5"/>
    <x v="1"/>
  </r>
  <r>
    <n v="15390"/>
    <x v="41"/>
    <x v="0"/>
    <x v="9"/>
    <x v="9"/>
    <x v="1"/>
    <x v="6"/>
    <x v="5"/>
    <x v="1"/>
  </r>
  <r>
    <n v="15391"/>
    <x v="41"/>
    <x v="0"/>
    <x v="10"/>
    <x v="10"/>
    <x v="1"/>
    <x v="6"/>
    <x v="5"/>
    <x v="1"/>
  </r>
  <r>
    <n v="15392"/>
    <x v="41"/>
    <x v="0"/>
    <x v="6"/>
    <x v="6"/>
    <x v="1"/>
    <x v="6"/>
    <x v="5"/>
    <x v="1"/>
  </r>
  <r>
    <n v="15393"/>
    <x v="41"/>
    <x v="0"/>
    <x v="2"/>
    <x v="2"/>
    <x v="3"/>
    <x v="6"/>
    <x v="5"/>
    <x v="1"/>
  </r>
  <r>
    <n v="15394"/>
    <x v="41"/>
    <x v="0"/>
    <x v="3"/>
    <x v="3"/>
    <x v="3"/>
    <x v="6"/>
    <x v="5"/>
    <x v="1"/>
  </r>
  <r>
    <n v="15395"/>
    <x v="42"/>
    <x v="0"/>
    <x v="0"/>
    <x v="0"/>
    <x v="0"/>
    <x v="6"/>
    <x v="5"/>
    <x v="1"/>
  </r>
  <r>
    <n v="15396"/>
    <x v="42"/>
    <x v="0"/>
    <x v="0"/>
    <x v="1"/>
    <x v="1"/>
    <x v="6"/>
    <x v="5"/>
    <x v="1"/>
  </r>
  <r>
    <n v="15397"/>
    <x v="42"/>
    <x v="0"/>
    <x v="1"/>
    <x v="1"/>
    <x v="1"/>
    <x v="6"/>
    <x v="5"/>
    <x v="1"/>
  </r>
  <r>
    <n v="15398"/>
    <x v="42"/>
    <x v="0"/>
    <x v="2"/>
    <x v="2"/>
    <x v="2"/>
    <x v="6"/>
    <x v="5"/>
    <x v="1"/>
  </r>
  <r>
    <n v="15399"/>
    <x v="42"/>
    <x v="0"/>
    <x v="3"/>
    <x v="3"/>
    <x v="2"/>
    <x v="6"/>
    <x v="5"/>
    <x v="1"/>
  </r>
  <r>
    <n v="15400"/>
    <x v="42"/>
    <x v="0"/>
    <x v="11"/>
    <x v="11"/>
    <x v="0"/>
    <x v="6"/>
    <x v="5"/>
    <x v="1"/>
  </r>
  <r>
    <n v="15401"/>
    <x v="42"/>
    <x v="0"/>
    <x v="4"/>
    <x v="4"/>
    <x v="0"/>
    <x v="6"/>
    <x v="5"/>
    <x v="1"/>
  </r>
  <r>
    <n v="15402"/>
    <x v="42"/>
    <x v="0"/>
    <x v="5"/>
    <x v="5"/>
    <x v="0"/>
    <x v="6"/>
    <x v="5"/>
    <x v="1"/>
  </r>
  <r>
    <n v="15403"/>
    <x v="42"/>
    <x v="0"/>
    <x v="6"/>
    <x v="6"/>
    <x v="0"/>
    <x v="6"/>
    <x v="5"/>
    <x v="1"/>
  </r>
  <r>
    <n v="15404"/>
    <x v="42"/>
    <x v="0"/>
    <x v="7"/>
    <x v="7"/>
    <x v="1"/>
    <x v="6"/>
    <x v="5"/>
    <x v="1"/>
  </r>
  <r>
    <n v="15405"/>
    <x v="42"/>
    <x v="0"/>
    <x v="8"/>
    <x v="8"/>
    <x v="1"/>
    <x v="6"/>
    <x v="5"/>
    <x v="1"/>
  </r>
  <r>
    <n v="15406"/>
    <x v="42"/>
    <x v="0"/>
    <x v="9"/>
    <x v="9"/>
    <x v="1"/>
    <x v="6"/>
    <x v="5"/>
    <x v="1"/>
  </r>
  <r>
    <n v="15407"/>
    <x v="42"/>
    <x v="0"/>
    <x v="10"/>
    <x v="10"/>
    <x v="1"/>
    <x v="6"/>
    <x v="5"/>
    <x v="1"/>
  </r>
  <r>
    <n v="15408"/>
    <x v="42"/>
    <x v="0"/>
    <x v="6"/>
    <x v="6"/>
    <x v="1"/>
    <x v="6"/>
    <x v="5"/>
    <x v="1"/>
  </r>
  <r>
    <n v="15409"/>
    <x v="42"/>
    <x v="0"/>
    <x v="2"/>
    <x v="2"/>
    <x v="3"/>
    <x v="6"/>
    <x v="5"/>
    <x v="1"/>
  </r>
  <r>
    <n v="15410"/>
    <x v="42"/>
    <x v="0"/>
    <x v="3"/>
    <x v="3"/>
    <x v="3"/>
    <x v="6"/>
    <x v="5"/>
    <x v="1"/>
  </r>
  <r>
    <n v="15411"/>
    <x v="43"/>
    <x v="0"/>
    <x v="0"/>
    <x v="0"/>
    <x v="0"/>
    <x v="6"/>
    <x v="5"/>
    <x v="1"/>
  </r>
  <r>
    <n v="15412"/>
    <x v="43"/>
    <x v="0"/>
    <x v="0"/>
    <x v="1"/>
    <x v="1"/>
    <x v="6"/>
    <x v="5"/>
    <x v="1"/>
  </r>
  <r>
    <n v="15413"/>
    <x v="43"/>
    <x v="0"/>
    <x v="1"/>
    <x v="1"/>
    <x v="1"/>
    <x v="6"/>
    <x v="5"/>
    <x v="1"/>
  </r>
  <r>
    <n v="15414"/>
    <x v="43"/>
    <x v="0"/>
    <x v="2"/>
    <x v="2"/>
    <x v="2"/>
    <x v="6"/>
    <x v="5"/>
    <x v="1"/>
  </r>
  <r>
    <n v="15415"/>
    <x v="43"/>
    <x v="0"/>
    <x v="3"/>
    <x v="3"/>
    <x v="2"/>
    <x v="6"/>
    <x v="5"/>
    <x v="1"/>
  </r>
  <r>
    <n v="15416"/>
    <x v="43"/>
    <x v="0"/>
    <x v="11"/>
    <x v="11"/>
    <x v="0"/>
    <x v="6"/>
    <x v="5"/>
    <x v="1"/>
  </r>
  <r>
    <n v="15417"/>
    <x v="43"/>
    <x v="0"/>
    <x v="4"/>
    <x v="4"/>
    <x v="0"/>
    <x v="6"/>
    <x v="5"/>
    <x v="1"/>
  </r>
  <r>
    <n v="15418"/>
    <x v="43"/>
    <x v="0"/>
    <x v="5"/>
    <x v="5"/>
    <x v="0"/>
    <x v="6"/>
    <x v="5"/>
    <x v="1"/>
  </r>
  <r>
    <n v="15419"/>
    <x v="43"/>
    <x v="0"/>
    <x v="6"/>
    <x v="6"/>
    <x v="0"/>
    <x v="6"/>
    <x v="5"/>
    <x v="1"/>
  </r>
  <r>
    <n v="15420"/>
    <x v="43"/>
    <x v="0"/>
    <x v="7"/>
    <x v="7"/>
    <x v="1"/>
    <x v="6"/>
    <x v="5"/>
    <x v="1"/>
  </r>
  <r>
    <n v="15421"/>
    <x v="43"/>
    <x v="0"/>
    <x v="8"/>
    <x v="8"/>
    <x v="1"/>
    <x v="6"/>
    <x v="5"/>
    <x v="1"/>
  </r>
  <r>
    <n v="15422"/>
    <x v="43"/>
    <x v="0"/>
    <x v="9"/>
    <x v="9"/>
    <x v="1"/>
    <x v="6"/>
    <x v="5"/>
    <x v="1"/>
  </r>
  <r>
    <n v="15423"/>
    <x v="43"/>
    <x v="0"/>
    <x v="10"/>
    <x v="10"/>
    <x v="1"/>
    <x v="6"/>
    <x v="5"/>
    <x v="1"/>
  </r>
  <r>
    <n v="15424"/>
    <x v="43"/>
    <x v="0"/>
    <x v="6"/>
    <x v="6"/>
    <x v="1"/>
    <x v="6"/>
    <x v="5"/>
    <x v="1"/>
  </r>
  <r>
    <n v="15425"/>
    <x v="43"/>
    <x v="0"/>
    <x v="2"/>
    <x v="2"/>
    <x v="3"/>
    <x v="6"/>
    <x v="5"/>
    <x v="1"/>
  </r>
  <r>
    <n v="15426"/>
    <x v="43"/>
    <x v="0"/>
    <x v="3"/>
    <x v="3"/>
    <x v="3"/>
    <x v="6"/>
    <x v="5"/>
    <x v="1"/>
  </r>
  <r>
    <n v="15427"/>
    <x v="44"/>
    <x v="0"/>
    <x v="0"/>
    <x v="0"/>
    <x v="0"/>
    <x v="10"/>
    <x v="5"/>
    <x v="1"/>
  </r>
  <r>
    <n v="15428"/>
    <x v="44"/>
    <x v="0"/>
    <x v="0"/>
    <x v="1"/>
    <x v="1"/>
    <x v="10"/>
    <x v="5"/>
    <x v="1"/>
  </r>
  <r>
    <n v="15429"/>
    <x v="44"/>
    <x v="0"/>
    <x v="1"/>
    <x v="1"/>
    <x v="1"/>
    <x v="10"/>
    <x v="5"/>
    <x v="1"/>
  </r>
  <r>
    <n v="15430"/>
    <x v="44"/>
    <x v="0"/>
    <x v="2"/>
    <x v="2"/>
    <x v="2"/>
    <x v="10"/>
    <x v="5"/>
    <x v="1"/>
  </r>
  <r>
    <n v="15431"/>
    <x v="44"/>
    <x v="0"/>
    <x v="3"/>
    <x v="3"/>
    <x v="2"/>
    <x v="10"/>
    <x v="5"/>
    <x v="1"/>
  </r>
  <r>
    <n v="15432"/>
    <x v="44"/>
    <x v="0"/>
    <x v="11"/>
    <x v="11"/>
    <x v="0"/>
    <x v="10"/>
    <x v="5"/>
    <x v="1"/>
  </r>
  <r>
    <n v="15433"/>
    <x v="44"/>
    <x v="0"/>
    <x v="4"/>
    <x v="4"/>
    <x v="0"/>
    <x v="10"/>
    <x v="5"/>
    <x v="1"/>
  </r>
  <r>
    <n v="15434"/>
    <x v="44"/>
    <x v="0"/>
    <x v="5"/>
    <x v="5"/>
    <x v="0"/>
    <x v="10"/>
    <x v="5"/>
    <x v="1"/>
  </r>
  <r>
    <n v="15435"/>
    <x v="44"/>
    <x v="0"/>
    <x v="6"/>
    <x v="6"/>
    <x v="0"/>
    <x v="10"/>
    <x v="5"/>
    <x v="1"/>
  </r>
  <r>
    <n v="15436"/>
    <x v="44"/>
    <x v="0"/>
    <x v="7"/>
    <x v="7"/>
    <x v="1"/>
    <x v="10"/>
    <x v="5"/>
    <x v="1"/>
  </r>
  <r>
    <n v="15437"/>
    <x v="44"/>
    <x v="0"/>
    <x v="8"/>
    <x v="8"/>
    <x v="1"/>
    <x v="10"/>
    <x v="5"/>
    <x v="1"/>
  </r>
  <r>
    <n v="15438"/>
    <x v="44"/>
    <x v="0"/>
    <x v="9"/>
    <x v="9"/>
    <x v="1"/>
    <x v="10"/>
    <x v="5"/>
    <x v="1"/>
  </r>
  <r>
    <n v="15439"/>
    <x v="44"/>
    <x v="0"/>
    <x v="10"/>
    <x v="10"/>
    <x v="1"/>
    <x v="10"/>
    <x v="5"/>
    <x v="1"/>
  </r>
  <r>
    <n v="15440"/>
    <x v="44"/>
    <x v="0"/>
    <x v="6"/>
    <x v="6"/>
    <x v="1"/>
    <x v="10"/>
    <x v="5"/>
    <x v="1"/>
  </r>
  <r>
    <n v="15441"/>
    <x v="44"/>
    <x v="0"/>
    <x v="2"/>
    <x v="2"/>
    <x v="3"/>
    <x v="10"/>
    <x v="5"/>
    <x v="1"/>
  </r>
  <r>
    <n v="15442"/>
    <x v="44"/>
    <x v="0"/>
    <x v="3"/>
    <x v="3"/>
    <x v="3"/>
    <x v="10"/>
    <x v="5"/>
    <x v="1"/>
  </r>
  <r>
    <n v="15443"/>
    <x v="45"/>
    <x v="0"/>
    <x v="0"/>
    <x v="0"/>
    <x v="0"/>
    <x v="10"/>
    <x v="5"/>
    <x v="1"/>
  </r>
  <r>
    <n v="15444"/>
    <x v="45"/>
    <x v="0"/>
    <x v="0"/>
    <x v="1"/>
    <x v="1"/>
    <x v="10"/>
    <x v="5"/>
    <x v="1"/>
  </r>
  <r>
    <n v="15445"/>
    <x v="45"/>
    <x v="0"/>
    <x v="1"/>
    <x v="1"/>
    <x v="1"/>
    <x v="10"/>
    <x v="5"/>
    <x v="1"/>
  </r>
  <r>
    <n v="15446"/>
    <x v="45"/>
    <x v="0"/>
    <x v="2"/>
    <x v="2"/>
    <x v="2"/>
    <x v="10"/>
    <x v="5"/>
    <x v="1"/>
  </r>
  <r>
    <n v="15447"/>
    <x v="45"/>
    <x v="0"/>
    <x v="3"/>
    <x v="3"/>
    <x v="2"/>
    <x v="10"/>
    <x v="5"/>
    <x v="1"/>
  </r>
  <r>
    <n v="15448"/>
    <x v="45"/>
    <x v="0"/>
    <x v="11"/>
    <x v="11"/>
    <x v="0"/>
    <x v="10"/>
    <x v="5"/>
    <x v="1"/>
  </r>
  <r>
    <n v="15449"/>
    <x v="45"/>
    <x v="0"/>
    <x v="4"/>
    <x v="4"/>
    <x v="0"/>
    <x v="10"/>
    <x v="5"/>
    <x v="1"/>
  </r>
  <r>
    <n v="15450"/>
    <x v="45"/>
    <x v="0"/>
    <x v="5"/>
    <x v="5"/>
    <x v="0"/>
    <x v="10"/>
    <x v="5"/>
    <x v="1"/>
  </r>
  <r>
    <n v="15451"/>
    <x v="45"/>
    <x v="0"/>
    <x v="6"/>
    <x v="6"/>
    <x v="0"/>
    <x v="10"/>
    <x v="5"/>
    <x v="1"/>
  </r>
  <r>
    <n v="15452"/>
    <x v="45"/>
    <x v="0"/>
    <x v="7"/>
    <x v="7"/>
    <x v="1"/>
    <x v="10"/>
    <x v="5"/>
    <x v="1"/>
  </r>
  <r>
    <n v="15453"/>
    <x v="45"/>
    <x v="0"/>
    <x v="8"/>
    <x v="8"/>
    <x v="1"/>
    <x v="10"/>
    <x v="5"/>
    <x v="1"/>
  </r>
  <r>
    <n v="15454"/>
    <x v="45"/>
    <x v="0"/>
    <x v="9"/>
    <x v="9"/>
    <x v="1"/>
    <x v="10"/>
    <x v="5"/>
    <x v="1"/>
  </r>
  <r>
    <n v="15455"/>
    <x v="45"/>
    <x v="0"/>
    <x v="10"/>
    <x v="10"/>
    <x v="1"/>
    <x v="10"/>
    <x v="5"/>
    <x v="1"/>
  </r>
  <r>
    <n v="15456"/>
    <x v="45"/>
    <x v="0"/>
    <x v="6"/>
    <x v="6"/>
    <x v="1"/>
    <x v="10"/>
    <x v="5"/>
    <x v="1"/>
  </r>
  <r>
    <n v="15457"/>
    <x v="45"/>
    <x v="0"/>
    <x v="2"/>
    <x v="2"/>
    <x v="3"/>
    <x v="10"/>
    <x v="5"/>
    <x v="1"/>
  </r>
  <r>
    <n v="15458"/>
    <x v="45"/>
    <x v="0"/>
    <x v="3"/>
    <x v="3"/>
    <x v="3"/>
    <x v="10"/>
    <x v="5"/>
    <x v="1"/>
  </r>
  <r>
    <n v="15459"/>
    <x v="46"/>
    <x v="0"/>
    <x v="0"/>
    <x v="0"/>
    <x v="0"/>
    <x v="10"/>
    <x v="5"/>
    <x v="1"/>
  </r>
  <r>
    <n v="15460"/>
    <x v="46"/>
    <x v="0"/>
    <x v="0"/>
    <x v="1"/>
    <x v="1"/>
    <x v="10"/>
    <x v="5"/>
    <x v="1"/>
  </r>
  <r>
    <n v="15461"/>
    <x v="46"/>
    <x v="0"/>
    <x v="1"/>
    <x v="1"/>
    <x v="1"/>
    <x v="10"/>
    <x v="5"/>
    <x v="1"/>
  </r>
  <r>
    <n v="15462"/>
    <x v="46"/>
    <x v="0"/>
    <x v="2"/>
    <x v="2"/>
    <x v="2"/>
    <x v="10"/>
    <x v="5"/>
    <x v="1"/>
  </r>
  <r>
    <n v="15463"/>
    <x v="46"/>
    <x v="0"/>
    <x v="3"/>
    <x v="3"/>
    <x v="2"/>
    <x v="10"/>
    <x v="5"/>
    <x v="1"/>
  </r>
  <r>
    <n v="15464"/>
    <x v="46"/>
    <x v="0"/>
    <x v="11"/>
    <x v="11"/>
    <x v="0"/>
    <x v="10"/>
    <x v="5"/>
    <x v="1"/>
  </r>
  <r>
    <n v="15465"/>
    <x v="46"/>
    <x v="0"/>
    <x v="4"/>
    <x v="4"/>
    <x v="0"/>
    <x v="10"/>
    <x v="5"/>
    <x v="1"/>
  </r>
  <r>
    <n v="15466"/>
    <x v="46"/>
    <x v="0"/>
    <x v="5"/>
    <x v="5"/>
    <x v="0"/>
    <x v="10"/>
    <x v="5"/>
    <x v="1"/>
  </r>
  <r>
    <n v="15467"/>
    <x v="46"/>
    <x v="0"/>
    <x v="6"/>
    <x v="6"/>
    <x v="0"/>
    <x v="10"/>
    <x v="5"/>
    <x v="1"/>
  </r>
  <r>
    <n v="15468"/>
    <x v="46"/>
    <x v="0"/>
    <x v="7"/>
    <x v="7"/>
    <x v="1"/>
    <x v="10"/>
    <x v="5"/>
    <x v="1"/>
  </r>
  <r>
    <n v="15469"/>
    <x v="46"/>
    <x v="0"/>
    <x v="8"/>
    <x v="8"/>
    <x v="1"/>
    <x v="10"/>
    <x v="5"/>
    <x v="1"/>
  </r>
  <r>
    <n v="15470"/>
    <x v="46"/>
    <x v="0"/>
    <x v="9"/>
    <x v="9"/>
    <x v="1"/>
    <x v="10"/>
    <x v="5"/>
    <x v="1"/>
  </r>
  <r>
    <n v="15471"/>
    <x v="46"/>
    <x v="0"/>
    <x v="10"/>
    <x v="10"/>
    <x v="1"/>
    <x v="10"/>
    <x v="5"/>
    <x v="1"/>
  </r>
  <r>
    <n v="15472"/>
    <x v="46"/>
    <x v="0"/>
    <x v="6"/>
    <x v="6"/>
    <x v="1"/>
    <x v="10"/>
    <x v="5"/>
    <x v="1"/>
  </r>
  <r>
    <n v="15473"/>
    <x v="46"/>
    <x v="0"/>
    <x v="2"/>
    <x v="2"/>
    <x v="3"/>
    <x v="10"/>
    <x v="5"/>
    <x v="1"/>
  </r>
  <r>
    <n v="15474"/>
    <x v="46"/>
    <x v="0"/>
    <x v="3"/>
    <x v="3"/>
    <x v="3"/>
    <x v="10"/>
    <x v="5"/>
    <x v="1"/>
  </r>
  <r>
    <n v="15475"/>
    <x v="47"/>
    <x v="0"/>
    <x v="0"/>
    <x v="0"/>
    <x v="0"/>
    <x v="10"/>
    <x v="5"/>
    <x v="1"/>
  </r>
  <r>
    <n v="15476"/>
    <x v="47"/>
    <x v="0"/>
    <x v="0"/>
    <x v="1"/>
    <x v="1"/>
    <x v="10"/>
    <x v="5"/>
    <x v="1"/>
  </r>
  <r>
    <n v="15477"/>
    <x v="47"/>
    <x v="0"/>
    <x v="1"/>
    <x v="1"/>
    <x v="1"/>
    <x v="10"/>
    <x v="5"/>
    <x v="1"/>
  </r>
  <r>
    <n v="15478"/>
    <x v="47"/>
    <x v="0"/>
    <x v="2"/>
    <x v="2"/>
    <x v="2"/>
    <x v="10"/>
    <x v="5"/>
    <x v="1"/>
  </r>
  <r>
    <n v="15479"/>
    <x v="47"/>
    <x v="0"/>
    <x v="3"/>
    <x v="3"/>
    <x v="2"/>
    <x v="10"/>
    <x v="5"/>
    <x v="1"/>
  </r>
  <r>
    <n v="15480"/>
    <x v="47"/>
    <x v="0"/>
    <x v="11"/>
    <x v="11"/>
    <x v="0"/>
    <x v="10"/>
    <x v="5"/>
    <x v="1"/>
  </r>
  <r>
    <n v="15481"/>
    <x v="47"/>
    <x v="0"/>
    <x v="4"/>
    <x v="4"/>
    <x v="0"/>
    <x v="10"/>
    <x v="5"/>
    <x v="1"/>
  </r>
  <r>
    <n v="15482"/>
    <x v="47"/>
    <x v="0"/>
    <x v="5"/>
    <x v="5"/>
    <x v="0"/>
    <x v="10"/>
    <x v="5"/>
    <x v="1"/>
  </r>
  <r>
    <n v="15483"/>
    <x v="47"/>
    <x v="0"/>
    <x v="6"/>
    <x v="6"/>
    <x v="0"/>
    <x v="10"/>
    <x v="5"/>
    <x v="1"/>
  </r>
  <r>
    <n v="15484"/>
    <x v="47"/>
    <x v="0"/>
    <x v="7"/>
    <x v="7"/>
    <x v="1"/>
    <x v="10"/>
    <x v="5"/>
    <x v="1"/>
  </r>
  <r>
    <n v="15485"/>
    <x v="47"/>
    <x v="0"/>
    <x v="8"/>
    <x v="8"/>
    <x v="1"/>
    <x v="10"/>
    <x v="5"/>
    <x v="1"/>
  </r>
  <r>
    <n v="15486"/>
    <x v="47"/>
    <x v="0"/>
    <x v="9"/>
    <x v="9"/>
    <x v="1"/>
    <x v="10"/>
    <x v="5"/>
    <x v="1"/>
  </r>
  <r>
    <n v="15487"/>
    <x v="47"/>
    <x v="0"/>
    <x v="10"/>
    <x v="10"/>
    <x v="1"/>
    <x v="10"/>
    <x v="5"/>
    <x v="1"/>
  </r>
  <r>
    <n v="15488"/>
    <x v="47"/>
    <x v="0"/>
    <x v="6"/>
    <x v="6"/>
    <x v="1"/>
    <x v="10"/>
    <x v="5"/>
    <x v="1"/>
  </r>
  <r>
    <n v="15489"/>
    <x v="47"/>
    <x v="0"/>
    <x v="2"/>
    <x v="2"/>
    <x v="3"/>
    <x v="10"/>
    <x v="5"/>
    <x v="1"/>
  </r>
  <r>
    <n v="15490"/>
    <x v="47"/>
    <x v="0"/>
    <x v="3"/>
    <x v="3"/>
    <x v="3"/>
    <x v="10"/>
    <x v="5"/>
    <x v="1"/>
  </r>
  <r>
    <n v="15491"/>
    <x v="48"/>
    <x v="0"/>
    <x v="0"/>
    <x v="0"/>
    <x v="0"/>
    <x v="11"/>
    <x v="5"/>
    <x v="1"/>
  </r>
  <r>
    <n v="15492"/>
    <x v="48"/>
    <x v="0"/>
    <x v="0"/>
    <x v="1"/>
    <x v="1"/>
    <x v="11"/>
    <x v="5"/>
    <x v="1"/>
  </r>
  <r>
    <n v="15493"/>
    <x v="48"/>
    <x v="0"/>
    <x v="1"/>
    <x v="1"/>
    <x v="1"/>
    <x v="11"/>
    <x v="5"/>
    <x v="1"/>
  </r>
  <r>
    <n v="15494"/>
    <x v="48"/>
    <x v="0"/>
    <x v="2"/>
    <x v="2"/>
    <x v="2"/>
    <x v="11"/>
    <x v="5"/>
    <x v="1"/>
  </r>
  <r>
    <n v="15495"/>
    <x v="48"/>
    <x v="0"/>
    <x v="3"/>
    <x v="3"/>
    <x v="2"/>
    <x v="11"/>
    <x v="5"/>
    <x v="1"/>
  </r>
  <r>
    <n v="15496"/>
    <x v="48"/>
    <x v="0"/>
    <x v="11"/>
    <x v="11"/>
    <x v="0"/>
    <x v="11"/>
    <x v="5"/>
    <x v="1"/>
  </r>
  <r>
    <n v="15497"/>
    <x v="48"/>
    <x v="0"/>
    <x v="4"/>
    <x v="4"/>
    <x v="0"/>
    <x v="11"/>
    <x v="5"/>
    <x v="1"/>
  </r>
  <r>
    <n v="15498"/>
    <x v="48"/>
    <x v="0"/>
    <x v="5"/>
    <x v="5"/>
    <x v="0"/>
    <x v="11"/>
    <x v="5"/>
    <x v="1"/>
  </r>
  <r>
    <n v="15499"/>
    <x v="48"/>
    <x v="0"/>
    <x v="6"/>
    <x v="6"/>
    <x v="0"/>
    <x v="11"/>
    <x v="5"/>
    <x v="1"/>
  </r>
  <r>
    <n v="15500"/>
    <x v="48"/>
    <x v="0"/>
    <x v="7"/>
    <x v="7"/>
    <x v="1"/>
    <x v="11"/>
    <x v="5"/>
    <x v="1"/>
  </r>
  <r>
    <n v="15501"/>
    <x v="48"/>
    <x v="0"/>
    <x v="8"/>
    <x v="8"/>
    <x v="1"/>
    <x v="11"/>
    <x v="5"/>
    <x v="1"/>
  </r>
  <r>
    <n v="15502"/>
    <x v="48"/>
    <x v="0"/>
    <x v="9"/>
    <x v="9"/>
    <x v="1"/>
    <x v="11"/>
    <x v="5"/>
    <x v="1"/>
  </r>
  <r>
    <n v="15503"/>
    <x v="48"/>
    <x v="0"/>
    <x v="10"/>
    <x v="10"/>
    <x v="1"/>
    <x v="11"/>
    <x v="5"/>
    <x v="1"/>
  </r>
  <r>
    <n v="15504"/>
    <x v="48"/>
    <x v="0"/>
    <x v="6"/>
    <x v="6"/>
    <x v="1"/>
    <x v="11"/>
    <x v="5"/>
    <x v="1"/>
  </r>
  <r>
    <n v="15505"/>
    <x v="48"/>
    <x v="0"/>
    <x v="2"/>
    <x v="2"/>
    <x v="3"/>
    <x v="11"/>
    <x v="5"/>
    <x v="1"/>
  </r>
  <r>
    <n v="15506"/>
    <x v="48"/>
    <x v="0"/>
    <x v="3"/>
    <x v="3"/>
    <x v="3"/>
    <x v="11"/>
    <x v="5"/>
    <x v="1"/>
  </r>
  <r>
    <n v="14696"/>
    <x v="0"/>
    <x v="4"/>
    <x v="11"/>
    <x v="11"/>
    <x v="0"/>
    <x v="0"/>
    <x v="0"/>
    <x v="0"/>
  </r>
  <r>
    <n v="14761"/>
    <x v="4"/>
    <x v="5"/>
    <x v="4"/>
    <x v="4"/>
    <x v="0"/>
    <x v="2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483">
      <pivotArea type="all" dataOnly="0" outline="0" fieldPosition="0"/>
    </format>
    <format dxfId="482">
      <pivotArea outline="0" collapsedLevelsAreSubtotals="1" fieldPosition="0"/>
    </format>
    <format dxfId="481">
      <pivotArea type="origin" dataOnly="0" labelOnly="1" outline="0" fieldPosition="0"/>
    </format>
    <format dxfId="480">
      <pivotArea type="topRight" dataOnly="0" labelOnly="1" outline="0" fieldPosition="0"/>
    </format>
    <format dxfId="479">
      <pivotArea field="2" type="button" dataOnly="0" labelOnly="1" outline="0" axis="axisRow" fieldPosition="0"/>
    </format>
    <format dxfId="478">
      <pivotArea dataOnly="0" labelOnly="1" fieldPosition="0">
        <references count="1">
          <reference field="2" count="0"/>
        </references>
      </pivotArea>
    </format>
    <format dxfId="477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476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475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474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473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472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471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470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469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468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467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466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465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464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463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462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461">
      <pivotArea type="all" dataOnly="0" outline="0" fieldPosition="0"/>
    </format>
    <format dxfId="460">
      <pivotArea outline="0" collapsedLevelsAreSubtotals="1" fieldPosition="0"/>
    </format>
    <format dxfId="459">
      <pivotArea type="origin" dataOnly="0" labelOnly="1" outline="0" fieldPosition="0"/>
    </format>
    <format dxfId="458">
      <pivotArea type="topRight" dataOnly="0" labelOnly="1" outline="0" fieldPosition="0"/>
    </format>
    <format dxfId="457">
      <pivotArea field="2" type="button" dataOnly="0" labelOnly="1" outline="0" axis="axisRow" fieldPosition="0"/>
    </format>
    <format dxfId="456">
      <pivotArea dataOnly="0" labelOnly="1" fieldPosition="0">
        <references count="1">
          <reference field="2" count="0"/>
        </references>
      </pivotArea>
    </format>
    <format dxfId="455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454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453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452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451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450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449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448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447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446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445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444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443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442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441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440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439">
      <pivotArea type="origin" dataOnly="0" labelOnly="1" outline="0" fieldPosition="0"/>
    </format>
    <format dxfId="438">
      <pivotArea field="2" type="button" dataOnly="0" labelOnly="1" outline="0" axis="axisRow" fieldPosition="0"/>
    </format>
    <format dxfId="437">
      <pivotArea dataOnly="0" labelOnly="1" fieldPosition="0">
        <references count="1">
          <reference field="2" count="0"/>
        </references>
      </pivotArea>
    </format>
    <format dxfId="436">
      <pivotArea dataOnly="0" labelOnly="1" fieldPosition="0">
        <references count="1">
          <reference field="2" count="0" defaultSubtotal="1"/>
        </references>
      </pivotArea>
    </format>
    <format dxfId="435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434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433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432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431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430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429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428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427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426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425">
      <pivotArea type="origin" dataOnly="0" labelOnly="1" outline="0" fieldPosition="0"/>
    </format>
    <format dxfId="424">
      <pivotArea field="2" type="button" dataOnly="0" labelOnly="1" outline="0" axis="axisRow" fieldPosition="0"/>
    </format>
    <format dxfId="423">
      <pivotArea dataOnly="0" labelOnly="1" fieldPosition="0">
        <references count="1">
          <reference field="2" count="0"/>
        </references>
      </pivotArea>
    </format>
    <format dxfId="422">
      <pivotArea dataOnly="0" labelOnly="1" fieldPosition="0">
        <references count="1">
          <reference field="2" count="0" defaultSubtotal="1"/>
        </references>
      </pivotArea>
    </format>
    <format dxfId="421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420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419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418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417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416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415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414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413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412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411">
      <pivotArea type="origin" dataOnly="0" labelOnly="1" outline="0" fieldPosition="0"/>
    </format>
    <format dxfId="410">
      <pivotArea field="2" type="button" dataOnly="0" labelOnly="1" outline="0" axis="axisRow" fieldPosition="0"/>
    </format>
    <format dxfId="409">
      <pivotArea dataOnly="0" labelOnly="1" fieldPosition="0">
        <references count="1">
          <reference field="2" count="0"/>
        </references>
      </pivotArea>
    </format>
    <format dxfId="408">
      <pivotArea dataOnly="0" labelOnly="1" fieldPosition="0">
        <references count="1">
          <reference field="2" count="0" defaultSubtotal="1"/>
        </references>
      </pivotArea>
    </format>
    <format dxfId="407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406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405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404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403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402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401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400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399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398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4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0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7"/>
        <item x="9"/>
        <item x="25"/>
        <item x="33"/>
        <item x="35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4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8"/>
        <item x="39"/>
        <item x="36"/>
        <item x="1"/>
        <item x="48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8"/>
        <item sd="0" x="2"/>
        <item sd="0" x="3"/>
        <item x="9"/>
        <item x="11"/>
        <item x="6"/>
        <item x="5"/>
        <item x="1"/>
        <item x="4"/>
        <item x="10"/>
        <item x="0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1"/>
        <item x="0"/>
        <item n="(blank)" m="1" x="12"/>
        <item x="2"/>
        <item x="3"/>
        <item x="11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2"/>
        <item x="0"/>
        <item x="1"/>
        <item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8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7"/>
    </i>
    <i r="1">
      <x v="6"/>
    </i>
    <i r="2">
      <x/>
    </i>
    <i r="3">
      <x v="7"/>
    </i>
    <i r="3">
      <x v="8"/>
    </i>
    <i r="3">
      <x v="47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6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5">
    <format dxfId="26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267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268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269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270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27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272">
      <pivotArea dataOnly="0" labelOnly="1" fieldPosition="0">
        <references count="1">
          <reference field="5" count="0"/>
        </references>
      </pivotArea>
    </format>
    <format dxfId="273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274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275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276">
      <pivotArea dataOnly="0" labelOnly="1" fieldPosition="0">
        <references count="1">
          <reference field="5" count="0"/>
        </references>
      </pivotArea>
    </format>
    <format dxfId="277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278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279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280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28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282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283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284">
      <pivotArea dataOnly="0" labelOnly="1" fieldPosition="0">
        <references count="1">
          <reference field="6" count="0"/>
        </references>
      </pivotArea>
    </format>
    <format dxfId="285">
      <pivotArea dataOnly="0" labelOnly="1" fieldPosition="0">
        <references count="1">
          <reference field="8" count="1">
            <x v="0"/>
          </reference>
        </references>
      </pivotArea>
    </format>
    <format dxfId="286">
      <pivotArea dataOnly="0" labelOnly="1" fieldPosition="0">
        <references count="1">
          <reference field="8" count="1">
            <x v="2"/>
          </reference>
        </references>
      </pivotArea>
    </format>
    <format dxfId="287">
      <pivotArea outline="0" collapsedLevelsAreSubtotals="1" fieldPosition="0"/>
    </format>
    <format dxfId="288">
      <pivotArea outline="0" collapsedLevelsAreSubtotals="1" fieldPosition="0"/>
    </format>
    <format dxfId="289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290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29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292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293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294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295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29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297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298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299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300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301">
      <pivotArea collapsedLevelsAreSubtotals="1" fieldPosition="0">
        <references count="1">
          <reference field="8" count="1">
            <x v="2"/>
          </reference>
        </references>
      </pivotArea>
    </format>
    <format dxfId="302">
      <pivotArea dataOnly="0" labelOnly="1" fieldPosition="0">
        <references count="1">
          <reference field="8" count="1">
            <x v="2"/>
          </reference>
        </references>
      </pivotArea>
    </format>
    <format dxfId="303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04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05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0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07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08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09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0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312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313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14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15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1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17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18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19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20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2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22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23">
      <pivotArea outline="0" collapsedLevelsAreSubtotals="1" fieldPosition="0"/>
    </format>
    <format dxfId="324">
      <pivotArea dataOnly="0" labelOnly="1" fieldPosition="0">
        <references count="1">
          <reference field="8" count="0"/>
        </references>
      </pivotArea>
    </format>
    <format dxfId="325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32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327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28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29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30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3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2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33">
      <pivotArea dataOnly="0" labelOnly="1" fieldPosition="0">
        <references count="4">
          <reference field="1" count="2">
            <x v="45"/>
            <x v="48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34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35">
      <pivotArea dataOnly="0" labelOnly="1" fieldPosition="0">
        <references count="4">
          <reference field="1" count="2">
            <x v="8"/>
            <x v="47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36">
      <pivotArea dataOnly="0" labelOnly="1" fieldPosition="0">
        <references count="4">
          <reference field="1" count="3">
            <x v="7"/>
            <x v="8"/>
            <x v="47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37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8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9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0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42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43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44">
      <pivotArea dataOnly="0" labelOnly="1" fieldPosition="0">
        <references count="4">
          <reference field="1" count="1">
            <x v="46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45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46">
      <pivotArea type="all" dataOnly="0" outline="0" fieldPosition="0"/>
    </format>
    <format dxfId="347">
      <pivotArea outline="0" collapsedLevelsAreSubtotals="1" fieldPosition="0"/>
    </format>
    <format dxfId="348">
      <pivotArea type="origin" dataOnly="0" labelOnly="1" outline="0" fieldPosition="0"/>
    </format>
    <format dxfId="349">
      <pivotArea field="5" type="button" dataOnly="0" labelOnly="1" outline="0" axis="axisCol" fieldPosition="0"/>
    </format>
    <format dxfId="350">
      <pivotArea field="4" type="button" dataOnly="0" labelOnly="1" outline="0" axis="axisCol" fieldPosition="1"/>
    </format>
    <format dxfId="351">
      <pivotArea field="3" type="button" dataOnly="0" labelOnly="1" outline="0" axis="axisCol" fieldPosition="2"/>
    </format>
    <format dxfId="352">
      <pivotArea type="topRight" dataOnly="0" labelOnly="1" outline="0" fieldPosition="0"/>
    </format>
    <format dxfId="353">
      <pivotArea field="8" type="button" dataOnly="0" labelOnly="1" outline="0" axis="axisRow" fieldPosition="0"/>
    </format>
    <format dxfId="354">
      <pivotArea dataOnly="0" labelOnly="1" fieldPosition="0">
        <references count="1">
          <reference field="8" count="0"/>
        </references>
      </pivotArea>
    </format>
    <format dxfId="355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35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357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58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59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0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6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62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63">
      <pivotArea dataOnly="0" labelOnly="1" fieldPosition="0">
        <references count="4">
          <reference field="1" count="2">
            <x v="45"/>
            <x v="48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64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65">
      <pivotArea dataOnly="0" labelOnly="1" fieldPosition="0">
        <references count="4">
          <reference field="1" count="2">
            <x v="8"/>
            <x v="47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6">
      <pivotArea dataOnly="0" labelOnly="1" fieldPosition="0">
        <references count="4">
          <reference field="1" count="3">
            <x v="7"/>
            <x v="8"/>
            <x v="47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67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68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69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70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7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72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73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74">
      <pivotArea dataOnly="0" labelOnly="1" fieldPosition="0">
        <references count="4">
          <reference field="1" count="1">
            <x v="46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75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76">
      <pivotArea dataOnly="0" labelOnly="1" outline="0" fieldPosition="0">
        <references count="1">
          <reference field="5" count="0"/>
        </references>
      </pivotArea>
    </format>
    <format dxfId="377">
      <pivotArea dataOnly="0" labelOnly="1" outline="0" fieldPosition="0">
        <references count="1">
          <reference field="5" count="0" sumSubtotal="1"/>
        </references>
      </pivotArea>
    </format>
    <format dxfId="378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379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380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38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382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383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384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385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38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387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388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389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390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39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392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393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394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395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39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3">
      <pivotArea dataOnly="0" labelOnly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1">
          <reference field="8" count="1">
            <x v="0"/>
          </reference>
        </references>
      </pivotArea>
    </format>
    <format dxfId="0">
      <pivotArea dataOnly="0" labelOnly="1" fieldPosition="0">
        <references count="1">
          <reference field="8" count="1">
            <x v="0"/>
          </reference>
        </references>
      </pivotArea>
    </format>
  </formats>
  <pivotTableStyleInfo name="PivotTable Styl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7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tructhuoc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5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485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484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397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E1" zoomScaleNormal="100" workbookViewId="0">
      <selection activeCell="L2" sqref="L2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9.85546875" customWidth="1"/>
    <col min="9" max="9" width="16" customWidth="1"/>
    <col min="10" max="10" width="12.85546875" customWidth="1"/>
    <col min="11" max="11" width="14.7109375" customWidth="1"/>
    <col min="12" max="12" width="15.140625" customWidth="1"/>
    <col min="13" max="13" width="13.4257812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21.5703125" customWidth="1"/>
    <col min="19" max="19" width="15" customWidth="1"/>
    <col min="20" max="20" width="8.42578125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9.85546875" customWidth="1"/>
    <col min="26" max="26" width="10" customWidth="1"/>
    <col min="27" max="27" width="16.710937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24" t="s">
        <v>274</v>
      </c>
      <c r="G3" s="24" t="s">
        <v>273</v>
      </c>
      <c r="H3" s="24" t="str">
        <f>IF(H8="",$F$3, IF(ISNUMBER(SEARCH("Sum", H8)), "Tổng", H8))</f>
        <v>Tồn đầu kỳ</v>
      </c>
      <c r="I3" s="24"/>
      <c r="J3" s="24" t="str">
        <f t="shared" ref="J3:AA3" si="0">IF(J8="",$F$3, IF(ISNUMBER(SEARCH("Sum", J8)), "Tổng", J8))</f>
        <v>Tổng</v>
      </c>
      <c r="K3" s="24" t="str">
        <f t="shared" si="0"/>
        <v>Nhập</v>
      </c>
      <c r="L3" s="24"/>
      <c r="M3" s="24"/>
      <c r="N3" s="24"/>
      <c r="O3" s="24"/>
      <c r="P3" s="24" t="str">
        <f t="shared" si="0"/>
        <v>Tổng</v>
      </c>
      <c r="Q3" s="24" t="str">
        <f t="shared" si="0"/>
        <v>Xuất</v>
      </c>
      <c r="R3" s="24"/>
      <c r="S3" s="24"/>
      <c r="T3" s="24"/>
      <c r="U3" s="24"/>
      <c r="V3" s="24"/>
      <c r="W3" s="24"/>
      <c r="X3" s="24" t="str">
        <f t="shared" si="0"/>
        <v>Tổng</v>
      </c>
      <c r="Y3" s="24" t="str">
        <f t="shared" si="0"/>
        <v>Tồn cuối kỳ</v>
      </c>
      <c r="Z3" s="24"/>
      <c r="AA3" s="24" t="str">
        <f t="shared" si="0"/>
        <v>Tổng</v>
      </c>
    </row>
    <row r="4" spans="1:66" ht="15.75" x14ac:dyDescent="0.25">
      <c r="C4" s="9"/>
      <c r="D4" s="9"/>
      <c r="E4" s="9"/>
      <c r="F4" s="24"/>
      <c r="G4" s="24"/>
      <c r="H4" s="24" t="str">
        <f t="shared" ref="H4:Z4" si="1">IF(H9="",$F$3, IF(ISNUMBER(SEARCH("Sum", H9)), "Tổng", H9))</f>
        <v>DT cho NV đột xuất</v>
      </c>
      <c r="I4" s="24" t="str">
        <f t="shared" si="1"/>
        <v>DT SSCD</v>
      </c>
      <c r="J4" s="24"/>
      <c r="K4" s="17" t="str">
        <f t="shared" si="1"/>
        <v>Nhập khác</v>
      </c>
      <c r="L4" s="24" t="str">
        <f t="shared" si="1"/>
        <v>CXD</v>
      </c>
      <c r="M4" s="24" t="str">
        <f t="shared" si="1"/>
        <v>QC</v>
      </c>
      <c r="N4" s="24" t="str">
        <f t="shared" si="1"/>
        <v>Mua P/cấp</v>
      </c>
      <c r="O4" s="24" t="str">
        <f t="shared" si="1"/>
        <v>Khác</v>
      </c>
      <c r="P4" s="24"/>
      <c r="Q4" s="24" t="str">
        <f t="shared" si="1"/>
        <v>Xuất khác</v>
      </c>
      <c r="R4" s="24"/>
      <c r="S4" s="24" t="str">
        <f t="shared" si="1"/>
        <v>Khác</v>
      </c>
      <c r="T4" s="24" t="str">
        <f t="shared" si="1"/>
        <v>TT Xe máy</v>
      </c>
      <c r="U4" s="24" t="str">
        <f t="shared" si="1"/>
        <v>BQ</v>
      </c>
      <c r="V4" s="24" t="str">
        <f t="shared" si="1"/>
        <v>Hao hụt</v>
      </c>
      <c r="W4" s="24" t="str">
        <f t="shared" si="1"/>
        <v>Tổn thất</v>
      </c>
      <c r="X4" s="24"/>
      <c r="Y4" s="24" t="str">
        <f t="shared" si="1"/>
        <v>DT cho NV đột xuất</v>
      </c>
      <c r="Z4" s="24" t="str">
        <f t="shared" si="1"/>
        <v>DT SSCD</v>
      </c>
      <c r="AA4" s="24"/>
    </row>
    <row r="5" spans="1:66" ht="15.75" x14ac:dyDescent="0.25">
      <c r="C5" s="9"/>
      <c r="D5" s="9"/>
      <c r="E5" s="9"/>
      <c r="F5" s="24"/>
      <c r="G5" s="24"/>
      <c r="H5" s="24"/>
      <c r="I5" s="24"/>
      <c r="J5" s="24"/>
      <c r="K5" s="17" t="str">
        <f t="shared" ref="K5:R5" si="2">IF(K10="",$F$3, IF(ISNUMBER(SEARCH("Sum", K10)), "Tổng", K10))</f>
        <v>Trong QC</v>
      </c>
      <c r="L5" s="24"/>
      <c r="M5" s="24"/>
      <c r="N5" s="24"/>
      <c r="O5" s="24"/>
      <c r="P5" s="24"/>
      <c r="Q5" s="17" t="str">
        <f t="shared" si="2"/>
        <v>Ngoài QC</v>
      </c>
      <c r="R5" s="17" t="str">
        <f t="shared" si="2"/>
        <v>Trong QC</v>
      </c>
      <c r="S5" s="24"/>
      <c r="T5" s="24"/>
      <c r="U5" s="24"/>
      <c r="V5" s="24"/>
      <c r="W5" s="24"/>
      <c r="X5" s="24"/>
      <c r="Y5" s="24"/>
      <c r="Z5" s="24"/>
      <c r="AA5" s="24"/>
    </row>
    <row r="6" spans="1:66" hidden="1" x14ac:dyDescent="0.25">
      <c r="F6" s="21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30"/>
      <c r="AH6">
        <f>ROW()</f>
        <v>6</v>
      </c>
      <c r="AI6">
        <f>COLUMN(AI7)</f>
        <v>35</v>
      </c>
    </row>
    <row r="7" spans="1:66" hidden="1" x14ac:dyDescent="0.25">
      <c r="F7" s="21"/>
      <c r="G7" s="52" t="s">
        <v>273</v>
      </c>
      <c r="H7" s="52" t="s">
        <v>216</v>
      </c>
      <c r="I7" s="31"/>
      <c r="J7" s="31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31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31"/>
      <c r="H8" s="32" t="s">
        <v>267</v>
      </c>
      <c r="I8" s="36" t="s">
        <v>267</v>
      </c>
      <c r="J8" s="34" t="s">
        <v>269</v>
      </c>
      <c r="K8" s="32" t="s">
        <v>265</v>
      </c>
      <c r="L8" s="33" t="s">
        <v>265</v>
      </c>
      <c r="M8" s="33" t="s">
        <v>265</v>
      </c>
      <c r="N8" s="33" t="s">
        <v>265</v>
      </c>
      <c r="O8" s="36" t="s">
        <v>265</v>
      </c>
      <c r="P8" s="34" t="s">
        <v>270</v>
      </c>
      <c r="Q8" s="32" t="s">
        <v>268</v>
      </c>
      <c r="R8" s="33" t="s">
        <v>268</v>
      </c>
      <c r="S8" s="33" t="s">
        <v>268</v>
      </c>
      <c r="T8" s="33" t="s">
        <v>268</v>
      </c>
      <c r="U8" s="33" t="s">
        <v>268</v>
      </c>
      <c r="V8" s="33" t="s">
        <v>268</v>
      </c>
      <c r="W8" s="36" t="s">
        <v>268</v>
      </c>
      <c r="X8" s="34" t="s">
        <v>271</v>
      </c>
      <c r="Y8" s="32" t="s">
        <v>266</v>
      </c>
      <c r="Z8" s="36" t="s">
        <v>266</v>
      </c>
      <c r="AA8" s="34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31"/>
      <c r="H9" s="35" t="s">
        <v>247</v>
      </c>
      <c r="I9" s="37" t="s">
        <v>248</v>
      </c>
      <c r="J9" s="36"/>
      <c r="K9" s="35" t="s">
        <v>263</v>
      </c>
      <c r="L9" s="35" t="s">
        <v>246</v>
      </c>
      <c r="M9" s="35" t="s">
        <v>250</v>
      </c>
      <c r="N9" s="35" t="s">
        <v>249</v>
      </c>
      <c r="O9" s="37" t="s">
        <v>150</v>
      </c>
      <c r="P9" s="36"/>
      <c r="Q9" s="32" t="s">
        <v>264</v>
      </c>
      <c r="R9" s="33" t="s">
        <v>264</v>
      </c>
      <c r="S9" s="35" t="s">
        <v>150</v>
      </c>
      <c r="T9" s="35" t="s">
        <v>251</v>
      </c>
      <c r="U9" s="35" t="s">
        <v>245</v>
      </c>
      <c r="V9" s="35" t="s">
        <v>160</v>
      </c>
      <c r="W9" s="37" t="s">
        <v>155</v>
      </c>
      <c r="X9" s="36"/>
      <c r="Y9" s="35" t="s">
        <v>247</v>
      </c>
      <c r="Z9" s="37" t="s">
        <v>248</v>
      </c>
      <c r="AA9" s="36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7"/>
      <c r="G10" s="52" t="s">
        <v>273</v>
      </c>
      <c r="H10" s="37" t="s">
        <v>247</v>
      </c>
      <c r="I10" s="37" t="s">
        <v>248</v>
      </c>
      <c r="J10" s="36"/>
      <c r="K10" s="37" t="s">
        <v>152</v>
      </c>
      <c r="L10" s="37" t="s">
        <v>246</v>
      </c>
      <c r="M10" s="37" t="s">
        <v>250</v>
      </c>
      <c r="N10" s="37" t="s">
        <v>249</v>
      </c>
      <c r="O10" s="37" t="s">
        <v>150</v>
      </c>
      <c r="P10" s="36"/>
      <c r="Q10" s="35" t="s">
        <v>154</v>
      </c>
      <c r="R10" s="37" t="s">
        <v>152</v>
      </c>
      <c r="S10" s="37" t="s">
        <v>150</v>
      </c>
      <c r="T10" s="37" t="s">
        <v>251</v>
      </c>
      <c r="U10" s="37" t="s">
        <v>245</v>
      </c>
      <c r="V10" s="37" t="s">
        <v>160</v>
      </c>
      <c r="W10" s="37" t="s">
        <v>155</v>
      </c>
      <c r="X10" s="36"/>
      <c r="Y10" s="37" t="s">
        <v>247</v>
      </c>
      <c r="Z10" s="37" t="s">
        <v>248</v>
      </c>
      <c r="AA10" s="36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54"/>
      <c r="B11" s="19"/>
      <c r="F11" s="23" t="s">
        <v>275</v>
      </c>
      <c r="G11" s="53" t="s">
        <v>262</v>
      </c>
      <c r="H11" s="55">
        <v>0</v>
      </c>
      <c r="I11" s="55">
        <v>0</v>
      </c>
      <c r="J11" s="55">
        <v>0</v>
      </c>
      <c r="K11" s="55">
        <v>0</v>
      </c>
      <c r="L11" s="55">
        <v>58484</v>
      </c>
      <c r="M11" s="55">
        <v>6000</v>
      </c>
      <c r="N11" s="55">
        <v>0</v>
      </c>
      <c r="O11" s="55">
        <v>0</v>
      </c>
      <c r="P11" s="55">
        <v>64484</v>
      </c>
      <c r="Q11" s="55">
        <v>0</v>
      </c>
      <c r="R11" s="55">
        <v>0</v>
      </c>
      <c r="S11" s="55">
        <v>0</v>
      </c>
      <c r="T11" s="55">
        <v>0</v>
      </c>
      <c r="U11" s="55">
        <v>0</v>
      </c>
      <c r="V11" s="55">
        <v>0</v>
      </c>
      <c r="W11" s="55">
        <v>0</v>
      </c>
      <c r="X11" s="55">
        <v>0</v>
      </c>
      <c r="Y11" s="55">
        <v>0</v>
      </c>
      <c r="Z11" s="55">
        <v>0</v>
      </c>
      <c r="AA11" s="56">
        <v>0</v>
      </c>
    </row>
    <row r="12" spans="1:66" hidden="1" x14ac:dyDescent="0.25">
      <c r="F12" s="21"/>
      <c r="G12" s="45" t="s">
        <v>276</v>
      </c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9"/>
    </row>
    <row r="13" spans="1:66" s="20" customFormat="1" ht="14.25" x14ac:dyDescent="0.2">
      <c r="A13" s="18"/>
      <c r="B13" s="19"/>
      <c r="F13" s="23">
        <v>1</v>
      </c>
      <c r="G13" s="47" t="s">
        <v>276</v>
      </c>
      <c r="H13" s="40">
        <v>0</v>
      </c>
      <c r="I13" s="40">
        <v>0</v>
      </c>
      <c r="J13" s="40">
        <v>0</v>
      </c>
      <c r="K13" s="40">
        <v>0</v>
      </c>
      <c r="L13" s="40">
        <v>40002</v>
      </c>
      <c r="M13" s="40">
        <v>0</v>
      </c>
      <c r="N13" s="40">
        <v>0</v>
      </c>
      <c r="O13" s="40">
        <v>0</v>
      </c>
      <c r="P13" s="40">
        <v>40002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0">
        <v>0</v>
      </c>
      <c r="Y13" s="40">
        <v>0</v>
      </c>
      <c r="Z13" s="40">
        <v>0</v>
      </c>
      <c r="AA13" s="41">
        <v>0</v>
      </c>
    </row>
    <row r="14" spans="1:66" x14ac:dyDescent="0.25">
      <c r="F14" s="21"/>
      <c r="G14" s="48" t="s">
        <v>55</v>
      </c>
      <c r="H14" s="38">
        <v>0</v>
      </c>
      <c r="I14" s="38">
        <v>0</v>
      </c>
      <c r="J14" s="38">
        <v>0</v>
      </c>
      <c r="K14" s="38">
        <v>0</v>
      </c>
      <c r="L14" s="38">
        <v>20002</v>
      </c>
      <c r="M14" s="38">
        <v>0</v>
      </c>
      <c r="N14" s="38">
        <v>0</v>
      </c>
      <c r="O14" s="38">
        <v>0</v>
      </c>
      <c r="P14" s="38">
        <v>20002</v>
      </c>
      <c r="Q14" s="38">
        <v>0</v>
      </c>
      <c r="R14" s="38">
        <v>0</v>
      </c>
      <c r="S14" s="38">
        <v>0</v>
      </c>
      <c r="T14" s="38">
        <v>0</v>
      </c>
      <c r="U14" s="38">
        <v>0</v>
      </c>
      <c r="V14" s="38">
        <v>0</v>
      </c>
      <c r="W14" s="38">
        <v>0</v>
      </c>
      <c r="X14" s="38">
        <v>0</v>
      </c>
      <c r="Y14" s="38">
        <v>0</v>
      </c>
      <c r="Z14" s="38">
        <v>0</v>
      </c>
      <c r="AA14" s="39">
        <v>0</v>
      </c>
    </row>
    <row r="15" spans="1:66" x14ac:dyDescent="0.25">
      <c r="F15" s="21"/>
      <c r="G15" s="49" t="s">
        <v>45</v>
      </c>
      <c r="H15" s="38">
        <v>0</v>
      </c>
      <c r="I15" s="38">
        <v>0</v>
      </c>
      <c r="J15" s="38">
        <v>0</v>
      </c>
      <c r="K15" s="38">
        <v>0</v>
      </c>
      <c r="L15" s="38">
        <v>20000</v>
      </c>
      <c r="M15" s="38">
        <v>0</v>
      </c>
      <c r="N15" s="38">
        <v>0</v>
      </c>
      <c r="O15" s="38">
        <v>0</v>
      </c>
      <c r="P15" s="38">
        <v>20000</v>
      </c>
      <c r="Q15" s="38">
        <v>0</v>
      </c>
      <c r="R15" s="38">
        <v>0</v>
      </c>
      <c r="S15" s="38">
        <v>0</v>
      </c>
      <c r="T15" s="38">
        <v>0</v>
      </c>
      <c r="U15" s="38">
        <v>0</v>
      </c>
      <c r="V15" s="38">
        <v>0</v>
      </c>
      <c r="W15" s="38">
        <v>0</v>
      </c>
      <c r="X15" s="38">
        <v>0</v>
      </c>
      <c r="Y15" s="38">
        <v>0</v>
      </c>
      <c r="Z15" s="38">
        <v>0</v>
      </c>
      <c r="AA15" s="39">
        <v>0</v>
      </c>
    </row>
    <row r="16" spans="1:66" hidden="1" x14ac:dyDescent="0.25">
      <c r="F16" s="21"/>
      <c r="G16" s="45" t="s">
        <v>277</v>
      </c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9"/>
    </row>
    <row r="17" spans="1:27" s="20" customFormat="1" ht="14.25" x14ac:dyDescent="0.2">
      <c r="A17" s="18"/>
      <c r="B17" s="19"/>
      <c r="F17" s="23">
        <v>2</v>
      </c>
      <c r="G17" s="47" t="s">
        <v>277</v>
      </c>
      <c r="H17" s="40">
        <v>0</v>
      </c>
      <c r="I17" s="40">
        <v>0</v>
      </c>
      <c r="J17" s="40">
        <v>0</v>
      </c>
      <c r="K17" s="40">
        <v>0</v>
      </c>
      <c r="L17" s="40">
        <v>16482</v>
      </c>
      <c r="M17" s="40">
        <v>0</v>
      </c>
      <c r="N17" s="40">
        <v>0</v>
      </c>
      <c r="O17" s="40">
        <v>0</v>
      </c>
      <c r="P17" s="40">
        <v>16482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0">
        <v>0</v>
      </c>
      <c r="Y17" s="40">
        <v>0</v>
      </c>
      <c r="Z17" s="40">
        <v>0</v>
      </c>
      <c r="AA17" s="41">
        <v>0</v>
      </c>
    </row>
    <row r="18" spans="1:27" x14ac:dyDescent="0.25">
      <c r="F18" s="21"/>
      <c r="G18" s="50" t="s">
        <v>103</v>
      </c>
      <c r="H18" s="38">
        <v>0</v>
      </c>
      <c r="I18" s="38">
        <v>0</v>
      </c>
      <c r="J18" s="38">
        <v>0</v>
      </c>
      <c r="K18" s="38">
        <v>0</v>
      </c>
      <c r="L18" s="38">
        <v>16482</v>
      </c>
      <c r="M18" s="38">
        <v>0</v>
      </c>
      <c r="N18" s="38">
        <v>0</v>
      </c>
      <c r="O18" s="38">
        <v>0</v>
      </c>
      <c r="P18" s="38">
        <v>16482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9">
        <v>0</v>
      </c>
    </row>
    <row r="19" spans="1:27" hidden="1" x14ac:dyDescent="0.25">
      <c r="F19" s="21"/>
      <c r="G19" s="45" t="s">
        <v>278</v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9"/>
    </row>
    <row r="20" spans="1:27" s="20" customFormat="1" ht="14.25" x14ac:dyDescent="0.2">
      <c r="A20" s="18"/>
      <c r="B20" s="19"/>
      <c r="F20" s="23"/>
      <c r="G20" s="47" t="s">
        <v>278</v>
      </c>
      <c r="H20" s="40">
        <v>0</v>
      </c>
      <c r="I20" s="40">
        <v>0</v>
      </c>
      <c r="J20" s="40">
        <v>0</v>
      </c>
      <c r="K20" s="40">
        <v>0</v>
      </c>
      <c r="L20" s="40">
        <v>2000</v>
      </c>
      <c r="M20" s="40">
        <v>6000</v>
      </c>
      <c r="N20" s="40">
        <v>0</v>
      </c>
      <c r="O20" s="40">
        <v>0</v>
      </c>
      <c r="P20" s="40">
        <v>8000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0">
        <v>0</v>
      </c>
      <c r="Y20" s="40">
        <v>0</v>
      </c>
      <c r="Z20" s="40">
        <v>0</v>
      </c>
      <c r="AA20" s="41">
        <v>0</v>
      </c>
    </row>
    <row r="21" spans="1:27" x14ac:dyDescent="0.25">
      <c r="F21" s="21"/>
      <c r="G21" s="48" t="s">
        <v>116</v>
      </c>
      <c r="H21" s="38">
        <v>0</v>
      </c>
      <c r="I21" s="38">
        <v>0</v>
      </c>
      <c r="J21" s="38">
        <v>0</v>
      </c>
      <c r="K21" s="38">
        <v>0</v>
      </c>
      <c r="L21" s="38">
        <v>2000</v>
      </c>
      <c r="M21" s="38">
        <v>6000</v>
      </c>
      <c r="N21" s="38">
        <v>0</v>
      </c>
      <c r="O21" s="38">
        <v>0</v>
      </c>
      <c r="P21" s="38">
        <v>8000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9">
        <v>0</v>
      </c>
    </row>
    <row r="22" spans="1:27" x14ac:dyDescent="0.25">
      <c r="F22" s="21"/>
      <c r="G22" s="49" t="s">
        <v>113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9">
        <v>0</v>
      </c>
    </row>
    <row r="23" spans="1:27" hidden="1" x14ac:dyDescent="0.25">
      <c r="F23" s="21"/>
      <c r="G23" s="45" t="s">
        <v>279</v>
      </c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9"/>
    </row>
    <row r="24" spans="1:27" s="20" customFormat="1" ht="14.25" x14ac:dyDescent="0.2">
      <c r="A24" s="18"/>
      <c r="B24" s="19"/>
      <c r="F24" s="23">
        <v>3</v>
      </c>
      <c r="G24" s="47" t="s">
        <v>279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0">
        <v>0</v>
      </c>
      <c r="Y24" s="40">
        <v>0</v>
      </c>
      <c r="Z24" s="40">
        <v>0</v>
      </c>
      <c r="AA24" s="41">
        <v>0</v>
      </c>
    </row>
    <row r="25" spans="1:27" x14ac:dyDescent="0.25">
      <c r="F25" s="21"/>
      <c r="G25" s="48" t="s">
        <v>106</v>
      </c>
      <c r="H25" s="38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v>0</v>
      </c>
      <c r="S25" s="38">
        <v>0</v>
      </c>
      <c r="T25" s="38">
        <v>0</v>
      </c>
      <c r="U25" s="38">
        <v>0</v>
      </c>
      <c r="V25" s="38">
        <v>0</v>
      </c>
      <c r="W25" s="38">
        <v>0</v>
      </c>
      <c r="X25" s="38">
        <v>0</v>
      </c>
      <c r="Y25" s="38">
        <v>0</v>
      </c>
      <c r="Z25" s="38">
        <v>0</v>
      </c>
      <c r="AA25" s="39">
        <v>0</v>
      </c>
    </row>
    <row r="26" spans="1:27" x14ac:dyDescent="0.25">
      <c r="F26" s="21"/>
      <c r="G26" s="51" t="s">
        <v>116</v>
      </c>
      <c r="H26" s="38">
        <v>0</v>
      </c>
      <c r="I26" s="38">
        <v>0</v>
      </c>
      <c r="J26" s="38">
        <v>0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9">
        <v>0</v>
      </c>
    </row>
    <row r="27" spans="1:27" x14ac:dyDescent="0.25">
      <c r="F27" s="21"/>
      <c r="G27" s="49" t="s">
        <v>113</v>
      </c>
      <c r="H27" s="38">
        <v>0</v>
      </c>
      <c r="I27" s="38">
        <v>0</v>
      </c>
      <c r="J27" s="38">
        <v>0</v>
      </c>
      <c r="K27" s="38">
        <v>0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0</v>
      </c>
      <c r="Y27" s="38">
        <v>0</v>
      </c>
      <c r="Z27" s="38">
        <v>0</v>
      </c>
      <c r="AA27" s="39">
        <v>0</v>
      </c>
    </row>
    <row r="28" spans="1:27" s="20" customFormat="1" ht="14.25" x14ac:dyDescent="0.2">
      <c r="A28" s="18"/>
      <c r="B28" s="19"/>
      <c r="F28" s="23" t="s">
        <v>281</v>
      </c>
      <c r="G28" s="44" t="s">
        <v>280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0">
        <v>0</v>
      </c>
      <c r="Y28" s="40">
        <v>0</v>
      </c>
      <c r="Z28" s="40">
        <v>0</v>
      </c>
      <c r="AA28" s="41">
        <v>0</v>
      </c>
    </row>
    <row r="29" spans="1:27" s="20" customFormat="1" ht="14.25" x14ac:dyDescent="0.2">
      <c r="A29" s="18"/>
      <c r="B29" s="19"/>
      <c r="F29" s="23" t="s">
        <v>282</v>
      </c>
      <c r="G29" s="46" t="s">
        <v>261</v>
      </c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1"/>
    </row>
    <row r="30" spans="1:27" s="20" customFormat="1" ht="14.25" x14ac:dyDescent="0.2">
      <c r="A30" s="18"/>
      <c r="B30" s="19"/>
      <c r="F30" s="23">
        <v>1</v>
      </c>
      <c r="G30" s="47" t="s">
        <v>253</v>
      </c>
      <c r="H30" s="40">
        <v>0</v>
      </c>
      <c r="I30" s="40">
        <v>0</v>
      </c>
      <c r="J30" s="40">
        <v>0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40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0">
        <v>0</v>
      </c>
      <c r="Y30" s="40">
        <v>0</v>
      </c>
      <c r="Z30" s="40">
        <v>0</v>
      </c>
      <c r="AA30" s="41">
        <v>0</v>
      </c>
    </row>
    <row r="31" spans="1:27" x14ac:dyDescent="0.25">
      <c r="F31" s="21"/>
      <c r="G31" s="48" t="s">
        <v>122</v>
      </c>
      <c r="H31" s="38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0</v>
      </c>
      <c r="T31" s="38">
        <v>0</v>
      </c>
      <c r="U31" s="38">
        <v>0</v>
      </c>
      <c r="V31" s="38">
        <v>0</v>
      </c>
      <c r="W31" s="38">
        <v>0</v>
      </c>
      <c r="X31" s="38">
        <v>0</v>
      </c>
      <c r="Y31" s="38">
        <v>0</v>
      </c>
      <c r="Z31" s="38">
        <v>0</v>
      </c>
      <c r="AA31" s="39">
        <v>0</v>
      </c>
    </row>
    <row r="32" spans="1:27" x14ac:dyDescent="0.25">
      <c r="F32" s="21"/>
      <c r="G32" s="51" t="s">
        <v>123</v>
      </c>
      <c r="H32" s="38">
        <v>0</v>
      </c>
      <c r="I32" s="38">
        <v>0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0</v>
      </c>
      <c r="Y32" s="38">
        <v>0</v>
      </c>
      <c r="Z32" s="38">
        <v>0</v>
      </c>
      <c r="AA32" s="39">
        <v>0</v>
      </c>
    </row>
    <row r="33" spans="1:27" x14ac:dyDescent="0.25">
      <c r="F33" s="21"/>
      <c r="G33" s="51" t="s">
        <v>61</v>
      </c>
      <c r="H33" s="38">
        <v>0</v>
      </c>
      <c r="I33" s="38">
        <v>0</v>
      </c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38">
        <v>0</v>
      </c>
      <c r="U33" s="38">
        <v>0</v>
      </c>
      <c r="V33" s="38">
        <v>0</v>
      </c>
      <c r="W33" s="38">
        <v>0</v>
      </c>
      <c r="X33" s="38">
        <v>0</v>
      </c>
      <c r="Y33" s="38">
        <v>0</v>
      </c>
      <c r="Z33" s="38">
        <v>0</v>
      </c>
      <c r="AA33" s="39">
        <v>0</v>
      </c>
    </row>
    <row r="34" spans="1:27" x14ac:dyDescent="0.25">
      <c r="F34" s="21"/>
      <c r="G34" s="51" t="s">
        <v>117</v>
      </c>
      <c r="H34" s="38">
        <v>0</v>
      </c>
      <c r="I34" s="38">
        <v>0</v>
      </c>
      <c r="J34" s="38">
        <v>0</v>
      </c>
      <c r="K34" s="38">
        <v>0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v>0</v>
      </c>
      <c r="S34" s="38">
        <v>0</v>
      </c>
      <c r="T34" s="38">
        <v>0</v>
      </c>
      <c r="U34" s="38">
        <v>0</v>
      </c>
      <c r="V34" s="38">
        <v>0</v>
      </c>
      <c r="W34" s="38">
        <v>0</v>
      </c>
      <c r="X34" s="38">
        <v>0</v>
      </c>
      <c r="Y34" s="38">
        <v>0</v>
      </c>
      <c r="Z34" s="38">
        <v>0</v>
      </c>
      <c r="AA34" s="39">
        <v>0</v>
      </c>
    </row>
    <row r="35" spans="1:27" x14ac:dyDescent="0.25">
      <c r="F35" s="21"/>
      <c r="G35" s="51" t="s">
        <v>120</v>
      </c>
      <c r="H35" s="38">
        <v>0</v>
      </c>
      <c r="I35" s="38">
        <v>0</v>
      </c>
      <c r="J35" s="38">
        <v>0</v>
      </c>
      <c r="K35" s="38">
        <v>0</v>
      </c>
      <c r="L35" s="38">
        <v>0</v>
      </c>
      <c r="M35" s="38">
        <v>0</v>
      </c>
      <c r="N35" s="38">
        <v>0</v>
      </c>
      <c r="O35" s="38">
        <v>0</v>
      </c>
      <c r="P35" s="38">
        <v>0</v>
      </c>
      <c r="Q35" s="38">
        <v>0</v>
      </c>
      <c r="R35" s="38">
        <v>0</v>
      </c>
      <c r="S35" s="38">
        <v>0</v>
      </c>
      <c r="T35" s="38">
        <v>0</v>
      </c>
      <c r="U35" s="38">
        <v>0</v>
      </c>
      <c r="V35" s="38">
        <v>0</v>
      </c>
      <c r="W35" s="38">
        <v>0</v>
      </c>
      <c r="X35" s="38">
        <v>0</v>
      </c>
      <c r="Y35" s="38">
        <v>0</v>
      </c>
      <c r="Z35" s="38">
        <v>0</v>
      </c>
      <c r="AA35" s="39">
        <v>0</v>
      </c>
    </row>
    <row r="36" spans="1:27" x14ac:dyDescent="0.25">
      <c r="F36" s="21"/>
      <c r="G36" s="51" t="s">
        <v>121</v>
      </c>
      <c r="H36" s="38">
        <v>0</v>
      </c>
      <c r="I36" s="38">
        <v>0</v>
      </c>
      <c r="J36" s="38">
        <v>0</v>
      </c>
      <c r="K36" s="38">
        <v>0</v>
      </c>
      <c r="L36" s="38">
        <v>0</v>
      </c>
      <c r="M36" s="38">
        <v>0</v>
      </c>
      <c r="N36" s="38">
        <v>0</v>
      </c>
      <c r="O36" s="38">
        <v>0</v>
      </c>
      <c r="P36" s="38">
        <v>0</v>
      </c>
      <c r="Q36" s="38">
        <v>0</v>
      </c>
      <c r="R36" s="38">
        <v>0</v>
      </c>
      <c r="S36" s="38">
        <v>0</v>
      </c>
      <c r="T36" s="38">
        <v>0</v>
      </c>
      <c r="U36" s="38">
        <v>0</v>
      </c>
      <c r="V36" s="38">
        <v>0</v>
      </c>
      <c r="W36" s="38">
        <v>0</v>
      </c>
      <c r="X36" s="38">
        <v>0</v>
      </c>
      <c r="Y36" s="38">
        <v>0</v>
      </c>
      <c r="Z36" s="38">
        <v>0</v>
      </c>
      <c r="AA36" s="39">
        <v>0</v>
      </c>
    </row>
    <row r="37" spans="1:27" x14ac:dyDescent="0.25">
      <c r="F37" s="21"/>
      <c r="G37" s="51" t="s">
        <v>125</v>
      </c>
      <c r="H37" s="38">
        <v>0</v>
      </c>
      <c r="I37" s="38">
        <v>0</v>
      </c>
      <c r="J37" s="38">
        <v>0</v>
      </c>
      <c r="K37" s="38">
        <v>0</v>
      </c>
      <c r="L37" s="38">
        <v>0</v>
      </c>
      <c r="M37" s="38">
        <v>0</v>
      </c>
      <c r="N37" s="38">
        <v>0</v>
      </c>
      <c r="O37" s="38">
        <v>0</v>
      </c>
      <c r="P37" s="38">
        <v>0</v>
      </c>
      <c r="Q37" s="38">
        <v>0</v>
      </c>
      <c r="R37" s="38">
        <v>0</v>
      </c>
      <c r="S37" s="38">
        <v>0</v>
      </c>
      <c r="T37" s="38">
        <v>0</v>
      </c>
      <c r="U37" s="38">
        <v>0</v>
      </c>
      <c r="V37" s="38">
        <v>0</v>
      </c>
      <c r="W37" s="38">
        <v>0</v>
      </c>
      <c r="X37" s="38">
        <v>0</v>
      </c>
      <c r="Y37" s="38">
        <v>0</v>
      </c>
      <c r="Z37" s="38">
        <v>0</v>
      </c>
      <c r="AA37" s="39">
        <v>0</v>
      </c>
    </row>
    <row r="38" spans="1:27" x14ac:dyDescent="0.25">
      <c r="F38" s="21"/>
      <c r="G38" s="51" t="s">
        <v>127</v>
      </c>
      <c r="H38" s="38">
        <v>0</v>
      </c>
      <c r="I38" s="38">
        <v>0</v>
      </c>
      <c r="J38" s="38">
        <v>0</v>
      </c>
      <c r="K38" s="38">
        <v>0</v>
      </c>
      <c r="L38" s="38">
        <v>0</v>
      </c>
      <c r="M38" s="38">
        <v>0</v>
      </c>
      <c r="N38" s="38">
        <v>0</v>
      </c>
      <c r="O38" s="38">
        <v>0</v>
      </c>
      <c r="P38" s="38">
        <v>0</v>
      </c>
      <c r="Q38" s="38">
        <v>0</v>
      </c>
      <c r="R38" s="38">
        <v>0</v>
      </c>
      <c r="S38" s="38">
        <v>0</v>
      </c>
      <c r="T38" s="38">
        <v>0</v>
      </c>
      <c r="U38" s="38">
        <v>0</v>
      </c>
      <c r="V38" s="38">
        <v>0</v>
      </c>
      <c r="W38" s="38">
        <v>0</v>
      </c>
      <c r="X38" s="38">
        <v>0</v>
      </c>
      <c r="Y38" s="38">
        <v>0</v>
      </c>
      <c r="Z38" s="38">
        <v>0</v>
      </c>
      <c r="AA38" s="39">
        <v>0</v>
      </c>
    </row>
    <row r="39" spans="1:27" x14ac:dyDescent="0.25">
      <c r="F39" s="21"/>
      <c r="G39" s="51" t="s">
        <v>126</v>
      </c>
      <c r="H39" s="38">
        <v>0</v>
      </c>
      <c r="I39" s="38">
        <v>0</v>
      </c>
      <c r="J39" s="38">
        <v>0</v>
      </c>
      <c r="K39" s="38">
        <v>0</v>
      </c>
      <c r="L39" s="38">
        <v>0</v>
      </c>
      <c r="M39" s="38">
        <v>0</v>
      </c>
      <c r="N39" s="38">
        <v>0</v>
      </c>
      <c r="O39" s="38">
        <v>0</v>
      </c>
      <c r="P39" s="38">
        <v>0</v>
      </c>
      <c r="Q39" s="38">
        <v>0</v>
      </c>
      <c r="R39" s="38">
        <v>0</v>
      </c>
      <c r="S39" s="38">
        <v>0</v>
      </c>
      <c r="T39" s="38">
        <v>0</v>
      </c>
      <c r="U39" s="38">
        <v>0</v>
      </c>
      <c r="V39" s="38">
        <v>0</v>
      </c>
      <c r="W39" s="38">
        <v>0</v>
      </c>
      <c r="X39" s="38">
        <v>0</v>
      </c>
      <c r="Y39" s="38">
        <v>0</v>
      </c>
      <c r="Z39" s="38">
        <v>0</v>
      </c>
      <c r="AA39" s="39">
        <v>0</v>
      </c>
    </row>
    <row r="40" spans="1:27" x14ac:dyDescent="0.25">
      <c r="F40" s="21"/>
      <c r="G40" s="49" t="s">
        <v>124</v>
      </c>
      <c r="H40" s="38">
        <v>0</v>
      </c>
      <c r="I40" s="38">
        <v>0</v>
      </c>
      <c r="J40" s="38">
        <v>0</v>
      </c>
      <c r="K40" s="38">
        <v>0</v>
      </c>
      <c r="L40" s="38">
        <v>0</v>
      </c>
      <c r="M40" s="38">
        <v>0</v>
      </c>
      <c r="N40" s="38">
        <v>0</v>
      </c>
      <c r="O40" s="38">
        <v>0</v>
      </c>
      <c r="P40" s="38">
        <v>0</v>
      </c>
      <c r="Q40" s="38">
        <v>0</v>
      </c>
      <c r="R40" s="38">
        <v>0</v>
      </c>
      <c r="S40" s="38">
        <v>0</v>
      </c>
      <c r="T40" s="38">
        <v>0</v>
      </c>
      <c r="U40" s="38">
        <v>0</v>
      </c>
      <c r="V40" s="38">
        <v>0</v>
      </c>
      <c r="W40" s="38">
        <v>0</v>
      </c>
      <c r="X40" s="38">
        <v>0</v>
      </c>
      <c r="Y40" s="38">
        <v>0</v>
      </c>
      <c r="Z40" s="38">
        <v>0</v>
      </c>
      <c r="AA40" s="39">
        <v>0</v>
      </c>
    </row>
    <row r="41" spans="1:27" s="20" customFormat="1" ht="14.25" x14ac:dyDescent="0.2">
      <c r="A41" s="18"/>
      <c r="B41" s="19"/>
      <c r="F41" s="23">
        <v>2</v>
      </c>
      <c r="G41" s="47" t="s">
        <v>252</v>
      </c>
      <c r="H41" s="40">
        <v>0</v>
      </c>
      <c r="I41" s="40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40">
        <v>0</v>
      </c>
      <c r="P41" s="40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0">
        <v>0</v>
      </c>
      <c r="Y41" s="40">
        <v>0</v>
      </c>
      <c r="Z41" s="40">
        <v>0</v>
      </c>
      <c r="AA41" s="41">
        <v>0</v>
      </c>
    </row>
    <row r="42" spans="1:27" x14ac:dyDescent="0.25">
      <c r="F42" s="21"/>
      <c r="G42" s="48" t="s">
        <v>136</v>
      </c>
      <c r="H42" s="38">
        <v>0</v>
      </c>
      <c r="I42" s="38">
        <v>0</v>
      </c>
      <c r="J42" s="38">
        <v>0</v>
      </c>
      <c r="K42" s="38">
        <v>0</v>
      </c>
      <c r="L42" s="38">
        <v>0</v>
      </c>
      <c r="M42" s="38">
        <v>0</v>
      </c>
      <c r="N42" s="38">
        <v>0</v>
      </c>
      <c r="O42" s="38">
        <v>0</v>
      </c>
      <c r="P42" s="38">
        <v>0</v>
      </c>
      <c r="Q42" s="38">
        <v>0</v>
      </c>
      <c r="R42" s="38">
        <v>0</v>
      </c>
      <c r="S42" s="38">
        <v>0</v>
      </c>
      <c r="T42" s="38">
        <v>0</v>
      </c>
      <c r="U42" s="38">
        <v>0</v>
      </c>
      <c r="V42" s="38">
        <v>0</v>
      </c>
      <c r="W42" s="38">
        <v>0</v>
      </c>
      <c r="X42" s="38">
        <v>0</v>
      </c>
      <c r="Y42" s="38">
        <v>0</v>
      </c>
      <c r="Z42" s="38">
        <v>0</v>
      </c>
      <c r="AA42" s="39">
        <v>0</v>
      </c>
    </row>
    <row r="43" spans="1:27" x14ac:dyDescent="0.25">
      <c r="F43" s="21"/>
      <c r="G43" s="49" t="s">
        <v>134</v>
      </c>
      <c r="H43" s="38">
        <v>0</v>
      </c>
      <c r="I43" s="38">
        <v>0</v>
      </c>
      <c r="J43" s="38">
        <v>0</v>
      </c>
      <c r="K43" s="38">
        <v>0</v>
      </c>
      <c r="L43" s="38">
        <v>0</v>
      </c>
      <c r="M43" s="38">
        <v>0</v>
      </c>
      <c r="N43" s="38">
        <v>0</v>
      </c>
      <c r="O43" s="38">
        <v>0</v>
      </c>
      <c r="P43" s="38">
        <v>0</v>
      </c>
      <c r="Q43" s="38">
        <v>0</v>
      </c>
      <c r="R43" s="38">
        <v>0</v>
      </c>
      <c r="S43" s="38">
        <v>0</v>
      </c>
      <c r="T43" s="38">
        <v>0</v>
      </c>
      <c r="U43" s="38">
        <v>0</v>
      </c>
      <c r="V43" s="38">
        <v>0</v>
      </c>
      <c r="W43" s="38">
        <v>0</v>
      </c>
      <c r="X43" s="38">
        <v>0</v>
      </c>
      <c r="Y43" s="38">
        <v>0</v>
      </c>
      <c r="Z43" s="38">
        <v>0</v>
      </c>
      <c r="AA43" s="39">
        <v>0</v>
      </c>
    </row>
    <row r="44" spans="1:27" s="20" customFormat="1" ht="14.25" x14ac:dyDescent="0.2">
      <c r="A44" s="18"/>
      <c r="B44" s="19"/>
      <c r="F44" s="23">
        <v>3</v>
      </c>
      <c r="G44" s="47" t="s">
        <v>257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0">
        <v>0</v>
      </c>
      <c r="Y44" s="40">
        <v>0</v>
      </c>
      <c r="Z44" s="40">
        <v>0</v>
      </c>
      <c r="AA44" s="41">
        <v>0</v>
      </c>
    </row>
    <row r="45" spans="1:27" x14ac:dyDescent="0.25">
      <c r="F45" s="21"/>
      <c r="G45" s="48" t="s">
        <v>128</v>
      </c>
      <c r="H45" s="38">
        <v>0</v>
      </c>
      <c r="I45" s="38">
        <v>0</v>
      </c>
      <c r="J45" s="38">
        <v>0</v>
      </c>
      <c r="K45" s="38">
        <v>0</v>
      </c>
      <c r="L45" s="38">
        <v>0</v>
      </c>
      <c r="M45" s="38">
        <v>0</v>
      </c>
      <c r="N45" s="38">
        <v>0</v>
      </c>
      <c r="O45" s="38">
        <v>0</v>
      </c>
      <c r="P45" s="38">
        <v>0</v>
      </c>
      <c r="Q45" s="38">
        <v>0</v>
      </c>
      <c r="R45" s="38">
        <v>0</v>
      </c>
      <c r="S45" s="38">
        <v>0</v>
      </c>
      <c r="T45" s="38">
        <v>0</v>
      </c>
      <c r="U45" s="38">
        <v>0</v>
      </c>
      <c r="V45" s="38">
        <v>0</v>
      </c>
      <c r="W45" s="38">
        <v>0</v>
      </c>
      <c r="X45" s="38">
        <v>0</v>
      </c>
      <c r="Y45" s="38">
        <v>0</v>
      </c>
      <c r="Z45" s="38">
        <v>0</v>
      </c>
      <c r="AA45" s="39">
        <v>0</v>
      </c>
    </row>
    <row r="46" spans="1:27" x14ac:dyDescent="0.25">
      <c r="F46" s="21"/>
      <c r="G46" s="51" t="s">
        <v>132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0</v>
      </c>
      <c r="N46" s="38">
        <v>0</v>
      </c>
      <c r="O46" s="38">
        <v>0</v>
      </c>
      <c r="P46" s="38">
        <v>0</v>
      </c>
      <c r="Q46" s="38">
        <v>0</v>
      </c>
      <c r="R46" s="38">
        <v>0</v>
      </c>
      <c r="S46" s="38">
        <v>0</v>
      </c>
      <c r="T46" s="38">
        <v>0</v>
      </c>
      <c r="U46" s="38">
        <v>0</v>
      </c>
      <c r="V46" s="38">
        <v>0</v>
      </c>
      <c r="W46" s="38">
        <v>0</v>
      </c>
      <c r="X46" s="38">
        <v>0</v>
      </c>
      <c r="Y46" s="38">
        <v>0</v>
      </c>
      <c r="Z46" s="38">
        <v>0</v>
      </c>
      <c r="AA46" s="39">
        <v>0</v>
      </c>
    </row>
    <row r="47" spans="1:27" x14ac:dyDescent="0.25">
      <c r="F47" s="21"/>
      <c r="G47" s="51" t="s">
        <v>130</v>
      </c>
      <c r="H47" s="38">
        <v>0</v>
      </c>
      <c r="I47" s="38">
        <v>0</v>
      </c>
      <c r="J47" s="38">
        <v>0</v>
      </c>
      <c r="K47" s="38">
        <v>0</v>
      </c>
      <c r="L47" s="38">
        <v>0</v>
      </c>
      <c r="M47" s="38">
        <v>0</v>
      </c>
      <c r="N47" s="38">
        <v>0</v>
      </c>
      <c r="O47" s="38">
        <v>0</v>
      </c>
      <c r="P47" s="38">
        <v>0</v>
      </c>
      <c r="Q47" s="38">
        <v>0</v>
      </c>
      <c r="R47" s="38">
        <v>0</v>
      </c>
      <c r="S47" s="38">
        <v>0</v>
      </c>
      <c r="T47" s="38">
        <v>0</v>
      </c>
      <c r="U47" s="38">
        <v>0</v>
      </c>
      <c r="V47" s="38">
        <v>0</v>
      </c>
      <c r="W47" s="38">
        <v>0</v>
      </c>
      <c r="X47" s="38">
        <v>0</v>
      </c>
      <c r="Y47" s="38">
        <v>0</v>
      </c>
      <c r="Z47" s="38">
        <v>0</v>
      </c>
      <c r="AA47" s="39">
        <v>0</v>
      </c>
    </row>
    <row r="48" spans="1:27" x14ac:dyDescent="0.25">
      <c r="F48" s="21"/>
      <c r="G48" s="51" t="s">
        <v>131</v>
      </c>
      <c r="H48" s="3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0</v>
      </c>
      <c r="N48" s="38">
        <v>0</v>
      </c>
      <c r="O48" s="38">
        <v>0</v>
      </c>
      <c r="P48" s="38">
        <v>0</v>
      </c>
      <c r="Q48" s="38">
        <v>0</v>
      </c>
      <c r="R48" s="38">
        <v>0</v>
      </c>
      <c r="S48" s="38">
        <v>0</v>
      </c>
      <c r="T48" s="38">
        <v>0</v>
      </c>
      <c r="U48" s="38">
        <v>0</v>
      </c>
      <c r="V48" s="38">
        <v>0</v>
      </c>
      <c r="W48" s="38">
        <v>0</v>
      </c>
      <c r="X48" s="38">
        <v>0</v>
      </c>
      <c r="Y48" s="38">
        <v>0</v>
      </c>
      <c r="Z48" s="38">
        <v>0</v>
      </c>
      <c r="AA48" s="39">
        <v>0</v>
      </c>
    </row>
    <row r="49" spans="1:27" x14ac:dyDescent="0.25">
      <c r="F49" s="21"/>
      <c r="G49" s="49" t="s">
        <v>133</v>
      </c>
      <c r="H49" s="38">
        <v>0</v>
      </c>
      <c r="I49" s="38">
        <v>0</v>
      </c>
      <c r="J49" s="38">
        <v>0</v>
      </c>
      <c r="K49" s="38">
        <v>0</v>
      </c>
      <c r="L49" s="38">
        <v>0</v>
      </c>
      <c r="M49" s="38">
        <v>0</v>
      </c>
      <c r="N49" s="38">
        <v>0</v>
      </c>
      <c r="O49" s="38">
        <v>0</v>
      </c>
      <c r="P49" s="38">
        <v>0</v>
      </c>
      <c r="Q49" s="38">
        <v>0</v>
      </c>
      <c r="R49" s="38">
        <v>0</v>
      </c>
      <c r="S49" s="38">
        <v>0</v>
      </c>
      <c r="T49" s="38">
        <v>0</v>
      </c>
      <c r="U49" s="38">
        <v>0</v>
      </c>
      <c r="V49" s="38">
        <v>0</v>
      </c>
      <c r="W49" s="38">
        <v>0</v>
      </c>
      <c r="X49" s="38">
        <v>0</v>
      </c>
      <c r="Y49" s="38">
        <v>0</v>
      </c>
      <c r="Z49" s="38">
        <v>0</v>
      </c>
      <c r="AA49" s="39">
        <v>0</v>
      </c>
    </row>
    <row r="50" spans="1:27" s="20" customFormat="1" ht="14.25" x14ac:dyDescent="0.2">
      <c r="A50" s="18"/>
      <c r="B50" s="19"/>
      <c r="F50" s="23">
        <v>4</v>
      </c>
      <c r="G50" s="47" t="s">
        <v>254</v>
      </c>
      <c r="H50" s="40">
        <v>0</v>
      </c>
      <c r="I50" s="40">
        <v>0</v>
      </c>
      <c r="J50" s="40">
        <v>0</v>
      </c>
      <c r="K50" s="40">
        <v>0</v>
      </c>
      <c r="L50" s="40">
        <v>0</v>
      </c>
      <c r="M50" s="40">
        <v>0</v>
      </c>
      <c r="N50" s="40">
        <v>0</v>
      </c>
      <c r="O50" s="40">
        <v>0</v>
      </c>
      <c r="P50" s="40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0">
        <v>0</v>
      </c>
      <c r="Y50" s="40">
        <v>0</v>
      </c>
      <c r="Z50" s="40">
        <v>0</v>
      </c>
      <c r="AA50" s="41">
        <v>0</v>
      </c>
    </row>
    <row r="51" spans="1:27" x14ac:dyDescent="0.25">
      <c r="F51" s="21"/>
      <c r="G51" s="48" t="s">
        <v>140</v>
      </c>
      <c r="H51" s="38">
        <v>0</v>
      </c>
      <c r="I51" s="38">
        <v>0</v>
      </c>
      <c r="J51" s="38">
        <v>0</v>
      </c>
      <c r="K51" s="38">
        <v>0</v>
      </c>
      <c r="L51" s="38">
        <v>0</v>
      </c>
      <c r="M51" s="38">
        <v>0</v>
      </c>
      <c r="N51" s="38">
        <v>0</v>
      </c>
      <c r="O51" s="38">
        <v>0</v>
      </c>
      <c r="P51" s="38">
        <v>0</v>
      </c>
      <c r="Q51" s="38">
        <v>0</v>
      </c>
      <c r="R51" s="38">
        <v>0</v>
      </c>
      <c r="S51" s="38">
        <v>0</v>
      </c>
      <c r="T51" s="38">
        <v>0</v>
      </c>
      <c r="U51" s="38">
        <v>0</v>
      </c>
      <c r="V51" s="38">
        <v>0</v>
      </c>
      <c r="W51" s="38">
        <v>0</v>
      </c>
      <c r="X51" s="38">
        <v>0</v>
      </c>
      <c r="Y51" s="38">
        <v>0</v>
      </c>
      <c r="Z51" s="38">
        <v>0</v>
      </c>
      <c r="AA51" s="39">
        <v>0</v>
      </c>
    </row>
    <row r="52" spans="1:27" x14ac:dyDescent="0.25">
      <c r="F52" s="21"/>
      <c r="G52" s="51" t="s">
        <v>137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9">
        <v>0</v>
      </c>
    </row>
    <row r="53" spans="1:27" x14ac:dyDescent="0.25">
      <c r="F53" s="21"/>
      <c r="G53" s="51" t="s">
        <v>141</v>
      </c>
      <c r="H53" s="38">
        <v>0</v>
      </c>
      <c r="I53" s="38">
        <v>0</v>
      </c>
      <c r="J53" s="38">
        <v>0</v>
      </c>
      <c r="K53" s="38">
        <v>0</v>
      </c>
      <c r="L53" s="38">
        <v>0</v>
      </c>
      <c r="M53" s="38">
        <v>0</v>
      </c>
      <c r="N53" s="38">
        <v>0</v>
      </c>
      <c r="O53" s="38">
        <v>0</v>
      </c>
      <c r="P53" s="38">
        <v>0</v>
      </c>
      <c r="Q53" s="38">
        <v>0</v>
      </c>
      <c r="R53" s="38">
        <v>0</v>
      </c>
      <c r="S53" s="38">
        <v>0</v>
      </c>
      <c r="T53" s="38">
        <v>0</v>
      </c>
      <c r="U53" s="38">
        <v>0</v>
      </c>
      <c r="V53" s="38">
        <v>0</v>
      </c>
      <c r="W53" s="38">
        <v>0</v>
      </c>
      <c r="X53" s="38">
        <v>0</v>
      </c>
      <c r="Y53" s="38">
        <v>0</v>
      </c>
      <c r="Z53" s="38">
        <v>0</v>
      </c>
      <c r="AA53" s="39">
        <v>0</v>
      </c>
    </row>
    <row r="54" spans="1:27" x14ac:dyDescent="0.25">
      <c r="F54" s="21"/>
      <c r="G54" s="51" t="s">
        <v>142</v>
      </c>
      <c r="H54" s="38">
        <v>0</v>
      </c>
      <c r="I54" s="38">
        <v>0</v>
      </c>
      <c r="J54" s="38">
        <v>0</v>
      </c>
      <c r="K54" s="38">
        <v>0</v>
      </c>
      <c r="L54" s="38">
        <v>0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v>0</v>
      </c>
      <c r="S54" s="38">
        <v>0</v>
      </c>
      <c r="T54" s="38">
        <v>0</v>
      </c>
      <c r="U54" s="38">
        <v>0</v>
      </c>
      <c r="V54" s="38">
        <v>0</v>
      </c>
      <c r="W54" s="38">
        <v>0</v>
      </c>
      <c r="X54" s="38">
        <v>0</v>
      </c>
      <c r="Y54" s="38">
        <v>0</v>
      </c>
      <c r="Z54" s="38">
        <v>0</v>
      </c>
      <c r="AA54" s="39">
        <v>0</v>
      </c>
    </row>
    <row r="55" spans="1:27" x14ac:dyDescent="0.25">
      <c r="F55" s="21"/>
      <c r="G55" s="51" t="s">
        <v>139</v>
      </c>
      <c r="H55" s="38">
        <v>0</v>
      </c>
      <c r="I55" s="38">
        <v>0</v>
      </c>
      <c r="J55" s="38">
        <v>0</v>
      </c>
      <c r="K55" s="38">
        <v>0</v>
      </c>
      <c r="L55" s="38">
        <v>0</v>
      </c>
      <c r="M55" s="38">
        <v>0</v>
      </c>
      <c r="N55" s="38">
        <v>0</v>
      </c>
      <c r="O55" s="38">
        <v>0</v>
      </c>
      <c r="P55" s="38">
        <v>0</v>
      </c>
      <c r="Q55" s="38">
        <v>0</v>
      </c>
      <c r="R55" s="38">
        <v>0</v>
      </c>
      <c r="S55" s="38">
        <v>0</v>
      </c>
      <c r="T55" s="38">
        <v>0</v>
      </c>
      <c r="U55" s="38">
        <v>0</v>
      </c>
      <c r="V55" s="38">
        <v>0</v>
      </c>
      <c r="W55" s="38">
        <v>0</v>
      </c>
      <c r="X55" s="38">
        <v>0</v>
      </c>
      <c r="Y55" s="38">
        <v>0</v>
      </c>
      <c r="Z55" s="38">
        <v>0</v>
      </c>
      <c r="AA55" s="39">
        <v>0</v>
      </c>
    </row>
    <row r="56" spans="1:27" x14ac:dyDescent="0.25">
      <c r="F56" s="21"/>
      <c r="G56" s="49" t="s">
        <v>143</v>
      </c>
      <c r="H56" s="38">
        <v>0</v>
      </c>
      <c r="I56" s="38">
        <v>0</v>
      </c>
      <c r="J56" s="38">
        <v>0</v>
      </c>
      <c r="K56" s="38">
        <v>0</v>
      </c>
      <c r="L56" s="38">
        <v>0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38">
        <v>0</v>
      </c>
      <c r="S56" s="38">
        <v>0</v>
      </c>
      <c r="T56" s="38">
        <v>0</v>
      </c>
      <c r="U56" s="38">
        <v>0</v>
      </c>
      <c r="V56" s="38">
        <v>0</v>
      </c>
      <c r="W56" s="38">
        <v>0</v>
      </c>
      <c r="X56" s="38">
        <v>0</v>
      </c>
      <c r="Y56" s="38">
        <v>0</v>
      </c>
      <c r="Z56" s="38">
        <v>0</v>
      </c>
      <c r="AA56" s="39">
        <v>0</v>
      </c>
    </row>
    <row r="57" spans="1:27" s="20" customFormat="1" ht="14.25" x14ac:dyDescent="0.2">
      <c r="A57" s="18"/>
      <c r="B57" s="19"/>
      <c r="F57" s="23" t="s">
        <v>283</v>
      </c>
      <c r="G57" s="46" t="s">
        <v>260</v>
      </c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1"/>
    </row>
    <row r="58" spans="1:27" s="20" customFormat="1" ht="14.25" x14ac:dyDescent="0.2">
      <c r="A58" s="18"/>
      <c r="B58" s="19"/>
      <c r="F58" s="23">
        <v>1</v>
      </c>
      <c r="G58" s="47" t="s">
        <v>256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0">
        <v>0</v>
      </c>
      <c r="Y58" s="40">
        <v>0</v>
      </c>
      <c r="Z58" s="40">
        <v>0</v>
      </c>
      <c r="AA58" s="41">
        <v>0</v>
      </c>
    </row>
    <row r="59" spans="1:27" x14ac:dyDescent="0.25">
      <c r="F59" s="21"/>
      <c r="G59" s="48" t="s">
        <v>77</v>
      </c>
      <c r="H59" s="38">
        <v>0</v>
      </c>
      <c r="I59" s="38">
        <v>0</v>
      </c>
      <c r="J59" s="38">
        <v>0</v>
      </c>
      <c r="K59" s="38">
        <v>0</v>
      </c>
      <c r="L59" s="38">
        <v>0</v>
      </c>
      <c r="M59" s="38">
        <v>0</v>
      </c>
      <c r="N59" s="38">
        <v>0</v>
      </c>
      <c r="O59" s="38">
        <v>0</v>
      </c>
      <c r="P59" s="38">
        <v>0</v>
      </c>
      <c r="Q59" s="38">
        <v>0</v>
      </c>
      <c r="R59" s="38">
        <v>0</v>
      </c>
      <c r="S59" s="38">
        <v>0</v>
      </c>
      <c r="T59" s="38">
        <v>0</v>
      </c>
      <c r="U59" s="38">
        <v>0</v>
      </c>
      <c r="V59" s="38">
        <v>0</v>
      </c>
      <c r="W59" s="38">
        <v>0</v>
      </c>
      <c r="X59" s="38">
        <v>0</v>
      </c>
      <c r="Y59" s="38">
        <v>0</v>
      </c>
      <c r="Z59" s="38">
        <v>0</v>
      </c>
      <c r="AA59" s="39">
        <v>0</v>
      </c>
    </row>
    <row r="60" spans="1:27" x14ac:dyDescent="0.25">
      <c r="F60" s="21"/>
      <c r="G60" s="51" t="s">
        <v>78</v>
      </c>
      <c r="H60" s="38">
        <v>0</v>
      </c>
      <c r="I60" s="38">
        <v>0</v>
      </c>
      <c r="J60" s="38">
        <v>0</v>
      </c>
      <c r="K60" s="38">
        <v>0</v>
      </c>
      <c r="L60" s="38">
        <v>0</v>
      </c>
      <c r="M60" s="38">
        <v>0</v>
      </c>
      <c r="N60" s="38">
        <v>0</v>
      </c>
      <c r="O60" s="38">
        <v>0</v>
      </c>
      <c r="P60" s="38">
        <v>0</v>
      </c>
      <c r="Q60" s="38">
        <v>0</v>
      </c>
      <c r="R60" s="38">
        <v>0</v>
      </c>
      <c r="S60" s="38">
        <v>0</v>
      </c>
      <c r="T60" s="38">
        <v>0</v>
      </c>
      <c r="U60" s="38">
        <v>0</v>
      </c>
      <c r="V60" s="38">
        <v>0</v>
      </c>
      <c r="W60" s="38">
        <v>0</v>
      </c>
      <c r="X60" s="38">
        <v>0</v>
      </c>
      <c r="Y60" s="38">
        <v>0</v>
      </c>
      <c r="Z60" s="38">
        <v>0</v>
      </c>
      <c r="AA60" s="39">
        <v>0</v>
      </c>
    </row>
    <row r="61" spans="1:27" x14ac:dyDescent="0.25">
      <c r="F61" s="21"/>
      <c r="G61" s="51" t="s">
        <v>62</v>
      </c>
      <c r="H61" s="38">
        <v>0</v>
      </c>
      <c r="I61" s="38">
        <v>0</v>
      </c>
      <c r="J61" s="38">
        <v>0</v>
      </c>
      <c r="K61" s="38">
        <v>0</v>
      </c>
      <c r="L61" s="38">
        <v>0</v>
      </c>
      <c r="M61" s="38">
        <v>0</v>
      </c>
      <c r="N61" s="38">
        <v>0</v>
      </c>
      <c r="O61" s="38">
        <v>0</v>
      </c>
      <c r="P61" s="38">
        <v>0</v>
      </c>
      <c r="Q61" s="38">
        <v>0</v>
      </c>
      <c r="R61" s="38">
        <v>0</v>
      </c>
      <c r="S61" s="38">
        <v>0</v>
      </c>
      <c r="T61" s="38">
        <v>0</v>
      </c>
      <c r="U61" s="38">
        <v>0</v>
      </c>
      <c r="V61" s="38">
        <v>0</v>
      </c>
      <c r="W61" s="38">
        <v>0</v>
      </c>
      <c r="X61" s="38">
        <v>0</v>
      </c>
      <c r="Y61" s="38">
        <v>0</v>
      </c>
      <c r="Z61" s="38">
        <v>0</v>
      </c>
      <c r="AA61" s="39">
        <v>0</v>
      </c>
    </row>
    <row r="62" spans="1:27" x14ac:dyDescent="0.25">
      <c r="F62" s="21"/>
      <c r="G62" s="51" t="s">
        <v>73</v>
      </c>
      <c r="H62" s="38">
        <v>0</v>
      </c>
      <c r="I62" s="38">
        <v>0</v>
      </c>
      <c r="J62" s="38">
        <v>0</v>
      </c>
      <c r="K62" s="38">
        <v>0</v>
      </c>
      <c r="L62" s="38">
        <v>0</v>
      </c>
      <c r="M62" s="38">
        <v>0</v>
      </c>
      <c r="N62" s="38">
        <v>0</v>
      </c>
      <c r="O62" s="38">
        <v>0</v>
      </c>
      <c r="P62" s="38">
        <v>0</v>
      </c>
      <c r="Q62" s="38">
        <v>0</v>
      </c>
      <c r="R62" s="38">
        <v>0</v>
      </c>
      <c r="S62" s="38">
        <v>0</v>
      </c>
      <c r="T62" s="38">
        <v>0</v>
      </c>
      <c r="U62" s="38">
        <v>0</v>
      </c>
      <c r="V62" s="38">
        <v>0</v>
      </c>
      <c r="W62" s="38">
        <v>0</v>
      </c>
      <c r="X62" s="38">
        <v>0</v>
      </c>
      <c r="Y62" s="38">
        <v>0</v>
      </c>
      <c r="Z62" s="38">
        <v>0</v>
      </c>
      <c r="AA62" s="39">
        <v>0</v>
      </c>
    </row>
    <row r="63" spans="1:27" x14ac:dyDescent="0.25">
      <c r="F63" s="21"/>
      <c r="G63" s="49" t="s">
        <v>79</v>
      </c>
      <c r="H63" s="38">
        <v>0</v>
      </c>
      <c r="I63" s="38">
        <v>0</v>
      </c>
      <c r="J63" s="38">
        <v>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v>0</v>
      </c>
      <c r="S63" s="38">
        <v>0</v>
      </c>
      <c r="T63" s="38">
        <v>0</v>
      </c>
      <c r="U63" s="38">
        <v>0</v>
      </c>
      <c r="V63" s="38">
        <v>0</v>
      </c>
      <c r="W63" s="38">
        <v>0</v>
      </c>
      <c r="X63" s="38">
        <v>0</v>
      </c>
      <c r="Y63" s="38">
        <v>0</v>
      </c>
      <c r="Z63" s="38">
        <v>0</v>
      </c>
      <c r="AA63" s="39">
        <v>0</v>
      </c>
    </row>
    <row r="64" spans="1:27" s="20" customFormat="1" ht="14.25" x14ac:dyDescent="0.2">
      <c r="A64" s="18"/>
      <c r="B64" s="19"/>
      <c r="F64" s="23">
        <v>2</v>
      </c>
      <c r="G64" s="47" t="s">
        <v>252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  <c r="N64" s="40">
        <v>0</v>
      </c>
      <c r="O64" s="40">
        <v>0</v>
      </c>
      <c r="P64" s="40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0">
        <v>0</v>
      </c>
      <c r="Y64" s="40">
        <v>0</v>
      </c>
      <c r="Z64" s="40">
        <v>0</v>
      </c>
      <c r="AA64" s="41">
        <v>0</v>
      </c>
    </row>
    <row r="65" spans="1:27" x14ac:dyDescent="0.25">
      <c r="F65" s="21"/>
      <c r="G65" s="48" t="s">
        <v>84</v>
      </c>
      <c r="H65" s="38">
        <v>0</v>
      </c>
      <c r="I65" s="38">
        <v>0</v>
      </c>
      <c r="J65" s="38">
        <v>0</v>
      </c>
      <c r="K65" s="38">
        <v>0</v>
      </c>
      <c r="L65" s="38">
        <v>0</v>
      </c>
      <c r="M65" s="38">
        <v>0</v>
      </c>
      <c r="N65" s="38">
        <v>0</v>
      </c>
      <c r="O65" s="38">
        <v>0</v>
      </c>
      <c r="P65" s="38">
        <v>0</v>
      </c>
      <c r="Q65" s="38">
        <v>0</v>
      </c>
      <c r="R65" s="38">
        <v>0</v>
      </c>
      <c r="S65" s="38">
        <v>0</v>
      </c>
      <c r="T65" s="38">
        <v>0</v>
      </c>
      <c r="U65" s="38">
        <v>0</v>
      </c>
      <c r="V65" s="38">
        <v>0</v>
      </c>
      <c r="W65" s="38">
        <v>0</v>
      </c>
      <c r="X65" s="38">
        <v>0</v>
      </c>
      <c r="Y65" s="38">
        <v>0</v>
      </c>
      <c r="Z65" s="38">
        <v>0</v>
      </c>
      <c r="AA65" s="39">
        <v>0</v>
      </c>
    </row>
    <row r="66" spans="1:27" x14ac:dyDescent="0.25">
      <c r="F66" s="21"/>
      <c r="G66" s="51" t="s">
        <v>87</v>
      </c>
      <c r="H66" s="38">
        <v>0</v>
      </c>
      <c r="I66" s="38">
        <v>0</v>
      </c>
      <c r="J66" s="38">
        <v>0</v>
      </c>
      <c r="K66" s="38">
        <v>0</v>
      </c>
      <c r="L66" s="38">
        <v>0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38">
        <v>0</v>
      </c>
      <c r="S66" s="38">
        <v>0</v>
      </c>
      <c r="T66" s="38">
        <v>0</v>
      </c>
      <c r="U66" s="38">
        <v>0</v>
      </c>
      <c r="V66" s="38">
        <v>0</v>
      </c>
      <c r="W66" s="38">
        <v>0</v>
      </c>
      <c r="X66" s="38">
        <v>0</v>
      </c>
      <c r="Y66" s="38">
        <v>0</v>
      </c>
      <c r="Z66" s="38">
        <v>0</v>
      </c>
      <c r="AA66" s="39">
        <v>0</v>
      </c>
    </row>
    <row r="67" spans="1:27" x14ac:dyDescent="0.25">
      <c r="F67" s="21"/>
      <c r="G67" s="51" t="s">
        <v>90</v>
      </c>
      <c r="H67" s="38">
        <v>0</v>
      </c>
      <c r="I67" s="38">
        <v>0</v>
      </c>
      <c r="J67" s="38">
        <v>0</v>
      </c>
      <c r="K67" s="38">
        <v>0</v>
      </c>
      <c r="L67" s="38">
        <v>0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38">
        <v>0</v>
      </c>
      <c r="S67" s="38">
        <v>0</v>
      </c>
      <c r="T67" s="38">
        <v>0</v>
      </c>
      <c r="U67" s="38">
        <v>0</v>
      </c>
      <c r="V67" s="38">
        <v>0</v>
      </c>
      <c r="W67" s="38">
        <v>0</v>
      </c>
      <c r="X67" s="38">
        <v>0</v>
      </c>
      <c r="Y67" s="38">
        <v>0</v>
      </c>
      <c r="Z67" s="38">
        <v>0</v>
      </c>
      <c r="AA67" s="39">
        <v>0</v>
      </c>
    </row>
    <row r="68" spans="1:27" x14ac:dyDescent="0.25">
      <c r="F68" s="21"/>
      <c r="G68" s="51" t="s">
        <v>88</v>
      </c>
      <c r="H68" s="38">
        <v>0</v>
      </c>
      <c r="I68" s="38">
        <v>0</v>
      </c>
      <c r="J68" s="38">
        <v>0</v>
      </c>
      <c r="K68" s="38">
        <v>0</v>
      </c>
      <c r="L68" s="38">
        <v>0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38">
        <v>0</v>
      </c>
      <c r="S68" s="38">
        <v>0</v>
      </c>
      <c r="T68" s="38">
        <v>0</v>
      </c>
      <c r="U68" s="38">
        <v>0</v>
      </c>
      <c r="V68" s="38">
        <v>0</v>
      </c>
      <c r="W68" s="38">
        <v>0</v>
      </c>
      <c r="X68" s="38">
        <v>0</v>
      </c>
      <c r="Y68" s="38">
        <v>0</v>
      </c>
      <c r="Z68" s="38">
        <v>0</v>
      </c>
      <c r="AA68" s="39">
        <v>0</v>
      </c>
    </row>
    <row r="69" spans="1:27" x14ac:dyDescent="0.25">
      <c r="F69" s="21"/>
      <c r="G69" s="51" t="s">
        <v>89</v>
      </c>
      <c r="H69" s="38">
        <v>0</v>
      </c>
      <c r="I69" s="38">
        <v>0</v>
      </c>
      <c r="J69" s="38">
        <v>0</v>
      </c>
      <c r="K69" s="38">
        <v>0</v>
      </c>
      <c r="L69" s="38">
        <v>0</v>
      </c>
      <c r="M69" s="38">
        <v>0</v>
      </c>
      <c r="N69" s="38">
        <v>0</v>
      </c>
      <c r="O69" s="38">
        <v>0</v>
      </c>
      <c r="P69" s="38">
        <v>0</v>
      </c>
      <c r="Q69" s="38">
        <v>0</v>
      </c>
      <c r="R69" s="38">
        <v>0</v>
      </c>
      <c r="S69" s="38">
        <v>0</v>
      </c>
      <c r="T69" s="38">
        <v>0</v>
      </c>
      <c r="U69" s="38">
        <v>0</v>
      </c>
      <c r="V69" s="38">
        <v>0</v>
      </c>
      <c r="W69" s="38">
        <v>0</v>
      </c>
      <c r="X69" s="38">
        <v>0</v>
      </c>
      <c r="Y69" s="38">
        <v>0</v>
      </c>
      <c r="Z69" s="38">
        <v>0</v>
      </c>
      <c r="AA69" s="39">
        <v>0</v>
      </c>
    </row>
    <row r="70" spans="1:27" x14ac:dyDescent="0.25">
      <c r="F70" s="21"/>
      <c r="G70" s="51" t="s">
        <v>91</v>
      </c>
      <c r="H70" s="38">
        <v>0</v>
      </c>
      <c r="I70" s="38">
        <v>0</v>
      </c>
      <c r="J70" s="38">
        <v>0</v>
      </c>
      <c r="K70" s="38">
        <v>0</v>
      </c>
      <c r="L70" s="38">
        <v>0</v>
      </c>
      <c r="M70" s="38">
        <v>0</v>
      </c>
      <c r="N70" s="38">
        <v>0</v>
      </c>
      <c r="O70" s="38">
        <v>0</v>
      </c>
      <c r="P70" s="38">
        <v>0</v>
      </c>
      <c r="Q70" s="38">
        <v>0</v>
      </c>
      <c r="R70" s="38">
        <v>0</v>
      </c>
      <c r="S70" s="38">
        <v>0</v>
      </c>
      <c r="T70" s="38">
        <v>0</v>
      </c>
      <c r="U70" s="38">
        <v>0</v>
      </c>
      <c r="V70" s="38">
        <v>0</v>
      </c>
      <c r="W70" s="38">
        <v>0</v>
      </c>
      <c r="X70" s="38">
        <v>0</v>
      </c>
      <c r="Y70" s="38">
        <v>0</v>
      </c>
      <c r="Z70" s="38">
        <v>0</v>
      </c>
      <c r="AA70" s="39">
        <v>0</v>
      </c>
    </row>
    <row r="71" spans="1:27" x14ac:dyDescent="0.25">
      <c r="F71" s="21"/>
      <c r="G71" s="51" t="s">
        <v>85</v>
      </c>
      <c r="H71" s="38">
        <v>0</v>
      </c>
      <c r="I71" s="38">
        <v>0</v>
      </c>
      <c r="J71" s="38">
        <v>0</v>
      </c>
      <c r="K71" s="38">
        <v>0</v>
      </c>
      <c r="L71" s="38">
        <v>0</v>
      </c>
      <c r="M71" s="38">
        <v>0</v>
      </c>
      <c r="N71" s="38">
        <v>0</v>
      </c>
      <c r="O71" s="38">
        <v>0</v>
      </c>
      <c r="P71" s="38">
        <v>0</v>
      </c>
      <c r="Q71" s="38">
        <v>0</v>
      </c>
      <c r="R71" s="38">
        <v>0</v>
      </c>
      <c r="S71" s="38">
        <v>0</v>
      </c>
      <c r="T71" s="38">
        <v>0</v>
      </c>
      <c r="U71" s="38">
        <v>0</v>
      </c>
      <c r="V71" s="38">
        <v>0</v>
      </c>
      <c r="W71" s="38">
        <v>0</v>
      </c>
      <c r="X71" s="38">
        <v>0</v>
      </c>
      <c r="Y71" s="38">
        <v>0</v>
      </c>
      <c r="Z71" s="38">
        <v>0</v>
      </c>
      <c r="AA71" s="39">
        <v>0</v>
      </c>
    </row>
    <row r="72" spans="1:27" x14ac:dyDescent="0.25">
      <c r="F72" s="21"/>
      <c r="G72" s="51" t="s">
        <v>86</v>
      </c>
      <c r="H72" s="38">
        <v>0</v>
      </c>
      <c r="I72" s="38">
        <v>0</v>
      </c>
      <c r="J72" s="38">
        <v>0</v>
      </c>
      <c r="K72" s="38">
        <v>0</v>
      </c>
      <c r="L72" s="38">
        <v>0</v>
      </c>
      <c r="M72" s="38">
        <v>0</v>
      </c>
      <c r="N72" s="38">
        <v>0</v>
      </c>
      <c r="O72" s="38">
        <v>0</v>
      </c>
      <c r="P72" s="38">
        <v>0</v>
      </c>
      <c r="Q72" s="38">
        <v>0</v>
      </c>
      <c r="R72" s="38">
        <v>0</v>
      </c>
      <c r="S72" s="38">
        <v>0</v>
      </c>
      <c r="T72" s="38">
        <v>0</v>
      </c>
      <c r="U72" s="38">
        <v>0</v>
      </c>
      <c r="V72" s="38">
        <v>0</v>
      </c>
      <c r="W72" s="38">
        <v>0</v>
      </c>
      <c r="X72" s="38">
        <v>0</v>
      </c>
      <c r="Y72" s="38">
        <v>0</v>
      </c>
      <c r="Z72" s="38">
        <v>0</v>
      </c>
      <c r="AA72" s="39">
        <v>0</v>
      </c>
    </row>
    <row r="73" spans="1:27" x14ac:dyDescent="0.25">
      <c r="F73" s="21"/>
      <c r="G73" s="49" t="s">
        <v>82</v>
      </c>
      <c r="H73" s="38">
        <v>0</v>
      </c>
      <c r="I73" s="38">
        <v>0</v>
      </c>
      <c r="J73" s="38">
        <v>0</v>
      </c>
      <c r="K73" s="38">
        <v>0</v>
      </c>
      <c r="L73" s="38">
        <v>0</v>
      </c>
      <c r="M73" s="38">
        <v>0</v>
      </c>
      <c r="N73" s="38">
        <v>0</v>
      </c>
      <c r="O73" s="38">
        <v>0</v>
      </c>
      <c r="P73" s="38">
        <v>0</v>
      </c>
      <c r="Q73" s="38">
        <v>0</v>
      </c>
      <c r="R73" s="38">
        <v>0</v>
      </c>
      <c r="S73" s="38">
        <v>0</v>
      </c>
      <c r="T73" s="38">
        <v>0</v>
      </c>
      <c r="U73" s="38">
        <v>0</v>
      </c>
      <c r="V73" s="38">
        <v>0</v>
      </c>
      <c r="W73" s="38">
        <v>0</v>
      </c>
      <c r="X73" s="38">
        <v>0</v>
      </c>
      <c r="Y73" s="38">
        <v>0</v>
      </c>
      <c r="Z73" s="38">
        <v>0</v>
      </c>
      <c r="AA73" s="39">
        <v>0</v>
      </c>
    </row>
    <row r="74" spans="1:27" s="20" customFormat="1" ht="14.25" x14ac:dyDescent="0.2">
      <c r="A74" s="18"/>
      <c r="B74" s="19"/>
      <c r="F74" s="23">
        <v>3</v>
      </c>
      <c r="G74" s="47" t="s">
        <v>255</v>
      </c>
      <c r="H74" s="40">
        <v>0</v>
      </c>
      <c r="I74" s="40">
        <v>0</v>
      </c>
      <c r="J74" s="40">
        <v>0</v>
      </c>
      <c r="K74" s="40">
        <v>0</v>
      </c>
      <c r="L74" s="40">
        <v>0</v>
      </c>
      <c r="M74" s="40">
        <v>0</v>
      </c>
      <c r="N74" s="40">
        <v>0</v>
      </c>
      <c r="O74" s="40">
        <v>0</v>
      </c>
      <c r="P74" s="40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0">
        <v>0</v>
      </c>
      <c r="Y74" s="40">
        <v>0</v>
      </c>
      <c r="Z74" s="40">
        <v>0</v>
      </c>
      <c r="AA74" s="41">
        <v>0</v>
      </c>
    </row>
    <row r="75" spans="1:27" x14ac:dyDescent="0.25">
      <c r="F75" s="21"/>
      <c r="G75" s="50" t="s">
        <v>80</v>
      </c>
      <c r="H75" s="38">
        <v>0</v>
      </c>
      <c r="I75" s="38">
        <v>0</v>
      </c>
      <c r="J75" s="38">
        <v>0</v>
      </c>
      <c r="K75" s="38">
        <v>0</v>
      </c>
      <c r="L75" s="38">
        <v>0</v>
      </c>
      <c r="M75" s="38">
        <v>0</v>
      </c>
      <c r="N75" s="38">
        <v>0</v>
      </c>
      <c r="O75" s="38">
        <v>0</v>
      </c>
      <c r="P75" s="38">
        <v>0</v>
      </c>
      <c r="Q75" s="38">
        <v>0</v>
      </c>
      <c r="R75" s="38">
        <v>0</v>
      </c>
      <c r="S75" s="38">
        <v>0</v>
      </c>
      <c r="T75" s="38">
        <v>0</v>
      </c>
      <c r="U75" s="38">
        <v>0</v>
      </c>
      <c r="V75" s="38">
        <v>0</v>
      </c>
      <c r="W75" s="38">
        <v>0</v>
      </c>
      <c r="X75" s="38">
        <v>0</v>
      </c>
      <c r="Y75" s="38">
        <v>0</v>
      </c>
      <c r="Z75" s="38">
        <v>0</v>
      </c>
      <c r="AA75" s="39">
        <v>0</v>
      </c>
    </row>
    <row r="76" spans="1:27" s="20" customFormat="1" ht="14.25" x14ac:dyDescent="0.2">
      <c r="A76" s="18"/>
      <c r="B76" s="19"/>
      <c r="F76" s="23">
        <v>4</v>
      </c>
      <c r="G76" s="47" t="s">
        <v>259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0">
        <v>0</v>
      </c>
      <c r="Y76" s="40">
        <v>0</v>
      </c>
      <c r="Z76" s="40">
        <v>0</v>
      </c>
      <c r="AA76" s="41">
        <v>0</v>
      </c>
    </row>
    <row r="77" spans="1:27" x14ac:dyDescent="0.25">
      <c r="F77" s="21"/>
      <c r="G77" s="50" t="s">
        <v>97</v>
      </c>
      <c r="H77" s="38">
        <v>0</v>
      </c>
      <c r="I77" s="38">
        <v>0</v>
      </c>
      <c r="J77" s="38">
        <v>0</v>
      </c>
      <c r="K77" s="38">
        <v>0</v>
      </c>
      <c r="L77" s="38">
        <v>0</v>
      </c>
      <c r="M77" s="38">
        <v>0</v>
      </c>
      <c r="N77" s="38">
        <v>0</v>
      </c>
      <c r="O77" s="38">
        <v>0</v>
      </c>
      <c r="P77" s="38">
        <v>0</v>
      </c>
      <c r="Q77" s="38">
        <v>0</v>
      </c>
      <c r="R77" s="38">
        <v>0</v>
      </c>
      <c r="S77" s="38">
        <v>0</v>
      </c>
      <c r="T77" s="38">
        <v>0</v>
      </c>
      <c r="U77" s="38">
        <v>0</v>
      </c>
      <c r="V77" s="38">
        <v>0</v>
      </c>
      <c r="W77" s="38">
        <v>0</v>
      </c>
      <c r="X77" s="38">
        <v>0</v>
      </c>
      <c r="Y77" s="38">
        <v>0</v>
      </c>
      <c r="Z77" s="38">
        <v>0</v>
      </c>
      <c r="AA77" s="39">
        <v>0</v>
      </c>
    </row>
    <row r="78" spans="1:27" s="20" customFormat="1" ht="14.25" x14ac:dyDescent="0.2">
      <c r="A78" s="18"/>
      <c r="B78" s="19"/>
      <c r="F78" s="23">
        <v>5</v>
      </c>
      <c r="G78" s="47" t="s">
        <v>258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  <c r="N78" s="40">
        <v>0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0</v>
      </c>
      <c r="Z78" s="40">
        <v>0</v>
      </c>
      <c r="AA78" s="41">
        <v>0</v>
      </c>
    </row>
    <row r="79" spans="1:27" x14ac:dyDescent="0.25">
      <c r="F79" s="21"/>
      <c r="G79" s="48" t="s">
        <v>92</v>
      </c>
      <c r="H79" s="38">
        <v>0</v>
      </c>
      <c r="I79" s="38">
        <v>0</v>
      </c>
      <c r="J79" s="38">
        <v>0</v>
      </c>
      <c r="K79" s="38">
        <v>0</v>
      </c>
      <c r="L79" s="38">
        <v>0</v>
      </c>
      <c r="M79" s="38">
        <v>0</v>
      </c>
      <c r="N79" s="38">
        <v>0</v>
      </c>
      <c r="O79" s="38">
        <v>0</v>
      </c>
      <c r="P79" s="38">
        <v>0</v>
      </c>
      <c r="Q79" s="38">
        <v>0</v>
      </c>
      <c r="R79" s="38">
        <v>0</v>
      </c>
      <c r="S79" s="38">
        <v>0</v>
      </c>
      <c r="T79" s="38">
        <v>0</v>
      </c>
      <c r="U79" s="38">
        <v>0</v>
      </c>
      <c r="V79" s="38">
        <v>0</v>
      </c>
      <c r="W79" s="38">
        <v>0</v>
      </c>
      <c r="X79" s="38">
        <v>0</v>
      </c>
      <c r="Y79" s="38">
        <v>0</v>
      </c>
      <c r="Z79" s="38">
        <v>0</v>
      </c>
      <c r="AA79" s="39">
        <v>0</v>
      </c>
    </row>
    <row r="80" spans="1:27" x14ac:dyDescent="0.25">
      <c r="F80" s="21"/>
      <c r="G80" s="51" t="s">
        <v>94</v>
      </c>
      <c r="H80" s="38">
        <v>0</v>
      </c>
      <c r="I80" s="38">
        <v>0</v>
      </c>
      <c r="J80" s="38">
        <v>0</v>
      </c>
      <c r="K80" s="38">
        <v>0</v>
      </c>
      <c r="L80" s="38">
        <v>0</v>
      </c>
      <c r="M80" s="38">
        <v>0</v>
      </c>
      <c r="N80" s="38">
        <v>0</v>
      </c>
      <c r="O80" s="38">
        <v>0</v>
      </c>
      <c r="P80" s="38">
        <v>0</v>
      </c>
      <c r="Q80" s="38">
        <v>0</v>
      </c>
      <c r="R80" s="38">
        <v>0</v>
      </c>
      <c r="S80" s="38">
        <v>0</v>
      </c>
      <c r="T80" s="38">
        <v>0</v>
      </c>
      <c r="U80" s="38">
        <v>0</v>
      </c>
      <c r="V80" s="38">
        <v>0</v>
      </c>
      <c r="W80" s="38">
        <v>0</v>
      </c>
      <c r="X80" s="38">
        <v>0</v>
      </c>
      <c r="Y80" s="38">
        <v>0</v>
      </c>
      <c r="Z80" s="38">
        <v>0</v>
      </c>
      <c r="AA80" s="39">
        <v>0</v>
      </c>
    </row>
    <row r="81" spans="6:27" x14ac:dyDescent="0.25">
      <c r="F81" s="21"/>
      <c r="G81" s="51" t="s">
        <v>95</v>
      </c>
      <c r="H81" s="38">
        <v>0</v>
      </c>
      <c r="I81" s="38">
        <v>0</v>
      </c>
      <c r="J81" s="38">
        <v>0</v>
      </c>
      <c r="K81" s="38">
        <v>0</v>
      </c>
      <c r="L81" s="38">
        <v>0</v>
      </c>
      <c r="M81" s="38">
        <v>0</v>
      </c>
      <c r="N81" s="38">
        <v>0</v>
      </c>
      <c r="O81" s="38">
        <v>0</v>
      </c>
      <c r="P81" s="38">
        <v>0</v>
      </c>
      <c r="Q81" s="38">
        <v>0</v>
      </c>
      <c r="R81" s="38">
        <v>0</v>
      </c>
      <c r="S81" s="38">
        <v>0</v>
      </c>
      <c r="T81" s="38">
        <v>0</v>
      </c>
      <c r="U81" s="38">
        <v>0</v>
      </c>
      <c r="V81" s="38">
        <v>0</v>
      </c>
      <c r="W81" s="38">
        <v>0</v>
      </c>
      <c r="X81" s="38">
        <v>0</v>
      </c>
      <c r="Y81" s="38">
        <v>0</v>
      </c>
      <c r="Z81" s="38">
        <v>0</v>
      </c>
      <c r="AA81" s="39">
        <v>0</v>
      </c>
    </row>
    <row r="82" spans="6:27" x14ac:dyDescent="0.25">
      <c r="F82" s="21"/>
      <c r="G82" s="49" t="s">
        <v>96</v>
      </c>
      <c r="H82" s="42">
        <v>0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3">
        <v>0</v>
      </c>
    </row>
  </sheetData>
  <mergeCells count="33">
    <mergeCell ref="AA8:AA10"/>
    <mergeCell ref="Q9:R9"/>
    <mergeCell ref="H8:I8"/>
    <mergeCell ref="J8:J10"/>
    <mergeCell ref="K8:O8"/>
    <mergeCell ref="H4:H5"/>
    <mergeCell ref="I4:I5"/>
    <mergeCell ref="F3:F5"/>
    <mergeCell ref="G3:G5"/>
    <mergeCell ref="Q3:W3"/>
    <mergeCell ref="S4:S5"/>
    <mergeCell ref="T4:T5"/>
    <mergeCell ref="N4:N5"/>
    <mergeCell ref="O4:O5"/>
    <mergeCell ref="H3:I3"/>
    <mergeCell ref="J3:J5"/>
    <mergeCell ref="K3:O3"/>
    <mergeCell ref="P3:P5"/>
    <mergeCell ref="Q4:R4"/>
    <mergeCell ref="U4:U5"/>
    <mergeCell ref="V4:V5"/>
    <mergeCell ref="L4:L5"/>
    <mergeCell ref="M4:M5"/>
    <mergeCell ref="X3:X5"/>
    <mergeCell ref="Y3:Z3"/>
    <mergeCell ref="AA3:AA5"/>
    <mergeCell ref="Y4:Y5"/>
    <mergeCell ref="Z4:Z5"/>
    <mergeCell ref="W4:W5"/>
    <mergeCell ref="P8:P10"/>
    <mergeCell ref="Q8:W8"/>
    <mergeCell ref="X8:X10"/>
    <mergeCell ref="Y8:Z8"/>
  </mergeCells>
  <pageMargins left="0.25" right="0.25" top="0.75" bottom="0.75" header="0.3" footer="0.3"/>
  <pageSetup paperSize="9" scale="45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21"/>
  <sheetViews>
    <sheetView workbookViewId="0">
      <selection activeCell="G11" sqref="G11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85546875" customWidth="1"/>
    <col min="7" max="7" width="13.5703125" customWidth="1"/>
    <col min="10" max="10" width="14.7109375" customWidth="1"/>
    <col min="11" max="11" width="12.5703125" customWidth="1"/>
    <col min="13" max="13" width="13.5703125" customWidth="1"/>
    <col min="18" max="18" width="22.42578125" customWidth="1"/>
    <col min="19" max="19" width="14.42578125" customWidth="1"/>
  </cols>
  <sheetData>
    <row r="1" spans="1:22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10" t="str">
        <f>IF(Sheet1!Q8="",$F$7, IF(ISNUMBER(SEARCH("Sum", Sheet1!Q8)), "Tổng", Sheet1!Q8))</f>
        <v>Xuất</v>
      </c>
      <c r="K1" s="10" t="str">
        <f>IF(Sheet1!R8="",$F$7, IF(ISNUMBER(SEARCH("Sum", Sheet1!R8)), "Tổng", Sheet1!R8))</f>
        <v>Xuất</v>
      </c>
      <c r="L1" s="10" t="str">
        <f>IF(Sheet1!S8="",$F$7, IF(ISNUMBER(SEARCH("Sum", Sheet1!S8)), "Tổng", Sheet1!S8))</f>
        <v>Xuất</v>
      </c>
      <c r="M1" s="10" t="str">
        <f>IF(Sheet1!T8="",$F$7, IF(ISNUMBER(SEARCH("Sum", Sheet1!T8)), "Tổng", Sheet1!T8))</f>
        <v>Xuất</v>
      </c>
      <c r="N1" s="10" t="str">
        <f>IF(Sheet1!U8="",$F$7, IF(ISNUMBER(SEARCH("Sum", Sheet1!U8)), "Tổng", Sheet1!U8))</f>
        <v>Xuất</v>
      </c>
      <c r="O1" s="10" t="str">
        <f>IF(Sheet1!V8="",$F$7, IF(ISNUMBER(SEARCH("Sum", Sheet1!V8)), "Tổng", Sheet1!V8))</f>
        <v>Xuất</v>
      </c>
      <c r="P1" s="10" t="str">
        <f>IF(Sheet1!W8="",$F$7, IF(ISNUMBER(SEARCH("Sum", Sheet1!W8)), "Tổng", Sheet1!W8))</f>
        <v>Xuất</v>
      </c>
      <c r="Q1" s="10" t="str">
        <f>IF(Sheet1!X8="",$F$7, IF(ISNUMBER(SEARCH("Sum", Sheet1!X8)), "Tổng", Sheet1!X8))</f>
        <v>Tổng</v>
      </c>
      <c r="R1" s="10" t="str">
        <f>IF(Sheet1!Y8="",$F$7, IF(ISNUMBER(SEARCH("Sum", Sheet1!Y8)), "Tổng", Sheet1!Y8))</f>
        <v>Tồn cuối kỳ</v>
      </c>
      <c r="S1" s="10" t="str">
        <f>IF(Sheet1!Z8="",$F$7, IF(ISNUMBER(SEARCH("Sum", Sheet1!Z8)), "Tổng", Sheet1!Z8))</f>
        <v>Tồn cuối kỳ</v>
      </c>
      <c r="T1" s="10" t="str">
        <f>IF(Sheet1!AA8="",$F$7, IF(ISNUMBER(SEARCH("Sum", Sheet1!AA8)), "Tổng", Sheet1!AA8))</f>
        <v>Tổng</v>
      </c>
      <c r="U1" s="10"/>
      <c r="V1" s="10"/>
    </row>
    <row r="2" spans="1:22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25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25">
        <f>IF(Sheet1!P9="",$F$7, IF(ISNUMBER(SEARCH("Sum", Sheet1!P9)), "Tổng", Sheet1!P9))</f>
        <v>0</v>
      </c>
      <c r="J2" s="10" t="str">
        <f>IF(Sheet1!Q9="",$F$7, IF(ISNUMBER(SEARCH("Sum", Sheet1!Q9)), "Tổng", Sheet1!Q9))</f>
        <v>Xuất khác</v>
      </c>
      <c r="K2" s="10"/>
      <c r="L2" s="10" t="str">
        <f>IF(Sheet1!S9="",$F$7, IF(ISNUMBER(SEARCH("Sum", Sheet1!S9)), "Tổng", Sheet1!S9))</f>
        <v>Khác</v>
      </c>
      <c r="M2" s="10" t="str">
        <f>IF(Sheet1!T9="",$F$7, IF(ISNUMBER(SEARCH("Sum", Sheet1!T9)), "Tổng", Sheet1!T9))</f>
        <v>TT Xe máy</v>
      </c>
      <c r="N2" s="10" t="str">
        <f>IF(Sheet1!U9="",$F$7, IF(ISNUMBER(SEARCH("Sum", Sheet1!U9)), "Tổng", Sheet1!U9))</f>
        <v>BQ</v>
      </c>
      <c r="O2" s="10" t="str">
        <f>IF(Sheet1!V9="",$F$7, IF(ISNUMBER(SEARCH("Sum", Sheet1!V9)), "Tổng", Sheet1!V9))</f>
        <v>Hao hụt</v>
      </c>
      <c r="P2" s="10" t="str">
        <f>IF(Sheet1!W9="",$F$7, IF(ISNUMBER(SEARCH("Sum", Sheet1!W9)), "Tổng", Sheet1!W9))</f>
        <v>Tổn thất</v>
      </c>
      <c r="Q2" s="25">
        <f>IF(Sheet1!X9="",$F$7, IF(ISNUMBER(SEARCH("Sum", Sheet1!X9)), "Tổng", Sheet1!X9))</f>
        <v>0</v>
      </c>
      <c r="R2" s="10" t="str">
        <f>IF(Sheet1!Y9="",$F$7, IF(ISNUMBER(SEARCH("Sum", Sheet1!Y9)), "Tổng", Sheet1!Y9))</f>
        <v>DT cho NV đột xuất</v>
      </c>
      <c r="S2" s="10" t="str">
        <f>IF(Sheet1!Z9="",$F$7, IF(ISNUMBER(SEARCH("Sum", Sheet1!Z9)), "Tổng", Sheet1!Z9))</f>
        <v>DT SSCD</v>
      </c>
      <c r="T2" s="25">
        <f>IF(Sheet1!AA9="",$F$7, IF(ISNUMBER(SEARCH("Sum", Sheet1!AA9)), "Tổng", Sheet1!AA9))</f>
        <v>0</v>
      </c>
      <c r="U2" s="9"/>
    </row>
    <row r="3" spans="1:22" x14ac:dyDescent="0.25">
      <c r="A3" s="25"/>
      <c r="B3" s="26"/>
      <c r="C3" s="25"/>
      <c r="D3" s="10" t="str">
        <f>IF(Sheet1!K10="",$F$7, IF(ISNUMBER(SEARCH("Sum", Sheet1!K10)), "Tổng", Sheet1!K10))</f>
        <v>Trong QC</v>
      </c>
      <c r="E3" s="25"/>
      <c r="F3" s="25"/>
      <c r="G3" s="25"/>
      <c r="H3" s="25"/>
      <c r="I3" s="25"/>
      <c r="J3" s="10" t="str">
        <f>IF(Sheet1!Q10="",$F$7, IF(ISNUMBER(SEARCH("Sum", Sheet1!Q10)), "Tổng", Sheet1!Q10))</f>
        <v>Ngoài QC</v>
      </c>
      <c r="K3" s="10" t="str">
        <f>IF(Sheet1!R10="",$F$7, IF(ISNUMBER(SEARCH("Sum", Sheet1!R10)), "Tổng", Sheet1!R10))</f>
        <v>Trong QC</v>
      </c>
      <c r="L3" s="25"/>
      <c r="M3" s="25"/>
      <c r="N3" s="25"/>
      <c r="O3" s="25"/>
      <c r="P3" s="25"/>
      <c r="Q3" s="25"/>
      <c r="R3" s="25"/>
      <c r="S3" s="25"/>
      <c r="T3" s="25"/>
      <c r="U3" s="9"/>
    </row>
    <row r="4" spans="1:22" x14ac:dyDescent="0.25">
      <c r="A4" s="25"/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</row>
    <row r="5" spans="1:22" x14ac:dyDescent="0.25">
      <c r="A5" s="25"/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2" x14ac:dyDescent="0.25">
      <c r="A6" s="25"/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</row>
    <row r="7" spans="1:22" x14ac:dyDescent="0.25">
      <c r="A7" s="25"/>
      <c r="B7" s="26"/>
      <c r="C7" s="9">
        <f>ROW()</f>
        <v>7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</row>
    <row r="8" spans="1:22" x14ac:dyDescent="0.25">
      <c r="A8" s="25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 t="str">
        <f>IF(Sheet1!O8="",$F$7, IF(ISNUMBER(SEARCH("Sum", Sheet1!O8)), "Tổng", Sheet1!O8))</f>
        <v>Nhập</v>
      </c>
      <c r="K8" s="9" t="str">
        <f>IF(Sheet1!P8="",$F$7, IF(ISNUMBER(SEARCH("Sum", Sheet1!P8)), "Tổng", Sheet1!P8))</f>
        <v>Tổng</v>
      </c>
      <c r="L8" s="9" t="str">
        <f>IF(Sheet1!Q8="",$F$7, IF(ISNUMBER(SEARCH("Sum", Sheet1!Q8)), "Tổng", Sheet1!Q8))</f>
        <v>Xuất</v>
      </c>
      <c r="M8" s="9" t="str">
        <f>IF(Sheet1!R8="",$F$7, IF(ISNUMBER(SEARCH("Sum", Sheet1!R8)), "Tổng", Sheet1!R8))</f>
        <v>Xuất</v>
      </c>
      <c r="N8" s="9" t="str">
        <f>IF(Sheet1!S8="",$F$7, IF(ISNUMBER(SEARCH("Sum", Sheet1!S8)), "Tổng", Sheet1!S8))</f>
        <v>Xuất</v>
      </c>
      <c r="O8" s="9" t="str">
        <f>IF(Sheet1!T8="",$F$7, IF(ISNUMBER(SEARCH("Sum", Sheet1!T8)), "Tổng", Sheet1!T8))</f>
        <v>Xuất</v>
      </c>
      <c r="P8" s="9" t="str">
        <f>IF(Sheet1!U8="",$F$7, IF(ISNUMBER(SEARCH("Sum", Sheet1!U8)), "Tổng", Sheet1!U8))</f>
        <v>Xuất</v>
      </c>
      <c r="Q8" s="9" t="str">
        <f>IF(Sheet1!V8="",$F$7, IF(ISNUMBER(SEARCH("Sum", Sheet1!V8)), "Tổng", Sheet1!V8))</f>
        <v>Xuất</v>
      </c>
      <c r="R8" s="9" t="str">
        <f>IF(Sheet1!W8="",$F$7, IF(ISNUMBER(SEARCH("Sum", Sheet1!W8)), "Tổng", Sheet1!W8))</f>
        <v>Xuất</v>
      </c>
      <c r="S8" s="9" t="str">
        <f>IF(Sheet1!X8="",$F$7, IF(ISNUMBER(SEARCH("Sum", Sheet1!X8)), "Tổng", Sheet1!X8))</f>
        <v>Tổng</v>
      </c>
      <c r="T8" s="9" t="str">
        <f>IF(Sheet1!Y8="",$F$7, IF(ISNUMBER(SEARCH("Sum", Sheet1!Y8)), "Tổng", Sheet1!Y8))</f>
        <v>Tồn cuối kỳ</v>
      </c>
      <c r="U8" s="9" t="str">
        <f>IF(Sheet1!Z8="",$F$7, IF(ISNUMBER(SEARCH("Sum", Sheet1!Z8)), "Tổng", Sheet1!Z8))</f>
        <v>Tồn cuối kỳ</v>
      </c>
      <c r="V8" s="9" t="str">
        <f>IF(Sheet1!AA8="",$F$7, IF(ISNUMBER(SEARCH("Sum", Sheet1!AA8)), "Tổng", Sheet1!AA8))</f>
        <v>Tổng</v>
      </c>
    </row>
    <row r="9" spans="1:22" x14ac:dyDescent="0.25">
      <c r="A9" s="25"/>
      <c r="B9" s="26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 t="str">
        <f>IF(Sheet1!O9="",$F$7, IF(ISNUMBER(SEARCH("Sum", Sheet1!O9)), "Tổng", Sheet1!O9))</f>
        <v>Khác</v>
      </c>
      <c r="K9" s="9">
        <f>IF(Sheet1!P9="",$F$7, IF(ISNUMBER(SEARCH("Sum", Sheet1!P9)), "Tổng", Sheet1!P9))</f>
        <v>0</v>
      </c>
      <c r="L9" s="9" t="str">
        <f>IF(Sheet1!Q9="",$F$7, IF(ISNUMBER(SEARCH("Sum", Sheet1!Q9)), "Tổng", Sheet1!Q9))</f>
        <v>Xuất khác</v>
      </c>
      <c r="M9" s="9" t="str">
        <f>IF(Sheet1!R9="",$F$7, IF(ISNUMBER(SEARCH("Sum", Sheet1!R9)), "Tổng", Sheet1!R9))</f>
        <v>Xuất khác</v>
      </c>
      <c r="N9" s="9" t="str">
        <f>IF(Sheet1!S9="",$F$7, IF(ISNUMBER(SEARCH("Sum", Sheet1!S9)), "Tổng", Sheet1!S9))</f>
        <v>Khác</v>
      </c>
      <c r="O9" s="9" t="str">
        <f>IF(Sheet1!T9="",$F$7, IF(ISNUMBER(SEARCH("Sum", Sheet1!T9)), "Tổng", Sheet1!T9))</f>
        <v>TT Xe máy</v>
      </c>
      <c r="P9" s="9" t="str">
        <f>IF(Sheet1!U9="",$F$7, IF(ISNUMBER(SEARCH("Sum", Sheet1!U9)), "Tổng", Sheet1!U9))</f>
        <v>BQ</v>
      </c>
      <c r="Q9" s="9" t="str">
        <f>IF(Sheet1!V9="",$F$7, IF(ISNUMBER(SEARCH("Sum", Sheet1!V9)), "Tổng", Sheet1!V9))</f>
        <v>Hao hụt</v>
      </c>
      <c r="R9" s="9" t="str">
        <f>IF(Sheet1!W9="",$F$7, IF(ISNUMBER(SEARCH("Sum", Sheet1!W9)), "Tổng", Sheet1!W9))</f>
        <v>Tổn thất</v>
      </c>
      <c r="S9" s="9">
        <f>IF(Sheet1!X9="",$F$7, IF(ISNUMBER(SEARCH("Sum", Sheet1!X9)), "Tổng", Sheet1!X9))</f>
        <v>0</v>
      </c>
      <c r="T9" s="9" t="str">
        <f>IF(Sheet1!Y9="",$F$7, IF(ISNUMBER(SEARCH("Sum", Sheet1!Y9)), "Tổng", Sheet1!Y9))</f>
        <v>DT cho NV đột xuất</v>
      </c>
      <c r="U9" s="9" t="str">
        <f>IF(Sheet1!Z9="",$F$7, IF(ISNUMBER(SEARCH("Sum", Sheet1!Z9)), "Tổng", Sheet1!Z9))</f>
        <v>DT SSCD</v>
      </c>
      <c r="V9" s="9">
        <f>IF(Sheet1!AA9="",$F$7, IF(ISNUMBER(SEARCH("Sum", Sheet1!AA9)), "Tổng", Sheet1!AA9))</f>
        <v>0</v>
      </c>
    </row>
    <row r="10" spans="1:22" x14ac:dyDescent="0.25">
      <c r="A10" s="25"/>
      <c r="B10" s="26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 t="str">
        <f>IF(Sheet1!O10="",$F$7, IF(ISNUMBER(SEARCH("Sum", Sheet1!O10)), "Tổng", Sheet1!O10))</f>
        <v>Khác</v>
      </c>
      <c r="K10" s="9">
        <f>IF(Sheet1!P10="",$F$7, IF(ISNUMBER(SEARCH("Sum", Sheet1!P10)), "Tổng", Sheet1!P10))</f>
        <v>0</v>
      </c>
      <c r="L10" s="9" t="str">
        <f>IF(Sheet1!Q10="",$F$7, IF(ISNUMBER(SEARCH("Sum", Sheet1!Q10)), "Tổng", Sheet1!Q10))</f>
        <v>Ngoài QC</v>
      </c>
      <c r="M10" s="9" t="str">
        <f>IF(Sheet1!R10="",$F$7, IF(ISNUMBER(SEARCH("Sum", Sheet1!R10)), "Tổng", Sheet1!R10))</f>
        <v>Trong QC</v>
      </c>
      <c r="N10" s="9" t="str">
        <f>IF(Sheet1!S10="",$F$7, IF(ISNUMBER(SEARCH("Sum", Sheet1!S10)), "Tổng", Sheet1!S10))</f>
        <v>Khác</v>
      </c>
      <c r="O10" s="9" t="str">
        <f>IF(Sheet1!T10="",$F$7, IF(ISNUMBER(SEARCH("Sum", Sheet1!T10)), "Tổng", Sheet1!T10))</f>
        <v>TT Xe máy</v>
      </c>
      <c r="P10" s="9" t="str">
        <f>IF(Sheet1!U10="",$F$7, IF(ISNUMBER(SEARCH("Sum", Sheet1!U10)), "Tổng", Sheet1!U10))</f>
        <v>BQ</v>
      </c>
      <c r="Q10" s="9" t="str">
        <f>IF(Sheet1!V10="",$F$7, IF(ISNUMBER(SEARCH("Sum", Sheet1!V10)), "Tổng", Sheet1!V10))</f>
        <v>Hao hụt</v>
      </c>
      <c r="R10" s="9" t="str">
        <f>IF(Sheet1!W10="",$F$7, IF(ISNUMBER(SEARCH("Sum", Sheet1!W10)), "Tổng", Sheet1!W10))</f>
        <v>Tổn thất</v>
      </c>
      <c r="S10" s="9">
        <f>IF(Sheet1!X10="",$F$7, IF(ISNUMBER(SEARCH("Sum", Sheet1!X10)), "Tổng", Sheet1!X10))</f>
        <v>0</v>
      </c>
      <c r="T10" s="9" t="str">
        <f>IF(Sheet1!Y10="",$F$7, IF(ISNUMBER(SEARCH("Sum", Sheet1!Y10)), "Tổng", Sheet1!Y10))</f>
        <v>DT cho NV đột xuất</v>
      </c>
      <c r="U10" s="9" t="str">
        <f>IF(Sheet1!Z10="",$F$7, IF(ISNUMBER(SEARCH("Sum", Sheet1!Z10)), "Tổng", Sheet1!Z10))</f>
        <v>DT SSCD</v>
      </c>
      <c r="V10" s="9">
        <f>IF(Sheet1!AA10="",$F$7, IF(ISNUMBER(SEARCH("Sum", Sheet1!AA10)), "Tổng", Sheet1!AA10))</f>
        <v>0</v>
      </c>
    </row>
    <row r="11" spans="1:22" x14ac:dyDescent="0.25">
      <c r="C11" s="9"/>
    </row>
    <row r="12" spans="1:22" x14ac:dyDescent="0.25">
      <c r="C12" s="9"/>
    </row>
    <row r="13" spans="1:22" x14ac:dyDescent="0.25">
      <c r="C13" s="9"/>
    </row>
    <row r="14" spans="1:22" x14ac:dyDescent="0.25">
      <c r="C14" s="9"/>
    </row>
    <row r="15" spans="1:22" x14ac:dyDescent="0.25">
      <c r="C15" s="9"/>
    </row>
    <row r="16" spans="1:22" x14ac:dyDescent="0.25">
      <c r="C16" s="9"/>
    </row>
    <row r="17" spans="3:3" x14ac:dyDescent="0.25">
      <c r="C17" s="9"/>
    </row>
    <row r="18" spans="3:3" x14ac:dyDescent="0.25">
      <c r="C18" s="9"/>
    </row>
    <row r="19" spans="3:3" x14ac:dyDescent="0.25">
      <c r="C19" s="9"/>
    </row>
    <row r="20" spans="3:3" x14ac:dyDescent="0.25">
      <c r="C20" s="9"/>
    </row>
    <row r="21" spans="3:3" x14ac:dyDescent="0.25">
      <c r="C21" s="9"/>
    </row>
  </sheetData>
  <mergeCells count="21">
    <mergeCell ref="T2:T7"/>
    <mergeCell ref="S3:S7"/>
    <mergeCell ref="R3:R7"/>
    <mergeCell ref="Q2:Q7"/>
    <mergeCell ref="P3:P7"/>
    <mergeCell ref="O3:O7"/>
    <mergeCell ref="N3:N7"/>
    <mergeCell ref="L3:L7"/>
    <mergeCell ref="M3:M7"/>
    <mergeCell ref="J4:J7"/>
    <mergeCell ref="K4:K7"/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2024-10-17T09:11:51Z</dcterms:modified>
</cp:coreProperties>
</file>