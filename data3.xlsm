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Sheet1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nxt_reporter" localSheetId="6" hidden="1">title!$D$20:$J$21</definedName>
    <definedName name="postgres_tructhuoc" localSheetId="7" hidden="1">tructhuoc!$A$1:$G$15</definedName>
  </definedNames>
  <calcPr calcId="162913"/>
  <pivotCaches>
    <pivotCache cacheId="0" r:id="rId10"/>
    <pivotCache cacheId="4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4" i="10" l="1"/>
  <c r="I4" i="10"/>
  <c r="K4" i="10"/>
  <c r="L4" i="10"/>
  <c r="M4" i="10"/>
  <c r="N4" i="10"/>
  <c r="O4" i="10"/>
  <c r="Q4" i="10"/>
  <c r="S4" i="10"/>
  <c r="T4" i="10"/>
  <c r="U4" i="10"/>
  <c r="V4" i="10"/>
  <c r="W4" i="10"/>
  <c r="Y4" i="10"/>
  <c r="Z4" i="10"/>
  <c r="K5" i="10"/>
  <c r="Q5" i="10"/>
  <c r="R5" i="10"/>
  <c r="J3" i="10"/>
  <c r="K3" i="10"/>
  <c r="P3" i="10"/>
  <c r="Q3" i="10"/>
  <c r="X3" i="10"/>
  <c r="Y3" i="10"/>
  <c r="AA3" i="10"/>
  <c r="H3" i="10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7" i="10" l="1"/>
  <c r="AH6" i="10"/>
  <c r="AH7" i="10"/>
  <c r="AI6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AX8" i="10"/>
  <c r="AY8" i="10"/>
  <c r="AZ8" i="10"/>
  <c r="BA8" i="10"/>
  <c r="BB8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AX9" i="10"/>
  <c r="AY9" i="10"/>
  <c r="AZ9" i="10"/>
  <c r="BA9" i="10"/>
  <c r="BB9" i="10"/>
  <c r="AW7" i="10"/>
  <c r="AX7" i="10"/>
  <c r="AY7" i="10"/>
  <c r="AZ7" i="10"/>
  <c r="BA7" i="10"/>
  <c r="BB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BC8" i="10"/>
  <c r="BD8" i="10"/>
  <c r="BC9" i="10"/>
  <c r="BD9" i="10"/>
  <c r="BC7" i="10"/>
  <c r="BD7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7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8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9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1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2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3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4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<sst xmlns="http://schemas.openxmlformats.org/spreadsheetml/2006/main" count="828" uniqueCount="291">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</sst>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Border="1"/>
    <xf numFmtId="0" fontId="0" fillId="0" borderId="4" xfId="0" applyBorder="1"/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364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font>
        <b/>
      </font>
    </dxf>
    <dxf>
      <font>
        <b/>
      </font>
    </dxf>
    <dxf>
      <font>
        <b/>
      </font>
    </dxf>
    <dxf>
      <alignment horizontal="center" readingOrder="0"/>
    </dxf>
    <dxf>
      <alignment vertic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sz val="12"/>
      </font>
    </dxf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363"/>
    </tableStyle>
    <tableStyle name="PivotTable Style 2" table="0" count="2">
      <tableStyleElement type="wholeTable" dxfId="362"/>
      <tableStyleElement type="lastColumn" dxfId="36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9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93.685648379629" createdVersion="6" refreshedVersion="6" minRefreshableVersion="3" recordCount="816">
  <cacheSource type="external" connectionId="2"/>
  <cacheFields count="13">
    <cacheField name="id" numFmtId="0" sqlType="4">
      <sharedItems containsSemiMixedTypes="0" containsString="0" containsNumber="1" containsInteger="1" minValue="37542" maxValue="38357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50000" count="16">
        <n v="20000"/>
        <n v="0"/>
        <n v="30300"/>
        <n v="50000"/>
        <n v="22000"/>
        <n v="39522"/>
        <n v="36000"/>
        <n v="23000"/>
        <n v="21000"/>
        <n v="20122"/>
        <n v="27000"/>
        <n v="20012"/>
        <n v="24000"/>
        <n v="27500"/>
        <n v="25000"/>
        <n v="26000"/>
      </sharedItems>
    </cacheField>
    <cacheField name="title_lv1" numFmtId="0" sqlType="-10">
      <sharedItems count="12">
        <s v="DT cho NV đột xuất"/>
        <s v="DT SSCD"/>
        <s v="CXD"/>
        <s v="QC"/>
        <s v="Mua P/cấp"/>
        <s v="Trong QC"/>
        <s v="Khác"/>
        <s v="TT Xe máy"/>
        <s v="BQ"/>
        <s v="Hao hụt"/>
        <s v="Ngoài QC"/>
        <s v="Tổn thất"/>
      </sharedItems>
    </cacheField>
    <cacheField name="title_lv2" numFmtId="0" sqlType="-10">
      <sharedItems containsBlank="1" count="13">
        <s v="DT cho NV đột xuất"/>
        <s v="DT SSCD"/>
        <s v="CXD"/>
        <s v="QC"/>
        <s v="Mua P/cấp"/>
        <s v="Nhập khác"/>
        <s v="Khác"/>
        <s v="TT Xe máy"/>
        <s v="BQ"/>
        <s v="Hao hụt"/>
        <s v="Xuất khác"/>
        <s v="Tổn thất"/>
        <m u="1"/>
      </sharedItems>
    </cacheField>
    <cacheField name="title_lv3" numFmtId="0" sqlType="-10">
      <sharedItems count="4">
        <s v="Tồn đầu kỳ"/>
        <s v="Nhập"/>
        <s v="Xuất"/>
        <s v="Tồn cuối kỳ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16" count="1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16">
  <r>
    <n v="37542"/>
    <x v="0"/>
    <x v="0"/>
    <x v="0"/>
    <x v="0"/>
    <x v="0"/>
    <x v="0"/>
    <x v="0"/>
    <x v="0"/>
    <n v="20"/>
    <x v="0"/>
    <x v="0"/>
  </r>
  <r>
    <n v="37543"/>
    <x v="0"/>
    <x v="0"/>
    <x v="1"/>
    <x v="1"/>
    <x v="0"/>
    <x v="0"/>
    <x v="0"/>
    <x v="0"/>
    <n v="20"/>
    <x v="1"/>
    <x v="0"/>
  </r>
  <r>
    <n v="37544"/>
    <x v="0"/>
    <x v="1"/>
    <x v="2"/>
    <x v="2"/>
    <x v="1"/>
    <x v="0"/>
    <x v="0"/>
    <x v="0"/>
    <n v="20"/>
    <x v="2"/>
    <x v="0"/>
  </r>
  <r>
    <n v="37545"/>
    <x v="0"/>
    <x v="1"/>
    <x v="3"/>
    <x v="3"/>
    <x v="1"/>
    <x v="0"/>
    <x v="0"/>
    <x v="0"/>
    <n v="20"/>
    <x v="3"/>
    <x v="0"/>
  </r>
  <r>
    <n v="37546"/>
    <x v="0"/>
    <x v="1"/>
    <x v="4"/>
    <x v="4"/>
    <x v="1"/>
    <x v="0"/>
    <x v="0"/>
    <x v="0"/>
    <n v="20"/>
    <x v="4"/>
    <x v="0"/>
  </r>
  <r>
    <n v="37547"/>
    <x v="0"/>
    <x v="1"/>
    <x v="5"/>
    <x v="5"/>
    <x v="1"/>
    <x v="0"/>
    <x v="0"/>
    <x v="0"/>
    <n v="20"/>
    <x v="5"/>
    <x v="0"/>
  </r>
  <r>
    <n v="37548"/>
    <x v="0"/>
    <x v="1"/>
    <x v="6"/>
    <x v="6"/>
    <x v="1"/>
    <x v="0"/>
    <x v="0"/>
    <x v="0"/>
    <n v="20"/>
    <x v="6"/>
    <x v="0"/>
  </r>
  <r>
    <n v="37549"/>
    <x v="0"/>
    <x v="1"/>
    <x v="7"/>
    <x v="7"/>
    <x v="2"/>
    <x v="0"/>
    <x v="0"/>
    <x v="0"/>
    <n v="20"/>
    <x v="7"/>
    <x v="0"/>
  </r>
  <r>
    <n v="37550"/>
    <x v="0"/>
    <x v="1"/>
    <x v="8"/>
    <x v="8"/>
    <x v="2"/>
    <x v="0"/>
    <x v="0"/>
    <x v="0"/>
    <n v="20"/>
    <x v="8"/>
    <x v="0"/>
  </r>
  <r>
    <n v="37551"/>
    <x v="0"/>
    <x v="1"/>
    <x v="9"/>
    <x v="9"/>
    <x v="2"/>
    <x v="0"/>
    <x v="0"/>
    <x v="0"/>
    <n v="20"/>
    <x v="9"/>
    <x v="0"/>
  </r>
  <r>
    <n v="37552"/>
    <x v="0"/>
    <x v="1"/>
    <x v="5"/>
    <x v="10"/>
    <x v="2"/>
    <x v="0"/>
    <x v="0"/>
    <x v="0"/>
    <n v="20"/>
    <x v="10"/>
    <x v="0"/>
  </r>
  <r>
    <n v="37553"/>
    <x v="0"/>
    <x v="1"/>
    <x v="10"/>
    <x v="10"/>
    <x v="2"/>
    <x v="0"/>
    <x v="0"/>
    <x v="0"/>
    <n v="20"/>
    <x v="11"/>
    <x v="0"/>
  </r>
  <r>
    <n v="37554"/>
    <x v="0"/>
    <x v="1"/>
    <x v="11"/>
    <x v="11"/>
    <x v="2"/>
    <x v="0"/>
    <x v="0"/>
    <x v="0"/>
    <n v="20"/>
    <x v="12"/>
    <x v="0"/>
  </r>
  <r>
    <n v="37555"/>
    <x v="0"/>
    <x v="1"/>
    <x v="6"/>
    <x v="6"/>
    <x v="2"/>
    <x v="0"/>
    <x v="0"/>
    <x v="0"/>
    <n v="20"/>
    <x v="13"/>
    <x v="0"/>
  </r>
  <r>
    <n v="37556"/>
    <x v="0"/>
    <x v="2"/>
    <x v="0"/>
    <x v="0"/>
    <x v="3"/>
    <x v="0"/>
    <x v="0"/>
    <x v="0"/>
    <n v="20"/>
    <x v="14"/>
    <x v="0"/>
  </r>
  <r>
    <n v="37557"/>
    <x v="0"/>
    <x v="0"/>
    <x v="1"/>
    <x v="1"/>
    <x v="3"/>
    <x v="0"/>
    <x v="0"/>
    <x v="0"/>
    <n v="20"/>
    <x v="15"/>
    <x v="0"/>
  </r>
  <r>
    <n v="37558"/>
    <x v="1"/>
    <x v="0"/>
    <x v="0"/>
    <x v="0"/>
    <x v="0"/>
    <x v="0"/>
    <x v="0"/>
    <x v="0"/>
    <n v="21"/>
    <x v="0"/>
    <x v="0"/>
  </r>
  <r>
    <n v="37559"/>
    <x v="1"/>
    <x v="0"/>
    <x v="1"/>
    <x v="1"/>
    <x v="0"/>
    <x v="0"/>
    <x v="0"/>
    <x v="0"/>
    <n v="21"/>
    <x v="1"/>
    <x v="0"/>
  </r>
  <r>
    <n v="37560"/>
    <x v="1"/>
    <x v="1"/>
    <x v="2"/>
    <x v="2"/>
    <x v="1"/>
    <x v="0"/>
    <x v="0"/>
    <x v="0"/>
    <n v="21"/>
    <x v="2"/>
    <x v="0"/>
  </r>
  <r>
    <n v="37561"/>
    <x v="1"/>
    <x v="1"/>
    <x v="3"/>
    <x v="3"/>
    <x v="1"/>
    <x v="0"/>
    <x v="0"/>
    <x v="0"/>
    <n v="21"/>
    <x v="3"/>
    <x v="0"/>
  </r>
  <r>
    <n v="37562"/>
    <x v="1"/>
    <x v="1"/>
    <x v="4"/>
    <x v="4"/>
    <x v="1"/>
    <x v="0"/>
    <x v="0"/>
    <x v="0"/>
    <n v="21"/>
    <x v="4"/>
    <x v="0"/>
  </r>
  <r>
    <n v="37563"/>
    <x v="1"/>
    <x v="1"/>
    <x v="5"/>
    <x v="5"/>
    <x v="1"/>
    <x v="0"/>
    <x v="0"/>
    <x v="0"/>
    <n v="21"/>
    <x v="5"/>
    <x v="0"/>
  </r>
  <r>
    <n v="37564"/>
    <x v="1"/>
    <x v="1"/>
    <x v="6"/>
    <x v="6"/>
    <x v="1"/>
    <x v="0"/>
    <x v="0"/>
    <x v="0"/>
    <n v="21"/>
    <x v="6"/>
    <x v="0"/>
  </r>
  <r>
    <n v="37565"/>
    <x v="1"/>
    <x v="1"/>
    <x v="7"/>
    <x v="7"/>
    <x v="2"/>
    <x v="0"/>
    <x v="0"/>
    <x v="0"/>
    <n v="21"/>
    <x v="7"/>
    <x v="0"/>
  </r>
  <r>
    <n v="37566"/>
    <x v="1"/>
    <x v="1"/>
    <x v="8"/>
    <x v="8"/>
    <x v="2"/>
    <x v="0"/>
    <x v="0"/>
    <x v="0"/>
    <n v="21"/>
    <x v="8"/>
    <x v="0"/>
  </r>
  <r>
    <n v="37567"/>
    <x v="1"/>
    <x v="1"/>
    <x v="9"/>
    <x v="9"/>
    <x v="2"/>
    <x v="0"/>
    <x v="0"/>
    <x v="0"/>
    <n v="21"/>
    <x v="9"/>
    <x v="0"/>
  </r>
  <r>
    <n v="37568"/>
    <x v="1"/>
    <x v="1"/>
    <x v="5"/>
    <x v="10"/>
    <x v="2"/>
    <x v="0"/>
    <x v="0"/>
    <x v="0"/>
    <n v="21"/>
    <x v="10"/>
    <x v="0"/>
  </r>
  <r>
    <n v="37569"/>
    <x v="1"/>
    <x v="1"/>
    <x v="10"/>
    <x v="10"/>
    <x v="2"/>
    <x v="0"/>
    <x v="0"/>
    <x v="0"/>
    <n v="21"/>
    <x v="11"/>
    <x v="0"/>
  </r>
  <r>
    <n v="37570"/>
    <x v="1"/>
    <x v="1"/>
    <x v="11"/>
    <x v="11"/>
    <x v="2"/>
    <x v="0"/>
    <x v="0"/>
    <x v="0"/>
    <n v="21"/>
    <x v="12"/>
    <x v="0"/>
  </r>
  <r>
    <n v="37571"/>
    <x v="1"/>
    <x v="1"/>
    <x v="6"/>
    <x v="6"/>
    <x v="2"/>
    <x v="0"/>
    <x v="0"/>
    <x v="0"/>
    <n v="21"/>
    <x v="13"/>
    <x v="0"/>
  </r>
  <r>
    <n v="37572"/>
    <x v="1"/>
    <x v="3"/>
    <x v="0"/>
    <x v="0"/>
    <x v="3"/>
    <x v="0"/>
    <x v="0"/>
    <x v="0"/>
    <n v="21"/>
    <x v="14"/>
    <x v="0"/>
  </r>
  <r>
    <n v="37573"/>
    <x v="1"/>
    <x v="0"/>
    <x v="1"/>
    <x v="1"/>
    <x v="3"/>
    <x v="0"/>
    <x v="0"/>
    <x v="0"/>
    <n v="21"/>
    <x v="15"/>
    <x v="0"/>
  </r>
  <r>
    <n v="37574"/>
    <x v="2"/>
    <x v="0"/>
    <x v="0"/>
    <x v="0"/>
    <x v="0"/>
    <x v="1"/>
    <x v="1"/>
    <x v="0"/>
    <n v="22"/>
    <x v="0"/>
    <x v="0"/>
  </r>
  <r>
    <n v="37575"/>
    <x v="2"/>
    <x v="0"/>
    <x v="1"/>
    <x v="1"/>
    <x v="0"/>
    <x v="1"/>
    <x v="1"/>
    <x v="0"/>
    <n v="22"/>
    <x v="1"/>
    <x v="0"/>
  </r>
  <r>
    <n v="37576"/>
    <x v="2"/>
    <x v="1"/>
    <x v="2"/>
    <x v="2"/>
    <x v="1"/>
    <x v="1"/>
    <x v="1"/>
    <x v="0"/>
    <n v="22"/>
    <x v="2"/>
    <x v="0"/>
  </r>
  <r>
    <n v="37577"/>
    <x v="2"/>
    <x v="1"/>
    <x v="3"/>
    <x v="3"/>
    <x v="1"/>
    <x v="1"/>
    <x v="1"/>
    <x v="0"/>
    <n v="22"/>
    <x v="3"/>
    <x v="0"/>
  </r>
  <r>
    <n v="37578"/>
    <x v="2"/>
    <x v="1"/>
    <x v="4"/>
    <x v="4"/>
    <x v="1"/>
    <x v="1"/>
    <x v="1"/>
    <x v="0"/>
    <n v="22"/>
    <x v="4"/>
    <x v="0"/>
  </r>
  <r>
    <n v="37579"/>
    <x v="2"/>
    <x v="1"/>
    <x v="5"/>
    <x v="5"/>
    <x v="1"/>
    <x v="1"/>
    <x v="1"/>
    <x v="0"/>
    <n v="22"/>
    <x v="5"/>
    <x v="0"/>
  </r>
  <r>
    <n v="37580"/>
    <x v="2"/>
    <x v="1"/>
    <x v="6"/>
    <x v="6"/>
    <x v="1"/>
    <x v="1"/>
    <x v="1"/>
    <x v="0"/>
    <n v="22"/>
    <x v="6"/>
    <x v="0"/>
  </r>
  <r>
    <n v="37581"/>
    <x v="2"/>
    <x v="1"/>
    <x v="7"/>
    <x v="7"/>
    <x v="2"/>
    <x v="1"/>
    <x v="1"/>
    <x v="0"/>
    <n v="22"/>
    <x v="7"/>
    <x v="0"/>
  </r>
  <r>
    <n v="37582"/>
    <x v="2"/>
    <x v="1"/>
    <x v="8"/>
    <x v="8"/>
    <x v="2"/>
    <x v="1"/>
    <x v="1"/>
    <x v="0"/>
    <n v="22"/>
    <x v="8"/>
    <x v="0"/>
  </r>
  <r>
    <n v="37583"/>
    <x v="2"/>
    <x v="1"/>
    <x v="9"/>
    <x v="9"/>
    <x v="2"/>
    <x v="1"/>
    <x v="1"/>
    <x v="0"/>
    <n v="22"/>
    <x v="9"/>
    <x v="0"/>
  </r>
  <r>
    <n v="37584"/>
    <x v="2"/>
    <x v="1"/>
    <x v="5"/>
    <x v="10"/>
    <x v="2"/>
    <x v="1"/>
    <x v="1"/>
    <x v="0"/>
    <n v="22"/>
    <x v="10"/>
    <x v="0"/>
  </r>
  <r>
    <n v="37585"/>
    <x v="2"/>
    <x v="1"/>
    <x v="10"/>
    <x v="10"/>
    <x v="2"/>
    <x v="1"/>
    <x v="1"/>
    <x v="0"/>
    <n v="22"/>
    <x v="11"/>
    <x v="0"/>
  </r>
  <r>
    <n v="37586"/>
    <x v="2"/>
    <x v="1"/>
    <x v="11"/>
    <x v="11"/>
    <x v="2"/>
    <x v="1"/>
    <x v="1"/>
    <x v="0"/>
    <n v="22"/>
    <x v="12"/>
    <x v="0"/>
  </r>
  <r>
    <n v="37587"/>
    <x v="2"/>
    <x v="1"/>
    <x v="6"/>
    <x v="6"/>
    <x v="2"/>
    <x v="1"/>
    <x v="1"/>
    <x v="0"/>
    <n v="22"/>
    <x v="13"/>
    <x v="0"/>
  </r>
  <r>
    <n v="37588"/>
    <x v="2"/>
    <x v="4"/>
    <x v="0"/>
    <x v="0"/>
    <x v="3"/>
    <x v="1"/>
    <x v="1"/>
    <x v="0"/>
    <n v="22"/>
    <x v="14"/>
    <x v="0"/>
  </r>
  <r>
    <n v="37589"/>
    <x v="2"/>
    <x v="0"/>
    <x v="1"/>
    <x v="1"/>
    <x v="3"/>
    <x v="1"/>
    <x v="1"/>
    <x v="0"/>
    <n v="22"/>
    <x v="15"/>
    <x v="0"/>
  </r>
  <r>
    <n v="37590"/>
    <x v="3"/>
    <x v="0"/>
    <x v="0"/>
    <x v="0"/>
    <x v="0"/>
    <x v="2"/>
    <x v="2"/>
    <x v="0"/>
    <n v="23"/>
    <x v="0"/>
    <x v="0"/>
  </r>
  <r>
    <n v="37591"/>
    <x v="3"/>
    <x v="0"/>
    <x v="1"/>
    <x v="1"/>
    <x v="0"/>
    <x v="2"/>
    <x v="2"/>
    <x v="0"/>
    <n v="23"/>
    <x v="1"/>
    <x v="0"/>
  </r>
  <r>
    <n v="37592"/>
    <x v="3"/>
    <x v="1"/>
    <x v="2"/>
    <x v="2"/>
    <x v="1"/>
    <x v="2"/>
    <x v="2"/>
    <x v="0"/>
    <n v="23"/>
    <x v="2"/>
    <x v="0"/>
  </r>
  <r>
    <n v="37593"/>
    <x v="3"/>
    <x v="1"/>
    <x v="3"/>
    <x v="3"/>
    <x v="1"/>
    <x v="2"/>
    <x v="2"/>
    <x v="0"/>
    <n v="23"/>
    <x v="3"/>
    <x v="0"/>
  </r>
  <r>
    <n v="37594"/>
    <x v="3"/>
    <x v="1"/>
    <x v="4"/>
    <x v="4"/>
    <x v="1"/>
    <x v="2"/>
    <x v="2"/>
    <x v="0"/>
    <n v="23"/>
    <x v="4"/>
    <x v="0"/>
  </r>
  <r>
    <n v="37595"/>
    <x v="3"/>
    <x v="1"/>
    <x v="5"/>
    <x v="5"/>
    <x v="1"/>
    <x v="2"/>
    <x v="2"/>
    <x v="0"/>
    <n v="23"/>
    <x v="5"/>
    <x v="0"/>
  </r>
  <r>
    <n v="37596"/>
    <x v="3"/>
    <x v="1"/>
    <x v="6"/>
    <x v="6"/>
    <x v="1"/>
    <x v="2"/>
    <x v="2"/>
    <x v="0"/>
    <n v="23"/>
    <x v="6"/>
    <x v="0"/>
  </r>
  <r>
    <n v="37597"/>
    <x v="3"/>
    <x v="1"/>
    <x v="7"/>
    <x v="7"/>
    <x v="2"/>
    <x v="2"/>
    <x v="2"/>
    <x v="0"/>
    <n v="23"/>
    <x v="7"/>
    <x v="0"/>
  </r>
  <r>
    <n v="37598"/>
    <x v="3"/>
    <x v="1"/>
    <x v="8"/>
    <x v="8"/>
    <x v="2"/>
    <x v="2"/>
    <x v="2"/>
    <x v="0"/>
    <n v="23"/>
    <x v="8"/>
    <x v="0"/>
  </r>
  <r>
    <n v="37599"/>
    <x v="3"/>
    <x v="1"/>
    <x v="9"/>
    <x v="9"/>
    <x v="2"/>
    <x v="2"/>
    <x v="2"/>
    <x v="0"/>
    <n v="23"/>
    <x v="9"/>
    <x v="0"/>
  </r>
  <r>
    <n v="37600"/>
    <x v="3"/>
    <x v="1"/>
    <x v="5"/>
    <x v="10"/>
    <x v="2"/>
    <x v="2"/>
    <x v="2"/>
    <x v="0"/>
    <n v="23"/>
    <x v="10"/>
    <x v="0"/>
  </r>
  <r>
    <n v="37601"/>
    <x v="3"/>
    <x v="1"/>
    <x v="10"/>
    <x v="10"/>
    <x v="2"/>
    <x v="2"/>
    <x v="2"/>
    <x v="0"/>
    <n v="23"/>
    <x v="11"/>
    <x v="0"/>
  </r>
  <r>
    <n v="37602"/>
    <x v="3"/>
    <x v="1"/>
    <x v="11"/>
    <x v="11"/>
    <x v="2"/>
    <x v="2"/>
    <x v="2"/>
    <x v="0"/>
    <n v="23"/>
    <x v="12"/>
    <x v="0"/>
  </r>
  <r>
    <n v="37603"/>
    <x v="3"/>
    <x v="1"/>
    <x v="6"/>
    <x v="6"/>
    <x v="2"/>
    <x v="2"/>
    <x v="2"/>
    <x v="0"/>
    <n v="23"/>
    <x v="13"/>
    <x v="0"/>
  </r>
  <r>
    <n v="37604"/>
    <x v="3"/>
    <x v="5"/>
    <x v="0"/>
    <x v="0"/>
    <x v="3"/>
    <x v="2"/>
    <x v="2"/>
    <x v="0"/>
    <n v="23"/>
    <x v="14"/>
    <x v="0"/>
  </r>
  <r>
    <n v="37605"/>
    <x v="3"/>
    <x v="0"/>
    <x v="1"/>
    <x v="1"/>
    <x v="3"/>
    <x v="2"/>
    <x v="2"/>
    <x v="0"/>
    <n v="23"/>
    <x v="15"/>
    <x v="0"/>
  </r>
  <r>
    <n v="37606"/>
    <x v="4"/>
    <x v="0"/>
    <x v="0"/>
    <x v="0"/>
    <x v="0"/>
    <x v="2"/>
    <x v="2"/>
    <x v="0"/>
    <n v="24"/>
    <x v="0"/>
    <x v="0"/>
  </r>
  <r>
    <n v="37607"/>
    <x v="4"/>
    <x v="0"/>
    <x v="1"/>
    <x v="1"/>
    <x v="0"/>
    <x v="2"/>
    <x v="2"/>
    <x v="0"/>
    <n v="24"/>
    <x v="1"/>
    <x v="0"/>
  </r>
  <r>
    <n v="37608"/>
    <x v="4"/>
    <x v="1"/>
    <x v="2"/>
    <x v="2"/>
    <x v="1"/>
    <x v="2"/>
    <x v="2"/>
    <x v="0"/>
    <n v="24"/>
    <x v="2"/>
    <x v="0"/>
  </r>
  <r>
    <n v="37609"/>
    <x v="4"/>
    <x v="1"/>
    <x v="3"/>
    <x v="3"/>
    <x v="1"/>
    <x v="2"/>
    <x v="2"/>
    <x v="0"/>
    <n v="24"/>
    <x v="3"/>
    <x v="0"/>
  </r>
  <r>
    <n v="37610"/>
    <x v="4"/>
    <x v="1"/>
    <x v="4"/>
    <x v="4"/>
    <x v="1"/>
    <x v="2"/>
    <x v="2"/>
    <x v="0"/>
    <n v="24"/>
    <x v="4"/>
    <x v="0"/>
  </r>
  <r>
    <n v="37611"/>
    <x v="4"/>
    <x v="1"/>
    <x v="5"/>
    <x v="5"/>
    <x v="1"/>
    <x v="2"/>
    <x v="2"/>
    <x v="0"/>
    <n v="24"/>
    <x v="5"/>
    <x v="0"/>
  </r>
  <r>
    <n v="37612"/>
    <x v="4"/>
    <x v="1"/>
    <x v="6"/>
    <x v="6"/>
    <x v="1"/>
    <x v="2"/>
    <x v="2"/>
    <x v="0"/>
    <n v="24"/>
    <x v="6"/>
    <x v="0"/>
  </r>
  <r>
    <n v="37613"/>
    <x v="4"/>
    <x v="1"/>
    <x v="7"/>
    <x v="7"/>
    <x v="2"/>
    <x v="2"/>
    <x v="2"/>
    <x v="0"/>
    <n v="24"/>
    <x v="7"/>
    <x v="0"/>
  </r>
  <r>
    <n v="37614"/>
    <x v="4"/>
    <x v="1"/>
    <x v="8"/>
    <x v="8"/>
    <x v="2"/>
    <x v="2"/>
    <x v="2"/>
    <x v="0"/>
    <n v="24"/>
    <x v="8"/>
    <x v="0"/>
  </r>
  <r>
    <n v="37615"/>
    <x v="4"/>
    <x v="1"/>
    <x v="9"/>
    <x v="9"/>
    <x v="2"/>
    <x v="2"/>
    <x v="2"/>
    <x v="0"/>
    <n v="24"/>
    <x v="9"/>
    <x v="0"/>
  </r>
  <r>
    <n v="37616"/>
    <x v="4"/>
    <x v="1"/>
    <x v="5"/>
    <x v="10"/>
    <x v="2"/>
    <x v="2"/>
    <x v="2"/>
    <x v="0"/>
    <n v="24"/>
    <x v="10"/>
    <x v="0"/>
  </r>
  <r>
    <n v="37617"/>
    <x v="4"/>
    <x v="1"/>
    <x v="10"/>
    <x v="10"/>
    <x v="2"/>
    <x v="2"/>
    <x v="2"/>
    <x v="0"/>
    <n v="24"/>
    <x v="11"/>
    <x v="0"/>
  </r>
  <r>
    <n v="37618"/>
    <x v="4"/>
    <x v="1"/>
    <x v="11"/>
    <x v="11"/>
    <x v="2"/>
    <x v="2"/>
    <x v="2"/>
    <x v="0"/>
    <n v="24"/>
    <x v="12"/>
    <x v="0"/>
  </r>
  <r>
    <n v="37619"/>
    <x v="4"/>
    <x v="1"/>
    <x v="6"/>
    <x v="6"/>
    <x v="2"/>
    <x v="2"/>
    <x v="2"/>
    <x v="0"/>
    <n v="24"/>
    <x v="13"/>
    <x v="0"/>
  </r>
  <r>
    <n v="37620"/>
    <x v="4"/>
    <x v="6"/>
    <x v="0"/>
    <x v="0"/>
    <x v="3"/>
    <x v="2"/>
    <x v="2"/>
    <x v="0"/>
    <n v="24"/>
    <x v="14"/>
    <x v="0"/>
  </r>
  <r>
    <n v="37621"/>
    <x v="4"/>
    <x v="0"/>
    <x v="1"/>
    <x v="1"/>
    <x v="3"/>
    <x v="2"/>
    <x v="2"/>
    <x v="0"/>
    <n v="24"/>
    <x v="15"/>
    <x v="0"/>
  </r>
  <r>
    <n v="37622"/>
    <x v="5"/>
    <x v="0"/>
    <x v="0"/>
    <x v="0"/>
    <x v="0"/>
    <x v="3"/>
    <x v="3"/>
    <x v="0"/>
    <n v="36"/>
    <x v="0"/>
    <x v="0"/>
  </r>
  <r>
    <n v="37623"/>
    <x v="5"/>
    <x v="0"/>
    <x v="1"/>
    <x v="1"/>
    <x v="0"/>
    <x v="3"/>
    <x v="3"/>
    <x v="0"/>
    <n v="36"/>
    <x v="1"/>
    <x v="0"/>
  </r>
  <r>
    <n v="37624"/>
    <x v="5"/>
    <x v="1"/>
    <x v="2"/>
    <x v="2"/>
    <x v="1"/>
    <x v="3"/>
    <x v="3"/>
    <x v="0"/>
    <n v="36"/>
    <x v="2"/>
    <x v="0"/>
  </r>
  <r>
    <n v="37625"/>
    <x v="5"/>
    <x v="1"/>
    <x v="3"/>
    <x v="3"/>
    <x v="1"/>
    <x v="3"/>
    <x v="3"/>
    <x v="0"/>
    <n v="36"/>
    <x v="3"/>
    <x v="0"/>
  </r>
  <r>
    <n v="37626"/>
    <x v="5"/>
    <x v="1"/>
    <x v="4"/>
    <x v="4"/>
    <x v="1"/>
    <x v="3"/>
    <x v="3"/>
    <x v="0"/>
    <n v="36"/>
    <x v="4"/>
    <x v="0"/>
  </r>
  <r>
    <n v="37627"/>
    <x v="5"/>
    <x v="1"/>
    <x v="5"/>
    <x v="5"/>
    <x v="1"/>
    <x v="3"/>
    <x v="3"/>
    <x v="0"/>
    <n v="36"/>
    <x v="5"/>
    <x v="0"/>
  </r>
  <r>
    <n v="37628"/>
    <x v="5"/>
    <x v="1"/>
    <x v="6"/>
    <x v="6"/>
    <x v="1"/>
    <x v="3"/>
    <x v="3"/>
    <x v="0"/>
    <n v="36"/>
    <x v="6"/>
    <x v="0"/>
  </r>
  <r>
    <n v="37629"/>
    <x v="5"/>
    <x v="1"/>
    <x v="7"/>
    <x v="7"/>
    <x v="2"/>
    <x v="3"/>
    <x v="3"/>
    <x v="0"/>
    <n v="36"/>
    <x v="7"/>
    <x v="0"/>
  </r>
  <r>
    <n v="37630"/>
    <x v="5"/>
    <x v="1"/>
    <x v="8"/>
    <x v="8"/>
    <x v="2"/>
    <x v="3"/>
    <x v="3"/>
    <x v="0"/>
    <n v="36"/>
    <x v="8"/>
    <x v="0"/>
  </r>
  <r>
    <n v="37631"/>
    <x v="5"/>
    <x v="1"/>
    <x v="9"/>
    <x v="9"/>
    <x v="2"/>
    <x v="3"/>
    <x v="3"/>
    <x v="0"/>
    <n v="36"/>
    <x v="9"/>
    <x v="0"/>
  </r>
  <r>
    <n v="37632"/>
    <x v="5"/>
    <x v="1"/>
    <x v="5"/>
    <x v="10"/>
    <x v="2"/>
    <x v="3"/>
    <x v="3"/>
    <x v="0"/>
    <n v="36"/>
    <x v="10"/>
    <x v="0"/>
  </r>
  <r>
    <n v="37633"/>
    <x v="5"/>
    <x v="1"/>
    <x v="10"/>
    <x v="10"/>
    <x v="2"/>
    <x v="3"/>
    <x v="3"/>
    <x v="0"/>
    <n v="36"/>
    <x v="11"/>
    <x v="0"/>
  </r>
  <r>
    <n v="37634"/>
    <x v="5"/>
    <x v="1"/>
    <x v="11"/>
    <x v="11"/>
    <x v="2"/>
    <x v="3"/>
    <x v="3"/>
    <x v="0"/>
    <n v="36"/>
    <x v="12"/>
    <x v="0"/>
  </r>
  <r>
    <n v="37635"/>
    <x v="5"/>
    <x v="1"/>
    <x v="6"/>
    <x v="6"/>
    <x v="2"/>
    <x v="3"/>
    <x v="3"/>
    <x v="0"/>
    <n v="36"/>
    <x v="13"/>
    <x v="0"/>
  </r>
  <r>
    <n v="37636"/>
    <x v="5"/>
    <x v="7"/>
    <x v="0"/>
    <x v="0"/>
    <x v="3"/>
    <x v="3"/>
    <x v="3"/>
    <x v="0"/>
    <n v="36"/>
    <x v="14"/>
    <x v="0"/>
  </r>
  <r>
    <n v="37637"/>
    <x v="5"/>
    <x v="0"/>
    <x v="1"/>
    <x v="1"/>
    <x v="3"/>
    <x v="3"/>
    <x v="3"/>
    <x v="0"/>
    <n v="36"/>
    <x v="15"/>
    <x v="0"/>
  </r>
  <r>
    <n v="37638"/>
    <x v="3"/>
    <x v="0"/>
    <x v="0"/>
    <x v="0"/>
    <x v="0"/>
    <x v="3"/>
    <x v="3"/>
    <x v="0"/>
    <n v="37"/>
    <x v="0"/>
    <x v="0"/>
  </r>
  <r>
    <n v="37639"/>
    <x v="3"/>
    <x v="0"/>
    <x v="1"/>
    <x v="1"/>
    <x v="0"/>
    <x v="3"/>
    <x v="3"/>
    <x v="0"/>
    <n v="37"/>
    <x v="1"/>
    <x v="0"/>
  </r>
  <r>
    <n v="37640"/>
    <x v="3"/>
    <x v="1"/>
    <x v="2"/>
    <x v="2"/>
    <x v="1"/>
    <x v="3"/>
    <x v="3"/>
    <x v="0"/>
    <n v="37"/>
    <x v="2"/>
    <x v="0"/>
  </r>
  <r>
    <n v="37641"/>
    <x v="3"/>
    <x v="1"/>
    <x v="3"/>
    <x v="3"/>
    <x v="1"/>
    <x v="3"/>
    <x v="3"/>
    <x v="0"/>
    <n v="37"/>
    <x v="3"/>
    <x v="0"/>
  </r>
  <r>
    <n v="37642"/>
    <x v="3"/>
    <x v="1"/>
    <x v="4"/>
    <x v="4"/>
    <x v="1"/>
    <x v="3"/>
    <x v="3"/>
    <x v="0"/>
    <n v="37"/>
    <x v="4"/>
    <x v="0"/>
  </r>
  <r>
    <n v="37643"/>
    <x v="3"/>
    <x v="1"/>
    <x v="5"/>
    <x v="5"/>
    <x v="1"/>
    <x v="3"/>
    <x v="3"/>
    <x v="0"/>
    <n v="37"/>
    <x v="5"/>
    <x v="0"/>
  </r>
  <r>
    <n v="37644"/>
    <x v="3"/>
    <x v="1"/>
    <x v="6"/>
    <x v="6"/>
    <x v="1"/>
    <x v="3"/>
    <x v="3"/>
    <x v="0"/>
    <n v="37"/>
    <x v="6"/>
    <x v="0"/>
  </r>
  <r>
    <n v="37645"/>
    <x v="3"/>
    <x v="1"/>
    <x v="7"/>
    <x v="7"/>
    <x v="2"/>
    <x v="3"/>
    <x v="3"/>
    <x v="0"/>
    <n v="37"/>
    <x v="7"/>
    <x v="0"/>
  </r>
  <r>
    <n v="37646"/>
    <x v="3"/>
    <x v="1"/>
    <x v="8"/>
    <x v="8"/>
    <x v="2"/>
    <x v="3"/>
    <x v="3"/>
    <x v="0"/>
    <n v="37"/>
    <x v="8"/>
    <x v="0"/>
  </r>
  <r>
    <n v="37647"/>
    <x v="3"/>
    <x v="1"/>
    <x v="9"/>
    <x v="9"/>
    <x v="2"/>
    <x v="3"/>
    <x v="3"/>
    <x v="0"/>
    <n v="37"/>
    <x v="9"/>
    <x v="0"/>
  </r>
  <r>
    <n v="37648"/>
    <x v="3"/>
    <x v="1"/>
    <x v="5"/>
    <x v="10"/>
    <x v="2"/>
    <x v="3"/>
    <x v="3"/>
    <x v="0"/>
    <n v="37"/>
    <x v="10"/>
    <x v="0"/>
  </r>
  <r>
    <n v="37649"/>
    <x v="3"/>
    <x v="1"/>
    <x v="10"/>
    <x v="10"/>
    <x v="2"/>
    <x v="3"/>
    <x v="3"/>
    <x v="0"/>
    <n v="37"/>
    <x v="11"/>
    <x v="0"/>
  </r>
  <r>
    <n v="37650"/>
    <x v="3"/>
    <x v="1"/>
    <x v="11"/>
    <x v="11"/>
    <x v="2"/>
    <x v="3"/>
    <x v="3"/>
    <x v="0"/>
    <n v="37"/>
    <x v="12"/>
    <x v="0"/>
  </r>
  <r>
    <n v="37651"/>
    <x v="3"/>
    <x v="1"/>
    <x v="6"/>
    <x v="6"/>
    <x v="2"/>
    <x v="3"/>
    <x v="3"/>
    <x v="0"/>
    <n v="37"/>
    <x v="13"/>
    <x v="0"/>
  </r>
  <r>
    <n v="37652"/>
    <x v="3"/>
    <x v="8"/>
    <x v="0"/>
    <x v="0"/>
    <x v="3"/>
    <x v="3"/>
    <x v="3"/>
    <x v="0"/>
    <n v="37"/>
    <x v="14"/>
    <x v="0"/>
  </r>
  <r>
    <n v="37653"/>
    <x v="3"/>
    <x v="0"/>
    <x v="1"/>
    <x v="1"/>
    <x v="3"/>
    <x v="3"/>
    <x v="3"/>
    <x v="0"/>
    <n v="37"/>
    <x v="15"/>
    <x v="0"/>
  </r>
  <r>
    <n v="37654"/>
    <x v="4"/>
    <x v="0"/>
    <x v="0"/>
    <x v="0"/>
    <x v="0"/>
    <x v="3"/>
    <x v="3"/>
    <x v="0"/>
    <n v="38"/>
    <x v="0"/>
    <x v="0"/>
  </r>
  <r>
    <n v="37655"/>
    <x v="4"/>
    <x v="0"/>
    <x v="1"/>
    <x v="1"/>
    <x v="0"/>
    <x v="3"/>
    <x v="3"/>
    <x v="0"/>
    <n v="38"/>
    <x v="1"/>
    <x v="0"/>
  </r>
  <r>
    <n v="37656"/>
    <x v="4"/>
    <x v="1"/>
    <x v="2"/>
    <x v="2"/>
    <x v="1"/>
    <x v="3"/>
    <x v="3"/>
    <x v="0"/>
    <n v="38"/>
    <x v="2"/>
    <x v="0"/>
  </r>
  <r>
    <n v="37657"/>
    <x v="4"/>
    <x v="1"/>
    <x v="3"/>
    <x v="3"/>
    <x v="1"/>
    <x v="3"/>
    <x v="3"/>
    <x v="0"/>
    <n v="38"/>
    <x v="3"/>
    <x v="0"/>
  </r>
  <r>
    <n v="37658"/>
    <x v="4"/>
    <x v="1"/>
    <x v="4"/>
    <x v="4"/>
    <x v="1"/>
    <x v="3"/>
    <x v="3"/>
    <x v="0"/>
    <n v="38"/>
    <x v="4"/>
    <x v="0"/>
  </r>
  <r>
    <n v="37659"/>
    <x v="4"/>
    <x v="1"/>
    <x v="5"/>
    <x v="5"/>
    <x v="1"/>
    <x v="3"/>
    <x v="3"/>
    <x v="0"/>
    <n v="38"/>
    <x v="5"/>
    <x v="0"/>
  </r>
  <r>
    <n v="37660"/>
    <x v="4"/>
    <x v="1"/>
    <x v="6"/>
    <x v="6"/>
    <x v="1"/>
    <x v="3"/>
    <x v="3"/>
    <x v="0"/>
    <n v="38"/>
    <x v="6"/>
    <x v="0"/>
  </r>
  <r>
    <n v="37661"/>
    <x v="4"/>
    <x v="1"/>
    <x v="7"/>
    <x v="7"/>
    <x v="2"/>
    <x v="3"/>
    <x v="3"/>
    <x v="0"/>
    <n v="38"/>
    <x v="7"/>
    <x v="0"/>
  </r>
  <r>
    <n v="37662"/>
    <x v="4"/>
    <x v="1"/>
    <x v="8"/>
    <x v="8"/>
    <x v="2"/>
    <x v="3"/>
    <x v="3"/>
    <x v="0"/>
    <n v="38"/>
    <x v="8"/>
    <x v="0"/>
  </r>
  <r>
    <n v="37663"/>
    <x v="4"/>
    <x v="1"/>
    <x v="9"/>
    <x v="9"/>
    <x v="2"/>
    <x v="3"/>
    <x v="3"/>
    <x v="0"/>
    <n v="38"/>
    <x v="9"/>
    <x v="0"/>
  </r>
  <r>
    <n v="37664"/>
    <x v="4"/>
    <x v="1"/>
    <x v="5"/>
    <x v="10"/>
    <x v="2"/>
    <x v="3"/>
    <x v="3"/>
    <x v="0"/>
    <n v="38"/>
    <x v="10"/>
    <x v="0"/>
  </r>
  <r>
    <n v="37665"/>
    <x v="4"/>
    <x v="1"/>
    <x v="10"/>
    <x v="10"/>
    <x v="2"/>
    <x v="3"/>
    <x v="3"/>
    <x v="0"/>
    <n v="38"/>
    <x v="11"/>
    <x v="0"/>
  </r>
  <r>
    <n v="37666"/>
    <x v="4"/>
    <x v="1"/>
    <x v="11"/>
    <x v="11"/>
    <x v="2"/>
    <x v="3"/>
    <x v="3"/>
    <x v="0"/>
    <n v="38"/>
    <x v="12"/>
    <x v="0"/>
  </r>
  <r>
    <n v="37667"/>
    <x v="4"/>
    <x v="1"/>
    <x v="6"/>
    <x v="6"/>
    <x v="2"/>
    <x v="3"/>
    <x v="3"/>
    <x v="0"/>
    <n v="38"/>
    <x v="13"/>
    <x v="0"/>
  </r>
  <r>
    <n v="37668"/>
    <x v="4"/>
    <x v="9"/>
    <x v="0"/>
    <x v="0"/>
    <x v="3"/>
    <x v="3"/>
    <x v="3"/>
    <x v="0"/>
    <n v="38"/>
    <x v="14"/>
    <x v="0"/>
  </r>
  <r>
    <n v="37669"/>
    <x v="4"/>
    <x v="0"/>
    <x v="1"/>
    <x v="1"/>
    <x v="3"/>
    <x v="3"/>
    <x v="3"/>
    <x v="0"/>
    <n v="38"/>
    <x v="15"/>
    <x v="0"/>
  </r>
  <r>
    <n v="37670"/>
    <x v="6"/>
    <x v="0"/>
    <x v="0"/>
    <x v="0"/>
    <x v="0"/>
    <x v="4"/>
    <x v="4"/>
    <x v="1"/>
    <n v="25"/>
    <x v="0"/>
    <x v="0"/>
  </r>
  <r>
    <n v="37671"/>
    <x v="6"/>
    <x v="0"/>
    <x v="1"/>
    <x v="1"/>
    <x v="0"/>
    <x v="4"/>
    <x v="4"/>
    <x v="1"/>
    <n v="25"/>
    <x v="1"/>
    <x v="0"/>
  </r>
  <r>
    <n v="37672"/>
    <x v="6"/>
    <x v="1"/>
    <x v="2"/>
    <x v="2"/>
    <x v="1"/>
    <x v="4"/>
    <x v="4"/>
    <x v="1"/>
    <n v="25"/>
    <x v="2"/>
    <x v="0"/>
  </r>
  <r>
    <n v="37673"/>
    <x v="6"/>
    <x v="1"/>
    <x v="3"/>
    <x v="3"/>
    <x v="1"/>
    <x v="4"/>
    <x v="4"/>
    <x v="1"/>
    <n v="25"/>
    <x v="3"/>
    <x v="0"/>
  </r>
  <r>
    <n v="37674"/>
    <x v="6"/>
    <x v="1"/>
    <x v="4"/>
    <x v="4"/>
    <x v="1"/>
    <x v="4"/>
    <x v="4"/>
    <x v="1"/>
    <n v="25"/>
    <x v="4"/>
    <x v="0"/>
  </r>
  <r>
    <n v="37675"/>
    <x v="6"/>
    <x v="1"/>
    <x v="5"/>
    <x v="5"/>
    <x v="1"/>
    <x v="4"/>
    <x v="4"/>
    <x v="1"/>
    <n v="25"/>
    <x v="5"/>
    <x v="0"/>
  </r>
  <r>
    <n v="37676"/>
    <x v="6"/>
    <x v="1"/>
    <x v="6"/>
    <x v="6"/>
    <x v="1"/>
    <x v="4"/>
    <x v="4"/>
    <x v="1"/>
    <n v="25"/>
    <x v="6"/>
    <x v="0"/>
  </r>
  <r>
    <n v="37677"/>
    <x v="6"/>
    <x v="1"/>
    <x v="7"/>
    <x v="7"/>
    <x v="2"/>
    <x v="4"/>
    <x v="4"/>
    <x v="1"/>
    <n v="25"/>
    <x v="7"/>
    <x v="0"/>
  </r>
  <r>
    <n v="37678"/>
    <x v="6"/>
    <x v="1"/>
    <x v="8"/>
    <x v="8"/>
    <x v="2"/>
    <x v="4"/>
    <x v="4"/>
    <x v="1"/>
    <n v="25"/>
    <x v="8"/>
    <x v="0"/>
  </r>
  <r>
    <n v="37679"/>
    <x v="6"/>
    <x v="1"/>
    <x v="9"/>
    <x v="9"/>
    <x v="2"/>
    <x v="4"/>
    <x v="4"/>
    <x v="1"/>
    <n v="25"/>
    <x v="9"/>
    <x v="0"/>
  </r>
  <r>
    <n v="37680"/>
    <x v="6"/>
    <x v="1"/>
    <x v="5"/>
    <x v="10"/>
    <x v="2"/>
    <x v="4"/>
    <x v="4"/>
    <x v="1"/>
    <n v="25"/>
    <x v="10"/>
    <x v="0"/>
  </r>
  <r>
    <n v="37681"/>
    <x v="6"/>
    <x v="1"/>
    <x v="10"/>
    <x v="10"/>
    <x v="2"/>
    <x v="4"/>
    <x v="4"/>
    <x v="1"/>
    <n v="25"/>
    <x v="11"/>
    <x v="0"/>
  </r>
  <r>
    <n v="37682"/>
    <x v="6"/>
    <x v="1"/>
    <x v="11"/>
    <x v="11"/>
    <x v="2"/>
    <x v="4"/>
    <x v="4"/>
    <x v="1"/>
    <n v="25"/>
    <x v="12"/>
    <x v="0"/>
  </r>
  <r>
    <n v="37683"/>
    <x v="6"/>
    <x v="1"/>
    <x v="6"/>
    <x v="6"/>
    <x v="2"/>
    <x v="4"/>
    <x v="4"/>
    <x v="1"/>
    <n v="25"/>
    <x v="13"/>
    <x v="0"/>
  </r>
  <r>
    <n v="37684"/>
    <x v="6"/>
    <x v="10"/>
    <x v="0"/>
    <x v="0"/>
    <x v="3"/>
    <x v="4"/>
    <x v="4"/>
    <x v="1"/>
    <n v="25"/>
    <x v="14"/>
    <x v="0"/>
  </r>
  <r>
    <n v="37685"/>
    <x v="6"/>
    <x v="0"/>
    <x v="1"/>
    <x v="1"/>
    <x v="3"/>
    <x v="4"/>
    <x v="4"/>
    <x v="1"/>
    <n v="25"/>
    <x v="15"/>
    <x v="0"/>
  </r>
  <r>
    <n v="37686"/>
    <x v="7"/>
    <x v="0"/>
    <x v="0"/>
    <x v="0"/>
    <x v="0"/>
    <x v="4"/>
    <x v="4"/>
    <x v="1"/>
    <n v="26"/>
    <x v="0"/>
    <x v="0"/>
  </r>
  <r>
    <n v="37687"/>
    <x v="7"/>
    <x v="0"/>
    <x v="1"/>
    <x v="1"/>
    <x v="0"/>
    <x v="4"/>
    <x v="4"/>
    <x v="1"/>
    <n v="26"/>
    <x v="1"/>
    <x v="0"/>
  </r>
  <r>
    <n v="37688"/>
    <x v="7"/>
    <x v="1"/>
    <x v="2"/>
    <x v="2"/>
    <x v="1"/>
    <x v="4"/>
    <x v="4"/>
    <x v="1"/>
    <n v="26"/>
    <x v="2"/>
    <x v="0"/>
  </r>
  <r>
    <n v="37689"/>
    <x v="7"/>
    <x v="1"/>
    <x v="3"/>
    <x v="3"/>
    <x v="1"/>
    <x v="4"/>
    <x v="4"/>
    <x v="1"/>
    <n v="26"/>
    <x v="3"/>
    <x v="0"/>
  </r>
  <r>
    <n v="37690"/>
    <x v="7"/>
    <x v="1"/>
    <x v="4"/>
    <x v="4"/>
    <x v="1"/>
    <x v="4"/>
    <x v="4"/>
    <x v="1"/>
    <n v="26"/>
    <x v="4"/>
    <x v="0"/>
  </r>
  <r>
    <n v="37691"/>
    <x v="7"/>
    <x v="1"/>
    <x v="5"/>
    <x v="5"/>
    <x v="1"/>
    <x v="4"/>
    <x v="4"/>
    <x v="1"/>
    <n v="26"/>
    <x v="5"/>
    <x v="0"/>
  </r>
  <r>
    <n v="37692"/>
    <x v="7"/>
    <x v="1"/>
    <x v="6"/>
    <x v="6"/>
    <x v="1"/>
    <x v="4"/>
    <x v="4"/>
    <x v="1"/>
    <n v="26"/>
    <x v="6"/>
    <x v="0"/>
  </r>
  <r>
    <n v="37693"/>
    <x v="7"/>
    <x v="1"/>
    <x v="7"/>
    <x v="7"/>
    <x v="2"/>
    <x v="4"/>
    <x v="4"/>
    <x v="1"/>
    <n v="26"/>
    <x v="7"/>
    <x v="0"/>
  </r>
  <r>
    <n v="37694"/>
    <x v="7"/>
    <x v="1"/>
    <x v="8"/>
    <x v="8"/>
    <x v="2"/>
    <x v="4"/>
    <x v="4"/>
    <x v="1"/>
    <n v="26"/>
    <x v="8"/>
    <x v="0"/>
  </r>
  <r>
    <n v="37695"/>
    <x v="7"/>
    <x v="1"/>
    <x v="9"/>
    <x v="9"/>
    <x v="2"/>
    <x v="4"/>
    <x v="4"/>
    <x v="1"/>
    <n v="26"/>
    <x v="9"/>
    <x v="0"/>
  </r>
  <r>
    <n v="37696"/>
    <x v="7"/>
    <x v="1"/>
    <x v="5"/>
    <x v="10"/>
    <x v="2"/>
    <x v="4"/>
    <x v="4"/>
    <x v="1"/>
    <n v="26"/>
    <x v="10"/>
    <x v="0"/>
  </r>
  <r>
    <n v="37697"/>
    <x v="7"/>
    <x v="1"/>
    <x v="10"/>
    <x v="10"/>
    <x v="2"/>
    <x v="4"/>
    <x v="4"/>
    <x v="1"/>
    <n v="26"/>
    <x v="11"/>
    <x v="0"/>
  </r>
  <r>
    <n v="37698"/>
    <x v="7"/>
    <x v="1"/>
    <x v="11"/>
    <x v="11"/>
    <x v="2"/>
    <x v="4"/>
    <x v="4"/>
    <x v="1"/>
    <n v="26"/>
    <x v="12"/>
    <x v="0"/>
  </r>
  <r>
    <n v="37699"/>
    <x v="7"/>
    <x v="1"/>
    <x v="6"/>
    <x v="6"/>
    <x v="2"/>
    <x v="4"/>
    <x v="4"/>
    <x v="1"/>
    <n v="26"/>
    <x v="13"/>
    <x v="0"/>
  </r>
  <r>
    <n v="37700"/>
    <x v="7"/>
    <x v="11"/>
    <x v="0"/>
    <x v="0"/>
    <x v="3"/>
    <x v="4"/>
    <x v="4"/>
    <x v="1"/>
    <n v="26"/>
    <x v="14"/>
    <x v="0"/>
  </r>
  <r>
    <n v="37701"/>
    <x v="7"/>
    <x v="0"/>
    <x v="1"/>
    <x v="1"/>
    <x v="3"/>
    <x v="4"/>
    <x v="4"/>
    <x v="1"/>
    <n v="26"/>
    <x v="15"/>
    <x v="0"/>
  </r>
  <r>
    <n v="37702"/>
    <x v="8"/>
    <x v="0"/>
    <x v="0"/>
    <x v="0"/>
    <x v="0"/>
    <x v="4"/>
    <x v="4"/>
    <x v="1"/>
    <n v="27"/>
    <x v="0"/>
    <x v="0"/>
  </r>
  <r>
    <n v="37703"/>
    <x v="8"/>
    <x v="0"/>
    <x v="1"/>
    <x v="1"/>
    <x v="0"/>
    <x v="4"/>
    <x v="4"/>
    <x v="1"/>
    <n v="27"/>
    <x v="1"/>
    <x v="0"/>
  </r>
  <r>
    <n v="37704"/>
    <x v="8"/>
    <x v="1"/>
    <x v="2"/>
    <x v="2"/>
    <x v="1"/>
    <x v="4"/>
    <x v="4"/>
    <x v="1"/>
    <n v="27"/>
    <x v="2"/>
    <x v="0"/>
  </r>
  <r>
    <n v="37705"/>
    <x v="8"/>
    <x v="1"/>
    <x v="3"/>
    <x v="3"/>
    <x v="1"/>
    <x v="4"/>
    <x v="4"/>
    <x v="1"/>
    <n v="27"/>
    <x v="3"/>
    <x v="0"/>
  </r>
  <r>
    <n v="37706"/>
    <x v="8"/>
    <x v="1"/>
    <x v="4"/>
    <x v="4"/>
    <x v="1"/>
    <x v="4"/>
    <x v="4"/>
    <x v="1"/>
    <n v="27"/>
    <x v="4"/>
    <x v="0"/>
  </r>
  <r>
    <n v="37707"/>
    <x v="8"/>
    <x v="1"/>
    <x v="5"/>
    <x v="5"/>
    <x v="1"/>
    <x v="4"/>
    <x v="4"/>
    <x v="1"/>
    <n v="27"/>
    <x v="5"/>
    <x v="0"/>
  </r>
  <r>
    <n v="37708"/>
    <x v="8"/>
    <x v="1"/>
    <x v="6"/>
    <x v="6"/>
    <x v="1"/>
    <x v="4"/>
    <x v="4"/>
    <x v="1"/>
    <n v="27"/>
    <x v="6"/>
    <x v="0"/>
  </r>
  <r>
    <n v="37709"/>
    <x v="8"/>
    <x v="1"/>
    <x v="7"/>
    <x v="7"/>
    <x v="2"/>
    <x v="4"/>
    <x v="4"/>
    <x v="1"/>
    <n v="27"/>
    <x v="7"/>
    <x v="0"/>
  </r>
  <r>
    <n v="37710"/>
    <x v="8"/>
    <x v="1"/>
    <x v="8"/>
    <x v="8"/>
    <x v="2"/>
    <x v="4"/>
    <x v="4"/>
    <x v="1"/>
    <n v="27"/>
    <x v="8"/>
    <x v="0"/>
  </r>
  <r>
    <n v="37711"/>
    <x v="8"/>
    <x v="1"/>
    <x v="9"/>
    <x v="9"/>
    <x v="2"/>
    <x v="4"/>
    <x v="4"/>
    <x v="1"/>
    <n v="27"/>
    <x v="9"/>
    <x v="0"/>
  </r>
  <r>
    <n v="37712"/>
    <x v="8"/>
    <x v="1"/>
    <x v="5"/>
    <x v="10"/>
    <x v="2"/>
    <x v="4"/>
    <x v="4"/>
    <x v="1"/>
    <n v="27"/>
    <x v="10"/>
    <x v="0"/>
  </r>
  <r>
    <n v="37713"/>
    <x v="8"/>
    <x v="1"/>
    <x v="10"/>
    <x v="10"/>
    <x v="2"/>
    <x v="4"/>
    <x v="4"/>
    <x v="1"/>
    <n v="27"/>
    <x v="11"/>
    <x v="0"/>
  </r>
  <r>
    <n v="37714"/>
    <x v="8"/>
    <x v="1"/>
    <x v="11"/>
    <x v="11"/>
    <x v="2"/>
    <x v="4"/>
    <x v="4"/>
    <x v="1"/>
    <n v="27"/>
    <x v="12"/>
    <x v="0"/>
  </r>
  <r>
    <n v="37715"/>
    <x v="8"/>
    <x v="1"/>
    <x v="6"/>
    <x v="6"/>
    <x v="2"/>
    <x v="4"/>
    <x v="4"/>
    <x v="1"/>
    <n v="27"/>
    <x v="13"/>
    <x v="0"/>
  </r>
  <r>
    <n v="37716"/>
    <x v="8"/>
    <x v="12"/>
    <x v="0"/>
    <x v="0"/>
    <x v="3"/>
    <x v="4"/>
    <x v="4"/>
    <x v="1"/>
    <n v="27"/>
    <x v="14"/>
    <x v="0"/>
  </r>
  <r>
    <n v="37717"/>
    <x v="8"/>
    <x v="0"/>
    <x v="1"/>
    <x v="1"/>
    <x v="3"/>
    <x v="4"/>
    <x v="4"/>
    <x v="1"/>
    <n v="27"/>
    <x v="15"/>
    <x v="0"/>
  </r>
  <r>
    <n v="37718"/>
    <x v="9"/>
    <x v="0"/>
    <x v="0"/>
    <x v="0"/>
    <x v="0"/>
    <x v="4"/>
    <x v="4"/>
    <x v="1"/>
    <n v="28"/>
    <x v="0"/>
    <x v="0"/>
  </r>
  <r>
    <n v="37719"/>
    <x v="9"/>
    <x v="0"/>
    <x v="1"/>
    <x v="1"/>
    <x v="0"/>
    <x v="4"/>
    <x v="4"/>
    <x v="1"/>
    <n v="28"/>
    <x v="1"/>
    <x v="0"/>
  </r>
  <r>
    <n v="37720"/>
    <x v="9"/>
    <x v="1"/>
    <x v="2"/>
    <x v="2"/>
    <x v="1"/>
    <x v="4"/>
    <x v="4"/>
    <x v="1"/>
    <n v="28"/>
    <x v="2"/>
    <x v="0"/>
  </r>
  <r>
    <n v="37721"/>
    <x v="9"/>
    <x v="1"/>
    <x v="3"/>
    <x v="3"/>
    <x v="1"/>
    <x v="4"/>
    <x v="4"/>
    <x v="1"/>
    <n v="28"/>
    <x v="3"/>
    <x v="0"/>
  </r>
  <r>
    <n v="37722"/>
    <x v="9"/>
    <x v="1"/>
    <x v="4"/>
    <x v="4"/>
    <x v="1"/>
    <x v="4"/>
    <x v="4"/>
    <x v="1"/>
    <n v="28"/>
    <x v="4"/>
    <x v="0"/>
  </r>
  <r>
    <n v="37723"/>
    <x v="9"/>
    <x v="1"/>
    <x v="5"/>
    <x v="5"/>
    <x v="1"/>
    <x v="4"/>
    <x v="4"/>
    <x v="1"/>
    <n v="28"/>
    <x v="5"/>
    <x v="0"/>
  </r>
  <r>
    <n v="37724"/>
    <x v="9"/>
    <x v="1"/>
    <x v="6"/>
    <x v="6"/>
    <x v="1"/>
    <x v="4"/>
    <x v="4"/>
    <x v="1"/>
    <n v="28"/>
    <x v="6"/>
    <x v="0"/>
  </r>
  <r>
    <n v="37725"/>
    <x v="9"/>
    <x v="1"/>
    <x v="7"/>
    <x v="7"/>
    <x v="2"/>
    <x v="4"/>
    <x v="4"/>
    <x v="1"/>
    <n v="28"/>
    <x v="7"/>
    <x v="0"/>
  </r>
  <r>
    <n v="37726"/>
    <x v="9"/>
    <x v="1"/>
    <x v="8"/>
    <x v="8"/>
    <x v="2"/>
    <x v="4"/>
    <x v="4"/>
    <x v="1"/>
    <n v="28"/>
    <x v="8"/>
    <x v="0"/>
  </r>
  <r>
    <n v="37727"/>
    <x v="9"/>
    <x v="1"/>
    <x v="9"/>
    <x v="9"/>
    <x v="2"/>
    <x v="4"/>
    <x v="4"/>
    <x v="1"/>
    <n v="28"/>
    <x v="9"/>
    <x v="0"/>
  </r>
  <r>
    <n v="37728"/>
    <x v="9"/>
    <x v="1"/>
    <x v="5"/>
    <x v="10"/>
    <x v="2"/>
    <x v="4"/>
    <x v="4"/>
    <x v="1"/>
    <n v="28"/>
    <x v="10"/>
    <x v="0"/>
  </r>
  <r>
    <n v="37729"/>
    <x v="9"/>
    <x v="1"/>
    <x v="10"/>
    <x v="10"/>
    <x v="2"/>
    <x v="4"/>
    <x v="4"/>
    <x v="1"/>
    <n v="28"/>
    <x v="11"/>
    <x v="0"/>
  </r>
  <r>
    <n v="37730"/>
    <x v="9"/>
    <x v="1"/>
    <x v="11"/>
    <x v="11"/>
    <x v="2"/>
    <x v="4"/>
    <x v="4"/>
    <x v="1"/>
    <n v="28"/>
    <x v="12"/>
    <x v="0"/>
  </r>
  <r>
    <n v="37731"/>
    <x v="9"/>
    <x v="1"/>
    <x v="6"/>
    <x v="6"/>
    <x v="2"/>
    <x v="4"/>
    <x v="4"/>
    <x v="1"/>
    <n v="28"/>
    <x v="13"/>
    <x v="0"/>
  </r>
  <r>
    <n v="37732"/>
    <x v="9"/>
    <x v="13"/>
    <x v="0"/>
    <x v="0"/>
    <x v="3"/>
    <x v="4"/>
    <x v="4"/>
    <x v="1"/>
    <n v="28"/>
    <x v="14"/>
    <x v="0"/>
  </r>
  <r>
    <n v="37733"/>
    <x v="9"/>
    <x v="0"/>
    <x v="1"/>
    <x v="1"/>
    <x v="3"/>
    <x v="4"/>
    <x v="4"/>
    <x v="1"/>
    <n v="28"/>
    <x v="15"/>
    <x v="0"/>
  </r>
  <r>
    <n v="37734"/>
    <x v="10"/>
    <x v="0"/>
    <x v="0"/>
    <x v="0"/>
    <x v="0"/>
    <x v="4"/>
    <x v="4"/>
    <x v="1"/>
    <n v="29"/>
    <x v="0"/>
    <x v="0"/>
  </r>
  <r>
    <n v="37735"/>
    <x v="10"/>
    <x v="0"/>
    <x v="1"/>
    <x v="1"/>
    <x v="0"/>
    <x v="4"/>
    <x v="4"/>
    <x v="1"/>
    <n v="29"/>
    <x v="1"/>
    <x v="0"/>
  </r>
  <r>
    <n v="37736"/>
    <x v="10"/>
    <x v="1"/>
    <x v="2"/>
    <x v="2"/>
    <x v="1"/>
    <x v="4"/>
    <x v="4"/>
    <x v="1"/>
    <n v="29"/>
    <x v="2"/>
    <x v="0"/>
  </r>
  <r>
    <n v="37737"/>
    <x v="10"/>
    <x v="1"/>
    <x v="3"/>
    <x v="3"/>
    <x v="1"/>
    <x v="4"/>
    <x v="4"/>
    <x v="1"/>
    <n v="29"/>
    <x v="3"/>
    <x v="0"/>
  </r>
  <r>
    <n v="37738"/>
    <x v="10"/>
    <x v="1"/>
    <x v="4"/>
    <x v="4"/>
    <x v="1"/>
    <x v="4"/>
    <x v="4"/>
    <x v="1"/>
    <n v="29"/>
    <x v="4"/>
    <x v="0"/>
  </r>
  <r>
    <n v="37739"/>
    <x v="10"/>
    <x v="1"/>
    <x v="5"/>
    <x v="5"/>
    <x v="1"/>
    <x v="4"/>
    <x v="4"/>
    <x v="1"/>
    <n v="29"/>
    <x v="5"/>
    <x v="0"/>
  </r>
  <r>
    <n v="37740"/>
    <x v="10"/>
    <x v="1"/>
    <x v="6"/>
    <x v="6"/>
    <x v="1"/>
    <x v="4"/>
    <x v="4"/>
    <x v="1"/>
    <n v="29"/>
    <x v="6"/>
    <x v="0"/>
  </r>
  <r>
    <n v="37741"/>
    <x v="10"/>
    <x v="1"/>
    <x v="7"/>
    <x v="7"/>
    <x v="2"/>
    <x v="4"/>
    <x v="4"/>
    <x v="1"/>
    <n v="29"/>
    <x v="7"/>
    <x v="0"/>
  </r>
  <r>
    <n v="37742"/>
    <x v="10"/>
    <x v="1"/>
    <x v="8"/>
    <x v="8"/>
    <x v="2"/>
    <x v="4"/>
    <x v="4"/>
    <x v="1"/>
    <n v="29"/>
    <x v="8"/>
    <x v="0"/>
  </r>
  <r>
    <n v="37743"/>
    <x v="10"/>
    <x v="1"/>
    <x v="9"/>
    <x v="9"/>
    <x v="2"/>
    <x v="4"/>
    <x v="4"/>
    <x v="1"/>
    <n v="29"/>
    <x v="9"/>
    <x v="0"/>
  </r>
  <r>
    <n v="37744"/>
    <x v="10"/>
    <x v="1"/>
    <x v="5"/>
    <x v="10"/>
    <x v="2"/>
    <x v="4"/>
    <x v="4"/>
    <x v="1"/>
    <n v="29"/>
    <x v="10"/>
    <x v="0"/>
  </r>
  <r>
    <n v="37745"/>
    <x v="10"/>
    <x v="1"/>
    <x v="10"/>
    <x v="10"/>
    <x v="2"/>
    <x v="4"/>
    <x v="4"/>
    <x v="1"/>
    <n v="29"/>
    <x v="11"/>
    <x v="0"/>
  </r>
  <r>
    <n v="37746"/>
    <x v="10"/>
    <x v="1"/>
    <x v="11"/>
    <x v="11"/>
    <x v="2"/>
    <x v="4"/>
    <x v="4"/>
    <x v="1"/>
    <n v="29"/>
    <x v="12"/>
    <x v="0"/>
  </r>
  <r>
    <n v="37747"/>
    <x v="10"/>
    <x v="1"/>
    <x v="6"/>
    <x v="6"/>
    <x v="2"/>
    <x v="4"/>
    <x v="4"/>
    <x v="1"/>
    <n v="29"/>
    <x v="13"/>
    <x v="0"/>
  </r>
  <r>
    <n v="37748"/>
    <x v="10"/>
    <x v="0"/>
    <x v="0"/>
    <x v="0"/>
    <x v="3"/>
    <x v="4"/>
    <x v="4"/>
    <x v="1"/>
    <n v="29"/>
    <x v="14"/>
    <x v="0"/>
  </r>
  <r>
    <n v="37749"/>
    <x v="10"/>
    <x v="0"/>
    <x v="1"/>
    <x v="1"/>
    <x v="3"/>
    <x v="4"/>
    <x v="4"/>
    <x v="1"/>
    <n v="29"/>
    <x v="15"/>
    <x v="0"/>
  </r>
  <r>
    <n v="37750"/>
    <x v="11"/>
    <x v="0"/>
    <x v="0"/>
    <x v="0"/>
    <x v="0"/>
    <x v="4"/>
    <x v="4"/>
    <x v="1"/>
    <n v="30"/>
    <x v="0"/>
    <x v="0"/>
  </r>
  <r>
    <n v="37751"/>
    <x v="11"/>
    <x v="0"/>
    <x v="1"/>
    <x v="1"/>
    <x v="0"/>
    <x v="4"/>
    <x v="4"/>
    <x v="1"/>
    <n v="30"/>
    <x v="1"/>
    <x v="0"/>
  </r>
  <r>
    <n v="37752"/>
    <x v="11"/>
    <x v="1"/>
    <x v="2"/>
    <x v="2"/>
    <x v="1"/>
    <x v="4"/>
    <x v="4"/>
    <x v="1"/>
    <n v="30"/>
    <x v="2"/>
    <x v="0"/>
  </r>
  <r>
    <n v="37753"/>
    <x v="11"/>
    <x v="1"/>
    <x v="3"/>
    <x v="3"/>
    <x v="1"/>
    <x v="4"/>
    <x v="4"/>
    <x v="1"/>
    <n v="30"/>
    <x v="3"/>
    <x v="0"/>
  </r>
  <r>
    <n v="37754"/>
    <x v="11"/>
    <x v="1"/>
    <x v="4"/>
    <x v="4"/>
    <x v="1"/>
    <x v="4"/>
    <x v="4"/>
    <x v="1"/>
    <n v="30"/>
    <x v="4"/>
    <x v="0"/>
  </r>
  <r>
    <n v="37755"/>
    <x v="11"/>
    <x v="1"/>
    <x v="5"/>
    <x v="5"/>
    <x v="1"/>
    <x v="4"/>
    <x v="4"/>
    <x v="1"/>
    <n v="30"/>
    <x v="5"/>
    <x v="0"/>
  </r>
  <r>
    <n v="37756"/>
    <x v="11"/>
    <x v="1"/>
    <x v="6"/>
    <x v="6"/>
    <x v="1"/>
    <x v="4"/>
    <x v="4"/>
    <x v="1"/>
    <n v="30"/>
    <x v="6"/>
    <x v="0"/>
  </r>
  <r>
    <n v="37757"/>
    <x v="11"/>
    <x v="1"/>
    <x v="7"/>
    <x v="7"/>
    <x v="2"/>
    <x v="4"/>
    <x v="4"/>
    <x v="1"/>
    <n v="30"/>
    <x v="7"/>
    <x v="0"/>
  </r>
  <r>
    <n v="37758"/>
    <x v="11"/>
    <x v="1"/>
    <x v="8"/>
    <x v="8"/>
    <x v="2"/>
    <x v="4"/>
    <x v="4"/>
    <x v="1"/>
    <n v="30"/>
    <x v="8"/>
    <x v="0"/>
  </r>
  <r>
    <n v="37759"/>
    <x v="11"/>
    <x v="1"/>
    <x v="9"/>
    <x v="9"/>
    <x v="2"/>
    <x v="4"/>
    <x v="4"/>
    <x v="1"/>
    <n v="30"/>
    <x v="9"/>
    <x v="0"/>
  </r>
  <r>
    <n v="37760"/>
    <x v="11"/>
    <x v="1"/>
    <x v="5"/>
    <x v="10"/>
    <x v="2"/>
    <x v="4"/>
    <x v="4"/>
    <x v="1"/>
    <n v="30"/>
    <x v="10"/>
    <x v="0"/>
  </r>
  <r>
    <n v="37761"/>
    <x v="11"/>
    <x v="1"/>
    <x v="10"/>
    <x v="10"/>
    <x v="2"/>
    <x v="4"/>
    <x v="4"/>
    <x v="1"/>
    <n v="30"/>
    <x v="11"/>
    <x v="0"/>
  </r>
  <r>
    <n v="37762"/>
    <x v="11"/>
    <x v="1"/>
    <x v="11"/>
    <x v="11"/>
    <x v="2"/>
    <x v="4"/>
    <x v="4"/>
    <x v="1"/>
    <n v="30"/>
    <x v="12"/>
    <x v="0"/>
  </r>
  <r>
    <n v="37763"/>
    <x v="11"/>
    <x v="1"/>
    <x v="6"/>
    <x v="6"/>
    <x v="2"/>
    <x v="4"/>
    <x v="4"/>
    <x v="1"/>
    <n v="30"/>
    <x v="13"/>
    <x v="0"/>
  </r>
  <r>
    <n v="37764"/>
    <x v="11"/>
    <x v="0"/>
    <x v="0"/>
    <x v="0"/>
    <x v="3"/>
    <x v="4"/>
    <x v="4"/>
    <x v="1"/>
    <n v="30"/>
    <x v="14"/>
    <x v="0"/>
  </r>
  <r>
    <n v="37765"/>
    <x v="11"/>
    <x v="0"/>
    <x v="1"/>
    <x v="1"/>
    <x v="3"/>
    <x v="4"/>
    <x v="4"/>
    <x v="1"/>
    <n v="30"/>
    <x v="15"/>
    <x v="0"/>
  </r>
  <r>
    <n v="37766"/>
    <x v="12"/>
    <x v="0"/>
    <x v="0"/>
    <x v="0"/>
    <x v="0"/>
    <x v="4"/>
    <x v="4"/>
    <x v="1"/>
    <n v="31"/>
    <x v="0"/>
    <x v="0"/>
  </r>
  <r>
    <n v="37767"/>
    <x v="12"/>
    <x v="0"/>
    <x v="1"/>
    <x v="1"/>
    <x v="0"/>
    <x v="4"/>
    <x v="4"/>
    <x v="1"/>
    <n v="31"/>
    <x v="1"/>
    <x v="0"/>
  </r>
  <r>
    <n v="37768"/>
    <x v="12"/>
    <x v="1"/>
    <x v="2"/>
    <x v="2"/>
    <x v="1"/>
    <x v="4"/>
    <x v="4"/>
    <x v="1"/>
    <n v="31"/>
    <x v="2"/>
    <x v="0"/>
  </r>
  <r>
    <n v="37769"/>
    <x v="12"/>
    <x v="1"/>
    <x v="3"/>
    <x v="3"/>
    <x v="1"/>
    <x v="4"/>
    <x v="4"/>
    <x v="1"/>
    <n v="31"/>
    <x v="3"/>
    <x v="0"/>
  </r>
  <r>
    <n v="37770"/>
    <x v="12"/>
    <x v="1"/>
    <x v="4"/>
    <x v="4"/>
    <x v="1"/>
    <x v="4"/>
    <x v="4"/>
    <x v="1"/>
    <n v="31"/>
    <x v="4"/>
    <x v="0"/>
  </r>
  <r>
    <n v="37771"/>
    <x v="12"/>
    <x v="1"/>
    <x v="5"/>
    <x v="5"/>
    <x v="1"/>
    <x v="4"/>
    <x v="4"/>
    <x v="1"/>
    <n v="31"/>
    <x v="5"/>
    <x v="0"/>
  </r>
  <r>
    <n v="37772"/>
    <x v="12"/>
    <x v="1"/>
    <x v="6"/>
    <x v="6"/>
    <x v="1"/>
    <x v="4"/>
    <x v="4"/>
    <x v="1"/>
    <n v="31"/>
    <x v="6"/>
    <x v="0"/>
  </r>
  <r>
    <n v="37773"/>
    <x v="12"/>
    <x v="1"/>
    <x v="7"/>
    <x v="7"/>
    <x v="2"/>
    <x v="4"/>
    <x v="4"/>
    <x v="1"/>
    <n v="31"/>
    <x v="7"/>
    <x v="0"/>
  </r>
  <r>
    <n v="37774"/>
    <x v="12"/>
    <x v="1"/>
    <x v="8"/>
    <x v="8"/>
    <x v="2"/>
    <x v="4"/>
    <x v="4"/>
    <x v="1"/>
    <n v="31"/>
    <x v="8"/>
    <x v="0"/>
  </r>
  <r>
    <n v="37775"/>
    <x v="12"/>
    <x v="1"/>
    <x v="9"/>
    <x v="9"/>
    <x v="2"/>
    <x v="4"/>
    <x v="4"/>
    <x v="1"/>
    <n v="31"/>
    <x v="9"/>
    <x v="0"/>
  </r>
  <r>
    <n v="37776"/>
    <x v="12"/>
    <x v="1"/>
    <x v="5"/>
    <x v="10"/>
    <x v="2"/>
    <x v="4"/>
    <x v="4"/>
    <x v="1"/>
    <n v="31"/>
    <x v="10"/>
    <x v="0"/>
  </r>
  <r>
    <n v="37777"/>
    <x v="12"/>
    <x v="1"/>
    <x v="10"/>
    <x v="10"/>
    <x v="2"/>
    <x v="4"/>
    <x v="4"/>
    <x v="1"/>
    <n v="31"/>
    <x v="11"/>
    <x v="0"/>
  </r>
  <r>
    <n v="37778"/>
    <x v="12"/>
    <x v="1"/>
    <x v="11"/>
    <x v="11"/>
    <x v="2"/>
    <x v="4"/>
    <x v="4"/>
    <x v="1"/>
    <n v="31"/>
    <x v="12"/>
    <x v="0"/>
  </r>
  <r>
    <n v="37779"/>
    <x v="12"/>
    <x v="1"/>
    <x v="6"/>
    <x v="6"/>
    <x v="2"/>
    <x v="4"/>
    <x v="4"/>
    <x v="1"/>
    <n v="31"/>
    <x v="13"/>
    <x v="0"/>
  </r>
  <r>
    <n v="37780"/>
    <x v="12"/>
    <x v="0"/>
    <x v="0"/>
    <x v="0"/>
    <x v="3"/>
    <x v="4"/>
    <x v="4"/>
    <x v="1"/>
    <n v="31"/>
    <x v="14"/>
    <x v="0"/>
  </r>
  <r>
    <n v="37781"/>
    <x v="12"/>
    <x v="0"/>
    <x v="1"/>
    <x v="1"/>
    <x v="3"/>
    <x v="4"/>
    <x v="4"/>
    <x v="1"/>
    <n v="31"/>
    <x v="15"/>
    <x v="0"/>
  </r>
  <r>
    <n v="37782"/>
    <x v="13"/>
    <x v="0"/>
    <x v="0"/>
    <x v="0"/>
    <x v="0"/>
    <x v="4"/>
    <x v="4"/>
    <x v="1"/>
    <n v="32"/>
    <x v="0"/>
    <x v="0"/>
  </r>
  <r>
    <n v="37783"/>
    <x v="13"/>
    <x v="0"/>
    <x v="1"/>
    <x v="1"/>
    <x v="0"/>
    <x v="4"/>
    <x v="4"/>
    <x v="1"/>
    <n v="32"/>
    <x v="1"/>
    <x v="0"/>
  </r>
  <r>
    <n v="37784"/>
    <x v="13"/>
    <x v="1"/>
    <x v="2"/>
    <x v="2"/>
    <x v="1"/>
    <x v="4"/>
    <x v="4"/>
    <x v="1"/>
    <n v="32"/>
    <x v="2"/>
    <x v="0"/>
  </r>
  <r>
    <n v="37785"/>
    <x v="13"/>
    <x v="1"/>
    <x v="3"/>
    <x v="3"/>
    <x v="1"/>
    <x v="4"/>
    <x v="4"/>
    <x v="1"/>
    <n v="32"/>
    <x v="3"/>
    <x v="0"/>
  </r>
  <r>
    <n v="37786"/>
    <x v="13"/>
    <x v="1"/>
    <x v="4"/>
    <x v="4"/>
    <x v="1"/>
    <x v="4"/>
    <x v="4"/>
    <x v="1"/>
    <n v="32"/>
    <x v="4"/>
    <x v="0"/>
  </r>
  <r>
    <n v="37787"/>
    <x v="13"/>
    <x v="1"/>
    <x v="5"/>
    <x v="5"/>
    <x v="1"/>
    <x v="4"/>
    <x v="4"/>
    <x v="1"/>
    <n v="32"/>
    <x v="5"/>
    <x v="0"/>
  </r>
  <r>
    <n v="37788"/>
    <x v="13"/>
    <x v="1"/>
    <x v="6"/>
    <x v="6"/>
    <x v="1"/>
    <x v="4"/>
    <x v="4"/>
    <x v="1"/>
    <n v="32"/>
    <x v="6"/>
    <x v="0"/>
  </r>
  <r>
    <n v="37789"/>
    <x v="13"/>
    <x v="1"/>
    <x v="7"/>
    <x v="7"/>
    <x v="2"/>
    <x v="4"/>
    <x v="4"/>
    <x v="1"/>
    <n v="32"/>
    <x v="7"/>
    <x v="0"/>
  </r>
  <r>
    <n v="37790"/>
    <x v="13"/>
    <x v="1"/>
    <x v="8"/>
    <x v="8"/>
    <x v="2"/>
    <x v="4"/>
    <x v="4"/>
    <x v="1"/>
    <n v="32"/>
    <x v="8"/>
    <x v="0"/>
  </r>
  <r>
    <n v="37791"/>
    <x v="13"/>
    <x v="1"/>
    <x v="9"/>
    <x v="9"/>
    <x v="2"/>
    <x v="4"/>
    <x v="4"/>
    <x v="1"/>
    <n v="32"/>
    <x v="9"/>
    <x v="0"/>
  </r>
  <r>
    <n v="37792"/>
    <x v="13"/>
    <x v="1"/>
    <x v="5"/>
    <x v="10"/>
    <x v="2"/>
    <x v="4"/>
    <x v="4"/>
    <x v="1"/>
    <n v="32"/>
    <x v="10"/>
    <x v="0"/>
  </r>
  <r>
    <n v="37793"/>
    <x v="13"/>
    <x v="1"/>
    <x v="10"/>
    <x v="10"/>
    <x v="2"/>
    <x v="4"/>
    <x v="4"/>
    <x v="1"/>
    <n v="32"/>
    <x v="11"/>
    <x v="0"/>
  </r>
  <r>
    <n v="37794"/>
    <x v="13"/>
    <x v="1"/>
    <x v="11"/>
    <x v="11"/>
    <x v="2"/>
    <x v="4"/>
    <x v="4"/>
    <x v="1"/>
    <n v="32"/>
    <x v="12"/>
    <x v="0"/>
  </r>
  <r>
    <n v="37795"/>
    <x v="13"/>
    <x v="1"/>
    <x v="6"/>
    <x v="6"/>
    <x v="2"/>
    <x v="4"/>
    <x v="4"/>
    <x v="1"/>
    <n v="32"/>
    <x v="13"/>
    <x v="0"/>
  </r>
  <r>
    <n v="37796"/>
    <x v="13"/>
    <x v="14"/>
    <x v="0"/>
    <x v="0"/>
    <x v="3"/>
    <x v="4"/>
    <x v="4"/>
    <x v="1"/>
    <n v="32"/>
    <x v="14"/>
    <x v="0"/>
  </r>
  <r>
    <n v="37797"/>
    <x v="13"/>
    <x v="0"/>
    <x v="1"/>
    <x v="1"/>
    <x v="3"/>
    <x v="4"/>
    <x v="4"/>
    <x v="1"/>
    <n v="32"/>
    <x v="15"/>
    <x v="0"/>
  </r>
  <r>
    <n v="37798"/>
    <x v="14"/>
    <x v="0"/>
    <x v="0"/>
    <x v="0"/>
    <x v="0"/>
    <x v="4"/>
    <x v="4"/>
    <x v="1"/>
    <n v="33"/>
    <x v="0"/>
    <x v="0"/>
  </r>
  <r>
    <n v="37799"/>
    <x v="14"/>
    <x v="0"/>
    <x v="1"/>
    <x v="1"/>
    <x v="0"/>
    <x v="4"/>
    <x v="4"/>
    <x v="1"/>
    <n v="33"/>
    <x v="1"/>
    <x v="0"/>
  </r>
  <r>
    <n v="37800"/>
    <x v="14"/>
    <x v="1"/>
    <x v="2"/>
    <x v="2"/>
    <x v="1"/>
    <x v="4"/>
    <x v="4"/>
    <x v="1"/>
    <n v="33"/>
    <x v="2"/>
    <x v="0"/>
  </r>
  <r>
    <n v="37801"/>
    <x v="14"/>
    <x v="1"/>
    <x v="3"/>
    <x v="3"/>
    <x v="1"/>
    <x v="4"/>
    <x v="4"/>
    <x v="1"/>
    <n v="33"/>
    <x v="3"/>
    <x v="0"/>
  </r>
  <r>
    <n v="37802"/>
    <x v="14"/>
    <x v="1"/>
    <x v="4"/>
    <x v="4"/>
    <x v="1"/>
    <x v="4"/>
    <x v="4"/>
    <x v="1"/>
    <n v="33"/>
    <x v="4"/>
    <x v="0"/>
  </r>
  <r>
    <n v="37803"/>
    <x v="14"/>
    <x v="1"/>
    <x v="5"/>
    <x v="5"/>
    <x v="1"/>
    <x v="4"/>
    <x v="4"/>
    <x v="1"/>
    <n v="33"/>
    <x v="5"/>
    <x v="0"/>
  </r>
  <r>
    <n v="37804"/>
    <x v="14"/>
    <x v="1"/>
    <x v="6"/>
    <x v="6"/>
    <x v="1"/>
    <x v="4"/>
    <x v="4"/>
    <x v="1"/>
    <n v="33"/>
    <x v="6"/>
    <x v="0"/>
  </r>
  <r>
    <n v="37805"/>
    <x v="14"/>
    <x v="1"/>
    <x v="7"/>
    <x v="7"/>
    <x v="2"/>
    <x v="4"/>
    <x v="4"/>
    <x v="1"/>
    <n v="33"/>
    <x v="7"/>
    <x v="0"/>
  </r>
  <r>
    <n v="37806"/>
    <x v="14"/>
    <x v="1"/>
    <x v="8"/>
    <x v="8"/>
    <x v="2"/>
    <x v="4"/>
    <x v="4"/>
    <x v="1"/>
    <n v="33"/>
    <x v="8"/>
    <x v="0"/>
  </r>
  <r>
    <n v="37807"/>
    <x v="14"/>
    <x v="1"/>
    <x v="9"/>
    <x v="9"/>
    <x v="2"/>
    <x v="4"/>
    <x v="4"/>
    <x v="1"/>
    <n v="33"/>
    <x v="9"/>
    <x v="0"/>
  </r>
  <r>
    <n v="37808"/>
    <x v="14"/>
    <x v="1"/>
    <x v="5"/>
    <x v="10"/>
    <x v="2"/>
    <x v="4"/>
    <x v="4"/>
    <x v="1"/>
    <n v="33"/>
    <x v="10"/>
    <x v="0"/>
  </r>
  <r>
    <n v="37809"/>
    <x v="14"/>
    <x v="1"/>
    <x v="10"/>
    <x v="10"/>
    <x v="2"/>
    <x v="4"/>
    <x v="4"/>
    <x v="1"/>
    <n v="33"/>
    <x v="11"/>
    <x v="0"/>
  </r>
  <r>
    <n v="37810"/>
    <x v="14"/>
    <x v="1"/>
    <x v="11"/>
    <x v="11"/>
    <x v="2"/>
    <x v="4"/>
    <x v="4"/>
    <x v="1"/>
    <n v="33"/>
    <x v="12"/>
    <x v="0"/>
  </r>
  <r>
    <n v="37811"/>
    <x v="14"/>
    <x v="1"/>
    <x v="6"/>
    <x v="6"/>
    <x v="2"/>
    <x v="4"/>
    <x v="4"/>
    <x v="1"/>
    <n v="33"/>
    <x v="13"/>
    <x v="0"/>
  </r>
  <r>
    <n v="37812"/>
    <x v="14"/>
    <x v="12"/>
    <x v="0"/>
    <x v="0"/>
    <x v="3"/>
    <x v="4"/>
    <x v="4"/>
    <x v="1"/>
    <n v="33"/>
    <x v="14"/>
    <x v="0"/>
  </r>
  <r>
    <n v="37813"/>
    <x v="14"/>
    <x v="0"/>
    <x v="1"/>
    <x v="1"/>
    <x v="3"/>
    <x v="4"/>
    <x v="4"/>
    <x v="1"/>
    <n v="33"/>
    <x v="15"/>
    <x v="0"/>
  </r>
  <r>
    <n v="37814"/>
    <x v="15"/>
    <x v="0"/>
    <x v="0"/>
    <x v="0"/>
    <x v="0"/>
    <x v="4"/>
    <x v="4"/>
    <x v="1"/>
    <n v="34"/>
    <x v="0"/>
    <x v="0"/>
  </r>
  <r>
    <n v="37815"/>
    <x v="15"/>
    <x v="0"/>
    <x v="1"/>
    <x v="1"/>
    <x v="0"/>
    <x v="4"/>
    <x v="4"/>
    <x v="1"/>
    <n v="34"/>
    <x v="1"/>
    <x v="0"/>
  </r>
  <r>
    <n v="37816"/>
    <x v="15"/>
    <x v="1"/>
    <x v="2"/>
    <x v="2"/>
    <x v="1"/>
    <x v="4"/>
    <x v="4"/>
    <x v="1"/>
    <n v="34"/>
    <x v="2"/>
    <x v="0"/>
  </r>
  <r>
    <n v="37817"/>
    <x v="15"/>
    <x v="1"/>
    <x v="3"/>
    <x v="3"/>
    <x v="1"/>
    <x v="4"/>
    <x v="4"/>
    <x v="1"/>
    <n v="34"/>
    <x v="3"/>
    <x v="0"/>
  </r>
  <r>
    <n v="37818"/>
    <x v="15"/>
    <x v="1"/>
    <x v="4"/>
    <x v="4"/>
    <x v="1"/>
    <x v="4"/>
    <x v="4"/>
    <x v="1"/>
    <n v="34"/>
    <x v="4"/>
    <x v="0"/>
  </r>
  <r>
    <n v="37819"/>
    <x v="15"/>
    <x v="1"/>
    <x v="5"/>
    <x v="5"/>
    <x v="1"/>
    <x v="4"/>
    <x v="4"/>
    <x v="1"/>
    <n v="34"/>
    <x v="5"/>
    <x v="0"/>
  </r>
  <r>
    <n v="37820"/>
    <x v="15"/>
    <x v="1"/>
    <x v="6"/>
    <x v="6"/>
    <x v="1"/>
    <x v="4"/>
    <x v="4"/>
    <x v="1"/>
    <n v="34"/>
    <x v="6"/>
    <x v="0"/>
  </r>
  <r>
    <n v="37821"/>
    <x v="15"/>
    <x v="1"/>
    <x v="7"/>
    <x v="7"/>
    <x v="2"/>
    <x v="4"/>
    <x v="4"/>
    <x v="1"/>
    <n v="34"/>
    <x v="7"/>
    <x v="0"/>
  </r>
  <r>
    <n v="37822"/>
    <x v="15"/>
    <x v="1"/>
    <x v="8"/>
    <x v="8"/>
    <x v="2"/>
    <x v="4"/>
    <x v="4"/>
    <x v="1"/>
    <n v="34"/>
    <x v="8"/>
    <x v="0"/>
  </r>
  <r>
    <n v="37823"/>
    <x v="15"/>
    <x v="1"/>
    <x v="9"/>
    <x v="9"/>
    <x v="2"/>
    <x v="4"/>
    <x v="4"/>
    <x v="1"/>
    <n v="34"/>
    <x v="9"/>
    <x v="0"/>
  </r>
  <r>
    <n v="37824"/>
    <x v="15"/>
    <x v="1"/>
    <x v="5"/>
    <x v="10"/>
    <x v="2"/>
    <x v="4"/>
    <x v="4"/>
    <x v="1"/>
    <n v="34"/>
    <x v="10"/>
    <x v="0"/>
  </r>
  <r>
    <n v="37825"/>
    <x v="15"/>
    <x v="1"/>
    <x v="10"/>
    <x v="10"/>
    <x v="2"/>
    <x v="4"/>
    <x v="4"/>
    <x v="1"/>
    <n v="34"/>
    <x v="11"/>
    <x v="0"/>
  </r>
  <r>
    <n v="37826"/>
    <x v="15"/>
    <x v="1"/>
    <x v="11"/>
    <x v="11"/>
    <x v="2"/>
    <x v="4"/>
    <x v="4"/>
    <x v="1"/>
    <n v="34"/>
    <x v="12"/>
    <x v="0"/>
  </r>
  <r>
    <n v="37827"/>
    <x v="15"/>
    <x v="1"/>
    <x v="6"/>
    <x v="6"/>
    <x v="2"/>
    <x v="4"/>
    <x v="4"/>
    <x v="1"/>
    <n v="34"/>
    <x v="13"/>
    <x v="0"/>
  </r>
  <r>
    <n v="37828"/>
    <x v="15"/>
    <x v="15"/>
    <x v="0"/>
    <x v="0"/>
    <x v="3"/>
    <x v="4"/>
    <x v="4"/>
    <x v="1"/>
    <n v="34"/>
    <x v="14"/>
    <x v="0"/>
  </r>
  <r>
    <n v="37829"/>
    <x v="15"/>
    <x v="0"/>
    <x v="1"/>
    <x v="1"/>
    <x v="3"/>
    <x v="4"/>
    <x v="4"/>
    <x v="1"/>
    <n v="34"/>
    <x v="15"/>
    <x v="0"/>
  </r>
  <r>
    <n v="37830"/>
    <x v="16"/>
    <x v="0"/>
    <x v="0"/>
    <x v="0"/>
    <x v="0"/>
    <x v="5"/>
    <x v="4"/>
    <x v="1"/>
    <n v="35"/>
    <x v="0"/>
    <x v="0"/>
  </r>
  <r>
    <n v="37831"/>
    <x v="16"/>
    <x v="0"/>
    <x v="1"/>
    <x v="1"/>
    <x v="0"/>
    <x v="5"/>
    <x v="4"/>
    <x v="1"/>
    <n v="35"/>
    <x v="1"/>
    <x v="0"/>
  </r>
  <r>
    <n v="37832"/>
    <x v="16"/>
    <x v="1"/>
    <x v="2"/>
    <x v="2"/>
    <x v="1"/>
    <x v="5"/>
    <x v="4"/>
    <x v="1"/>
    <n v="35"/>
    <x v="2"/>
    <x v="0"/>
  </r>
  <r>
    <n v="37833"/>
    <x v="16"/>
    <x v="1"/>
    <x v="3"/>
    <x v="3"/>
    <x v="1"/>
    <x v="5"/>
    <x v="4"/>
    <x v="1"/>
    <n v="35"/>
    <x v="3"/>
    <x v="0"/>
  </r>
  <r>
    <n v="37834"/>
    <x v="16"/>
    <x v="1"/>
    <x v="4"/>
    <x v="4"/>
    <x v="1"/>
    <x v="5"/>
    <x v="4"/>
    <x v="1"/>
    <n v="35"/>
    <x v="4"/>
    <x v="0"/>
  </r>
  <r>
    <n v="37835"/>
    <x v="16"/>
    <x v="1"/>
    <x v="5"/>
    <x v="5"/>
    <x v="1"/>
    <x v="5"/>
    <x v="4"/>
    <x v="1"/>
    <n v="35"/>
    <x v="5"/>
    <x v="0"/>
  </r>
  <r>
    <n v="37836"/>
    <x v="16"/>
    <x v="1"/>
    <x v="6"/>
    <x v="6"/>
    <x v="1"/>
    <x v="5"/>
    <x v="4"/>
    <x v="1"/>
    <n v="35"/>
    <x v="6"/>
    <x v="0"/>
  </r>
  <r>
    <n v="37837"/>
    <x v="16"/>
    <x v="1"/>
    <x v="7"/>
    <x v="7"/>
    <x v="2"/>
    <x v="5"/>
    <x v="4"/>
    <x v="1"/>
    <n v="35"/>
    <x v="7"/>
    <x v="0"/>
  </r>
  <r>
    <n v="37838"/>
    <x v="16"/>
    <x v="1"/>
    <x v="8"/>
    <x v="8"/>
    <x v="2"/>
    <x v="5"/>
    <x v="4"/>
    <x v="1"/>
    <n v="35"/>
    <x v="8"/>
    <x v="0"/>
  </r>
  <r>
    <n v="37839"/>
    <x v="16"/>
    <x v="1"/>
    <x v="9"/>
    <x v="9"/>
    <x v="2"/>
    <x v="5"/>
    <x v="4"/>
    <x v="1"/>
    <n v="35"/>
    <x v="9"/>
    <x v="0"/>
  </r>
  <r>
    <n v="37840"/>
    <x v="16"/>
    <x v="1"/>
    <x v="5"/>
    <x v="10"/>
    <x v="2"/>
    <x v="5"/>
    <x v="4"/>
    <x v="1"/>
    <n v="35"/>
    <x v="10"/>
    <x v="0"/>
  </r>
  <r>
    <n v="37841"/>
    <x v="16"/>
    <x v="1"/>
    <x v="10"/>
    <x v="10"/>
    <x v="2"/>
    <x v="5"/>
    <x v="4"/>
    <x v="1"/>
    <n v="35"/>
    <x v="11"/>
    <x v="0"/>
  </r>
  <r>
    <n v="37842"/>
    <x v="16"/>
    <x v="1"/>
    <x v="11"/>
    <x v="11"/>
    <x v="2"/>
    <x v="5"/>
    <x v="4"/>
    <x v="1"/>
    <n v="35"/>
    <x v="12"/>
    <x v="0"/>
  </r>
  <r>
    <n v="37843"/>
    <x v="16"/>
    <x v="1"/>
    <x v="6"/>
    <x v="6"/>
    <x v="2"/>
    <x v="5"/>
    <x v="4"/>
    <x v="1"/>
    <n v="35"/>
    <x v="13"/>
    <x v="0"/>
  </r>
  <r>
    <n v="37844"/>
    <x v="16"/>
    <x v="7"/>
    <x v="0"/>
    <x v="0"/>
    <x v="3"/>
    <x v="5"/>
    <x v="4"/>
    <x v="1"/>
    <n v="35"/>
    <x v="14"/>
    <x v="0"/>
  </r>
  <r>
    <n v="37845"/>
    <x v="16"/>
    <x v="0"/>
    <x v="1"/>
    <x v="1"/>
    <x v="3"/>
    <x v="5"/>
    <x v="4"/>
    <x v="1"/>
    <n v="35"/>
    <x v="15"/>
    <x v="0"/>
  </r>
  <r>
    <n v="37846"/>
    <x v="17"/>
    <x v="0"/>
    <x v="0"/>
    <x v="0"/>
    <x v="0"/>
    <x v="5"/>
    <x v="4"/>
    <x v="1"/>
    <n v="39"/>
    <x v="0"/>
    <x v="0"/>
  </r>
  <r>
    <n v="37847"/>
    <x v="17"/>
    <x v="0"/>
    <x v="1"/>
    <x v="1"/>
    <x v="0"/>
    <x v="5"/>
    <x v="4"/>
    <x v="1"/>
    <n v="39"/>
    <x v="1"/>
    <x v="0"/>
  </r>
  <r>
    <n v="37848"/>
    <x v="17"/>
    <x v="1"/>
    <x v="2"/>
    <x v="2"/>
    <x v="1"/>
    <x v="5"/>
    <x v="4"/>
    <x v="1"/>
    <n v="39"/>
    <x v="2"/>
    <x v="0"/>
  </r>
  <r>
    <n v="37849"/>
    <x v="17"/>
    <x v="1"/>
    <x v="3"/>
    <x v="3"/>
    <x v="1"/>
    <x v="5"/>
    <x v="4"/>
    <x v="1"/>
    <n v="39"/>
    <x v="3"/>
    <x v="0"/>
  </r>
  <r>
    <n v="37850"/>
    <x v="17"/>
    <x v="1"/>
    <x v="4"/>
    <x v="4"/>
    <x v="1"/>
    <x v="5"/>
    <x v="4"/>
    <x v="1"/>
    <n v="39"/>
    <x v="4"/>
    <x v="0"/>
  </r>
  <r>
    <n v="37851"/>
    <x v="17"/>
    <x v="1"/>
    <x v="5"/>
    <x v="5"/>
    <x v="1"/>
    <x v="5"/>
    <x v="4"/>
    <x v="1"/>
    <n v="39"/>
    <x v="5"/>
    <x v="0"/>
  </r>
  <r>
    <n v="37852"/>
    <x v="17"/>
    <x v="1"/>
    <x v="6"/>
    <x v="6"/>
    <x v="1"/>
    <x v="5"/>
    <x v="4"/>
    <x v="1"/>
    <n v="39"/>
    <x v="6"/>
    <x v="0"/>
  </r>
  <r>
    <n v="37853"/>
    <x v="17"/>
    <x v="1"/>
    <x v="7"/>
    <x v="7"/>
    <x v="2"/>
    <x v="5"/>
    <x v="4"/>
    <x v="1"/>
    <n v="39"/>
    <x v="7"/>
    <x v="0"/>
  </r>
  <r>
    <n v="37854"/>
    <x v="17"/>
    <x v="1"/>
    <x v="8"/>
    <x v="8"/>
    <x v="2"/>
    <x v="5"/>
    <x v="4"/>
    <x v="1"/>
    <n v="39"/>
    <x v="8"/>
    <x v="0"/>
  </r>
  <r>
    <n v="37855"/>
    <x v="17"/>
    <x v="1"/>
    <x v="9"/>
    <x v="9"/>
    <x v="2"/>
    <x v="5"/>
    <x v="4"/>
    <x v="1"/>
    <n v="39"/>
    <x v="9"/>
    <x v="0"/>
  </r>
  <r>
    <n v="37856"/>
    <x v="17"/>
    <x v="1"/>
    <x v="5"/>
    <x v="10"/>
    <x v="2"/>
    <x v="5"/>
    <x v="4"/>
    <x v="1"/>
    <n v="39"/>
    <x v="10"/>
    <x v="0"/>
  </r>
  <r>
    <n v="37857"/>
    <x v="17"/>
    <x v="1"/>
    <x v="10"/>
    <x v="10"/>
    <x v="2"/>
    <x v="5"/>
    <x v="4"/>
    <x v="1"/>
    <n v="39"/>
    <x v="11"/>
    <x v="0"/>
  </r>
  <r>
    <n v="37858"/>
    <x v="17"/>
    <x v="1"/>
    <x v="11"/>
    <x v="11"/>
    <x v="2"/>
    <x v="5"/>
    <x v="4"/>
    <x v="1"/>
    <n v="39"/>
    <x v="12"/>
    <x v="0"/>
  </r>
  <r>
    <n v="37859"/>
    <x v="17"/>
    <x v="1"/>
    <x v="6"/>
    <x v="6"/>
    <x v="2"/>
    <x v="5"/>
    <x v="4"/>
    <x v="1"/>
    <n v="39"/>
    <x v="13"/>
    <x v="0"/>
  </r>
  <r>
    <n v="37860"/>
    <x v="17"/>
    <x v="0"/>
    <x v="0"/>
    <x v="0"/>
    <x v="3"/>
    <x v="5"/>
    <x v="4"/>
    <x v="1"/>
    <n v="39"/>
    <x v="14"/>
    <x v="0"/>
  </r>
  <r>
    <n v="37861"/>
    <x v="17"/>
    <x v="0"/>
    <x v="1"/>
    <x v="1"/>
    <x v="3"/>
    <x v="5"/>
    <x v="4"/>
    <x v="1"/>
    <n v="39"/>
    <x v="15"/>
    <x v="0"/>
  </r>
  <r>
    <n v="37862"/>
    <x v="18"/>
    <x v="0"/>
    <x v="0"/>
    <x v="0"/>
    <x v="0"/>
    <x v="5"/>
    <x v="4"/>
    <x v="1"/>
    <n v="40"/>
    <x v="0"/>
    <x v="0"/>
  </r>
  <r>
    <n v="37863"/>
    <x v="18"/>
    <x v="0"/>
    <x v="1"/>
    <x v="1"/>
    <x v="0"/>
    <x v="5"/>
    <x v="4"/>
    <x v="1"/>
    <n v="40"/>
    <x v="1"/>
    <x v="0"/>
  </r>
  <r>
    <n v="37864"/>
    <x v="18"/>
    <x v="1"/>
    <x v="2"/>
    <x v="2"/>
    <x v="1"/>
    <x v="5"/>
    <x v="4"/>
    <x v="1"/>
    <n v="40"/>
    <x v="2"/>
    <x v="0"/>
  </r>
  <r>
    <n v="37865"/>
    <x v="18"/>
    <x v="1"/>
    <x v="3"/>
    <x v="3"/>
    <x v="1"/>
    <x v="5"/>
    <x v="4"/>
    <x v="1"/>
    <n v="40"/>
    <x v="3"/>
    <x v="0"/>
  </r>
  <r>
    <n v="37866"/>
    <x v="18"/>
    <x v="1"/>
    <x v="4"/>
    <x v="4"/>
    <x v="1"/>
    <x v="5"/>
    <x v="4"/>
    <x v="1"/>
    <n v="40"/>
    <x v="4"/>
    <x v="0"/>
  </r>
  <r>
    <n v="37867"/>
    <x v="18"/>
    <x v="1"/>
    <x v="5"/>
    <x v="5"/>
    <x v="1"/>
    <x v="5"/>
    <x v="4"/>
    <x v="1"/>
    <n v="40"/>
    <x v="5"/>
    <x v="0"/>
  </r>
  <r>
    <n v="37868"/>
    <x v="18"/>
    <x v="1"/>
    <x v="6"/>
    <x v="6"/>
    <x v="1"/>
    <x v="5"/>
    <x v="4"/>
    <x v="1"/>
    <n v="40"/>
    <x v="6"/>
    <x v="0"/>
  </r>
  <r>
    <n v="37869"/>
    <x v="18"/>
    <x v="1"/>
    <x v="7"/>
    <x v="7"/>
    <x v="2"/>
    <x v="5"/>
    <x v="4"/>
    <x v="1"/>
    <n v="40"/>
    <x v="7"/>
    <x v="0"/>
  </r>
  <r>
    <n v="37870"/>
    <x v="18"/>
    <x v="1"/>
    <x v="8"/>
    <x v="8"/>
    <x v="2"/>
    <x v="5"/>
    <x v="4"/>
    <x v="1"/>
    <n v="40"/>
    <x v="8"/>
    <x v="0"/>
  </r>
  <r>
    <n v="37871"/>
    <x v="18"/>
    <x v="1"/>
    <x v="9"/>
    <x v="9"/>
    <x v="2"/>
    <x v="5"/>
    <x v="4"/>
    <x v="1"/>
    <n v="40"/>
    <x v="9"/>
    <x v="0"/>
  </r>
  <r>
    <n v="37872"/>
    <x v="18"/>
    <x v="1"/>
    <x v="5"/>
    <x v="10"/>
    <x v="2"/>
    <x v="5"/>
    <x v="4"/>
    <x v="1"/>
    <n v="40"/>
    <x v="10"/>
    <x v="0"/>
  </r>
  <r>
    <n v="37873"/>
    <x v="18"/>
    <x v="1"/>
    <x v="10"/>
    <x v="10"/>
    <x v="2"/>
    <x v="5"/>
    <x v="4"/>
    <x v="1"/>
    <n v="40"/>
    <x v="11"/>
    <x v="0"/>
  </r>
  <r>
    <n v="37874"/>
    <x v="18"/>
    <x v="1"/>
    <x v="11"/>
    <x v="11"/>
    <x v="2"/>
    <x v="5"/>
    <x v="4"/>
    <x v="1"/>
    <n v="40"/>
    <x v="12"/>
    <x v="0"/>
  </r>
  <r>
    <n v="37875"/>
    <x v="18"/>
    <x v="1"/>
    <x v="6"/>
    <x v="6"/>
    <x v="2"/>
    <x v="5"/>
    <x v="4"/>
    <x v="1"/>
    <n v="40"/>
    <x v="13"/>
    <x v="0"/>
  </r>
  <r>
    <n v="37876"/>
    <x v="18"/>
    <x v="0"/>
    <x v="0"/>
    <x v="0"/>
    <x v="3"/>
    <x v="5"/>
    <x v="4"/>
    <x v="1"/>
    <n v="40"/>
    <x v="14"/>
    <x v="0"/>
  </r>
  <r>
    <n v="37877"/>
    <x v="18"/>
    <x v="0"/>
    <x v="1"/>
    <x v="1"/>
    <x v="3"/>
    <x v="5"/>
    <x v="4"/>
    <x v="1"/>
    <n v="40"/>
    <x v="15"/>
    <x v="0"/>
  </r>
  <r>
    <n v="37878"/>
    <x v="19"/>
    <x v="0"/>
    <x v="0"/>
    <x v="0"/>
    <x v="0"/>
    <x v="5"/>
    <x v="4"/>
    <x v="1"/>
    <n v="41"/>
    <x v="0"/>
    <x v="0"/>
  </r>
  <r>
    <n v="37879"/>
    <x v="19"/>
    <x v="0"/>
    <x v="1"/>
    <x v="1"/>
    <x v="0"/>
    <x v="5"/>
    <x v="4"/>
    <x v="1"/>
    <n v="41"/>
    <x v="1"/>
    <x v="0"/>
  </r>
  <r>
    <n v="37880"/>
    <x v="19"/>
    <x v="1"/>
    <x v="2"/>
    <x v="2"/>
    <x v="1"/>
    <x v="5"/>
    <x v="4"/>
    <x v="1"/>
    <n v="41"/>
    <x v="2"/>
    <x v="0"/>
  </r>
  <r>
    <n v="37881"/>
    <x v="19"/>
    <x v="1"/>
    <x v="3"/>
    <x v="3"/>
    <x v="1"/>
    <x v="5"/>
    <x v="4"/>
    <x v="1"/>
    <n v="41"/>
    <x v="3"/>
    <x v="0"/>
  </r>
  <r>
    <n v="37882"/>
    <x v="19"/>
    <x v="1"/>
    <x v="4"/>
    <x v="4"/>
    <x v="1"/>
    <x v="5"/>
    <x v="4"/>
    <x v="1"/>
    <n v="41"/>
    <x v="4"/>
    <x v="0"/>
  </r>
  <r>
    <n v="37883"/>
    <x v="19"/>
    <x v="1"/>
    <x v="5"/>
    <x v="5"/>
    <x v="1"/>
    <x v="5"/>
    <x v="4"/>
    <x v="1"/>
    <n v="41"/>
    <x v="5"/>
    <x v="0"/>
  </r>
  <r>
    <n v="37884"/>
    <x v="19"/>
    <x v="1"/>
    <x v="6"/>
    <x v="6"/>
    <x v="1"/>
    <x v="5"/>
    <x v="4"/>
    <x v="1"/>
    <n v="41"/>
    <x v="6"/>
    <x v="0"/>
  </r>
  <r>
    <n v="37885"/>
    <x v="19"/>
    <x v="1"/>
    <x v="7"/>
    <x v="7"/>
    <x v="2"/>
    <x v="5"/>
    <x v="4"/>
    <x v="1"/>
    <n v="41"/>
    <x v="7"/>
    <x v="0"/>
  </r>
  <r>
    <n v="37886"/>
    <x v="19"/>
    <x v="1"/>
    <x v="8"/>
    <x v="8"/>
    <x v="2"/>
    <x v="5"/>
    <x v="4"/>
    <x v="1"/>
    <n v="41"/>
    <x v="8"/>
    <x v="0"/>
  </r>
  <r>
    <n v="37887"/>
    <x v="19"/>
    <x v="1"/>
    <x v="9"/>
    <x v="9"/>
    <x v="2"/>
    <x v="5"/>
    <x v="4"/>
    <x v="1"/>
    <n v="41"/>
    <x v="9"/>
    <x v="0"/>
  </r>
  <r>
    <n v="37888"/>
    <x v="19"/>
    <x v="1"/>
    <x v="5"/>
    <x v="10"/>
    <x v="2"/>
    <x v="5"/>
    <x v="4"/>
    <x v="1"/>
    <n v="41"/>
    <x v="10"/>
    <x v="0"/>
  </r>
  <r>
    <n v="37889"/>
    <x v="19"/>
    <x v="1"/>
    <x v="10"/>
    <x v="10"/>
    <x v="2"/>
    <x v="5"/>
    <x v="4"/>
    <x v="1"/>
    <n v="41"/>
    <x v="11"/>
    <x v="0"/>
  </r>
  <r>
    <n v="37890"/>
    <x v="19"/>
    <x v="1"/>
    <x v="11"/>
    <x v="11"/>
    <x v="2"/>
    <x v="5"/>
    <x v="4"/>
    <x v="1"/>
    <n v="41"/>
    <x v="12"/>
    <x v="0"/>
  </r>
  <r>
    <n v="37891"/>
    <x v="19"/>
    <x v="1"/>
    <x v="6"/>
    <x v="6"/>
    <x v="2"/>
    <x v="5"/>
    <x v="4"/>
    <x v="1"/>
    <n v="41"/>
    <x v="13"/>
    <x v="0"/>
  </r>
  <r>
    <n v="37892"/>
    <x v="19"/>
    <x v="0"/>
    <x v="0"/>
    <x v="0"/>
    <x v="3"/>
    <x v="5"/>
    <x v="4"/>
    <x v="1"/>
    <n v="41"/>
    <x v="14"/>
    <x v="0"/>
  </r>
  <r>
    <n v="37893"/>
    <x v="19"/>
    <x v="0"/>
    <x v="1"/>
    <x v="1"/>
    <x v="3"/>
    <x v="5"/>
    <x v="4"/>
    <x v="1"/>
    <n v="41"/>
    <x v="15"/>
    <x v="0"/>
  </r>
  <r>
    <n v="37894"/>
    <x v="20"/>
    <x v="0"/>
    <x v="0"/>
    <x v="0"/>
    <x v="0"/>
    <x v="5"/>
    <x v="4"/>
    <x v="1"/>
    <n v="42"/>
    <x v="0"/>
    <x v="0"/>
  </r>
  <r>
    <n v="37895"/>
    <x v="20"/>
    <x v="0"/>
    <x v="1"/>
    <x v="1"/>
    <x v="0"/>
    <x v="5"/>
    <x v="4"/>
    <x v="1"/>
    <n v="42"/>
    <x v="1"/>
    <x v="0"/>
  </r>
  <r>
    <n v="37896"/>
    <x v="20"/>
    <x v="1"/>
    <x v="2"/>
    <x v="2"/>
    <x v="1"/>
    <x v="5"/>
    <x v="4"/>
    <x v="1"/>
    <n v="42"/>
    <x v="2"/>
    <x v="0"/>
  </r>
  <r>
    <n v="37897"/>
    <x v="20"/>
    <x v="1"/>
    <x v="3"/>
    <x v="3"/>
    <x v="1"/>
    <x v="5"/>
    <x v="4"/>
    <x v="1"/>
    <n v="42"/>
    <x v="3"/>
    <x v="0"/>
  </r>
  <r>
    <n v="37898"/>
    <x v="20"/>
    <x v="1"/>
    <x v="4"/>
    <x v="4"/>
    <x v="1"/>
    <x v="5"/>
    <x v="4"/>
    <x v="1"/>
    <n v="42"/>
    <x v="4"/>
    <x v="0"/>
  </r>
  <r>
    <n v="37899"/>
    <x v="20"/>
    <x v="1"/>
    <x v="5"/>
    <x v="5"/>
    <x v="1"/>
    <x v="5"/>
    <x v="4"/>
    <x v="1"/>
    <n v="42"/>
    <x v="5"/>
    <x v="0"/>
  </r>
  <r>
    <n v="37900"/>
    <x v="20"/>
    <x v="1"/>
    <x v="6"/>
    <x v="6"/>
    <x v="1"/>
    <x v="5"/>
    <x v="4"/>
    <x v="1"/>
    <n v="42"/>
    <x v="6"/>
    <x v="0"/>
  </r>
  <r>
    <n v="37901"/>
    <x v="20"/>
    <x v="1"/>
    <x v="7"/>
    <x v="7"/>
    <x v="2"/>
    <x v="5"/>
    <x v="4"/>
    <x v="1"/>
    <n v="42"/>
    <x v="7"/>
    <x v="0"/>
  </r>
  <r>
    <n v="37902"/>
    <x v="20"/>
    <x v="1"/>
    <x v="8"/>
    <x v="8"/>
    <x v="2"/>
    <x v="5"/>
    <x v="4"/>
    <x v="1"/>
    <n v="42"/>
    <x v="8"/>
    <x v="0"/>
  </r>
  <r>
    <n v="37903"/>
    <x v="20"/>
    <x v="1"/>
    <x v="9"/>
    <x v="9"/>
    <x v="2"/>
    <x v="5"/>
    <x v="4"/>
    <x v="1"/>
    <n v="42"/>
    <x v="9"/>
    <x v="0"/>
  </r>
  <r>
    <n v="37904"/>
    <x v="20"/>
    <x v="1"/>
    <x v="5"/>
    <x v="10"/>
    <x v="2"/>
    <x v="5"/>
    <x v="4"/>
    <x v="1"/>
    <n v="42"/>
    <x v="10"/>
    <x v="0"/>
  </r>
  <r>
    <n v="37905"/>
    <x v="20"/>
    <x v="1"/>
    <x v="10"/>
    <x v="10"/>
    <x v="2"/>
    <x v="5"/>
    <x v="4"/>
    <x v="1"/>
    <n v="42"/>
    <x v="11"/>
    <x v="0"/>
  </r>
  <r>
    <n v="37906"/>
    <x v="20"/>
    <x v="1"/>
    <x v="11"/>
    <x v="11"/>
    <x v="2"/>
    <x v="5"/>
    <x v="4"/>
    <x v="1"/>
    <n v="42"/>
    <x v="12"/>
    <x v="0"/>
  </r>
  <r>
    <n v="37907"/>
    <x v="20"/>
    <x v="1"/>
    <x v="6"/>
    <x v="6"/>
    <x v="2"/>
    <x v="5"/>
    <x v="4"/>
    <x v="1"/>
    <n v="42"/>
    <x v="13"/>
    <x v="0"/>
  </r>
  <r>
    <n v="37908"/>
    <x v="20"/>
    <x v="0"/>
    <x v="0"/>
    <x v="0"/>
    <x v="3"/>
    <x v="5"/>
    <x v="4"/>
    <x v="1"/>
    <n v="42"/>
    <x v="14"/>
    <x v="0"/>
  </r>
  <r>
    <n v="37909"/>
    <x v="20"/>
    <x v="0"/>
    <x v="1"/>
    <x v="1"/>
    <x v="3"/>
    <x v="5"/>
    <x v="4"/>
    <x v="1"/>
    <n v="42"/>
    <x v="15"/>
    <x v="0"/>
  </r>
  <r>
    <n v="37910"/>
    <x v="21"/>
    <x v="0"/>
    <x v="0"/>
    <x v="0"/>
    <x v="0"/>
    <x v="6"/>
    <x v="4"/>
    <x v="1"/>
    <n v="43"/>
    <x v="0"/>
    <x v="0"/>
  </r>
  <r>
    <n v="37911"/>
    <x v="21"/>
    <x v="0"/>
    <x v="1"/>
    <x v="1"/>
    <x v="0"/>
    <x v="6"/>
    <x v="4"/>
    <x v="1"/>
    <n v="43"/>
    <x v="1"/>
    <x v="0"/>
  </r>
  <r>
    <n v="37912"/>
    <x v="21"/>
    <x v="1"/>
    <x v="2"/>
    <x v="2"/>
    <x v="1"/>
    <x v="6"/>
    <x v="4"/>
    <x v="1"/>
    <n v="43"/>
    <x v="2"/>
    <x v="0"/>
  </r>
  <r>
    <n v="37913"/>
    <x v="21"/>
    <x v="1"/>
    <x v="3"/>
    <x v="3"/>
    <x v="1"/>
    <x v="6"/>
    <x v="4"/>
    <x v="1"/>
    <n v="43"/>
    <x v="3"/>
    <x v="0"/>
  </r>
  <r>
    <n v="37914"/>
    <x v="21"/>
    <x v="1"/>
    <x v="4"/>
    <x v="4"/>
    <x v="1"/>
    <x v="6"/>
    <x v="4"/>
    <x v="1"/>
    <n v="43"/>
    <x v="4"/>
    <x v="0"/>
  </r>
  <r>
    <n v="37915"/>
    <x v="21"/>
    <x v="1"/>
    <x v="5"/>
    <x v="5"/>
    <x v="1"/>
    <x v="6"/>
    <x v="4"/>
    <x v="1"/>
    <n v="43"/>
    <x v="5"/>
    <x v="0"/>
  </r>
  <r>
    <n v="37916"/>
    <x v="21"/>
    <x v="1"/>
    <x v="6"/>
    <x v="6"/>
    <x v="1"/>
    <x v="6"/>
    <x v="4"/>
    <x v="1"/>
    <n v="43"/>
    <x v="6"/>
    <x v="0"/>
  </r>
  <r>
    <n v="37917"/>
    <x v="21"/>
    <x v="1"/>
    <x v="7"/>
    <x v="7"/>
    <x v="2"/>
    <x v="6"/>
    <x v="4"/>
    <x v="1"/>
    <n v="43"/>
    <x v="7"/>
    <x v="0"/>
  </r>
  <r>
    <n v="37918"/>
    <x v="21"/>
    <x v="1"/>
    <x v="8"/>
    <x v="8"/>
    <x v="2"/>
    <x v="6"/>
    <x v="4"/>
    <x v="1"/>
    <n v="43"/>
    <x v="8"/>
    <x v="0"/>
  </r>
  <r>
    <n v="37919"/>
    <x v="21"/>
    <x v="1"/>
    <x v="9"/>
    <x v="9"/>
    <x v="2"/>
    <x v="6"/>
    <x v="4"/>
    <x v="1"/>
    <n v="43"/>
    <x v="9"/>
    <x v="0"/>
  </r>
  <r>
    <n v="37920"/>
    <x v="21"/>
    <x v="1"/>
    <x v="5"/>
    <x v="10"/>
    <x v="2"/>
    <x v="6"/>
    <x v="4"/>
    <x v="1"/>
    <n v="43"/>
    <x v="10"/>
    <x v="0"/>
  </r>
  <r>
    <n v="37921"/>
    <x v="21"/>
    <x v="1"/>
    <x v="10"/>
    <x v="10"/>
    <x v="2"/>
    <x v="6"/>
    <x v="4"/>
    <x v="1"/>
    <n v="43"/>
    <x v="11"/>
    <x v="0"/>
  </r>
  <r>
    <n v="37922"/>
    <x v="21"/>
    <x v="1"/>
    <x v="11"/>
    <x v="11"/>
    <x v="2"/>
    <x v="6"/>
    <x v="4"/>
    <x v="1"/>
    <n v="43"/>
    <x v="12"/>
    <x v="0"/>
  </r>
  <r>
    <n v="37923"/>
    <x v="21"/>
    <x v="1"/>
    <x v="6"/>
    <x v="6"/>
    <x v="2"/>
    <x v="6"/>
    <x v="4"/>
    <x v="1"/>
    <n v="43"/>
    <x v="13"/>
    <x v="0"/>
  </r>
  <r>
    <n v="37924"/>
    <x v="21"/>
    <x v="0"/>
    <x v="0"/>
    <x v="0"/>
    <x v="3"/>
    <x v="6"/>
    <x v="4"/>
    <x v="1"/>
    <n v="43"/>
    <x v="14"/>
    <x v="0"/>
  </r>
  <r>
    <n v="37925"/>
    <x v="21"/>
    <x v="0"/>
    <x v="1"/>
    <x v="1"/>
    <x v="3"/>
    <x v="6"/>
    <x v="4"/>
    <x v="1"/>
    <n v="43"/>
    <x v="15"/>
    <x v="0"/>
  </r>
  <r>
    <n v="37926"/>
    <x v="22"/>
    <x v="0"/>
    <x v="0"/>
    <x v="0"/>
    <x v="0"/>
    <x v="6"/>
    <x v="4"/>
    <x v="1"/>
    <n v="44"/>
    <x v="0"/>
    <x v="0"/>
  </r>
  <r>
    <n v="37927"/>
    <x v="22"/>
    <x v="0"/>
    <x v="1"/>
    <x v="1"/>
    <x v="0"/>
    <x v="6"/>
    <x v="4"/>
    <x v="1"/>
    <n v="44"/>
    <x v="1"/>
    <x v="0"/>
  </r>
  <r>
    <n v="37928"/>
    <x v="22"/>
    <x v="1"/>
    <x v="2"/>
    <x v="2"/>
    <x v="1"/>
    <x v="6"/>
    <x v="4"/>
    <x v="1"/>
    <n v="44"/>
    <x v="2"/>
    <x v="0"/>
  </r>
  <r>
    <n v="37929"/>
    <x v="22"/>
    <x v="1"/>
    <x v="3"/>
    <x v="3"/>
    <x v="1"/>
    <x v="6"/>
    <x v="4"/>
    <x v="1"/>
    <n v="44"/>
    <x v="3"/>
    <x v="0"/>
  </r>
  <r>
    <n v="37930"/>
    <x v="22"/>
    <x v="1"/>
    <x v="4"/>
    <x v="4"/>
    <x v="1"/>
    <x v="6"/>
    <x v="4"/>
    <x v="1"/>
    <n v="44"/>
    <x v="4"/>
    <x v="0"/>
  </r>
  <r>
    <n v="37931"/>
    <x v="22"/>
    <x v="1"/>
    <x v="5"/>
    <x v="5"/>
    <x v="1"/>
    <x v="6"/>
    <x v="4"/>
    <x v="1"/>
    <n v="44"/>
    <x v="5"/>
    <x v="0"/>
  </r>
  <r>
    <n v="37932"/>
    <x v="22"/>
    <x v="1"/>
    <x v="6"/>
    <x v="6"/>
    <x v="1"/>
    <x v="6"/>
    <x v="4"/>
    <x v="1"/>
    <n v="44"/>
    <x v="6"/>
    <x v="0"/>
  </r>
  <r>
    <n v="37933"/>
    <x v="22"/>
    <x v="1"/>
    <x v="7"/>
    <x v="7"/>
    <x v="2"/>
    <x v="6"/>
    <x v="4"/>
    <x v="1"/>
    <n v="44"/>
    <x v="7"/>
    <x v="0"/>
  </r>
  <r>
    <n v="37934"/>
    <x v="22"/>
    <x v="1"/>
    <x v="8"/>
    <x v="8"/>
    <x v="2"/>
    <x v="6"/>
    <x v="4"/>
    <x v="1"/>
    <n v="44"/>
    <x v="8"/>
    <x v="0"/>
  </r>
  <r>
    <n v="37935"/>
    <x v="22"/>
    <x v="1"/>
    <x v="9"/>
    <x v="9"/>
    <x v="2"/>
    <x v="6"/>
    <x v="4"/>
    <x v="1"/>
    <n v="44"/>
    <x v="9"/>
    <x v="0"/>
  </r>
  <r>
    <n v="37936"/>
    <x v="22"/>
    <x v="1"/>
    <x v="5"/>
    <x v="10"/>
    <x v="2"/>
    <x v="6"/>
    <x v="4"/>
    <x v="1"/>
    <n v="44"/>
    <x v="10"/>
    <x v="0"/>
  </r>
  <r>
    <n v="37937"/>
    <x v="22"/>
    <x v="1"/>
    <x v="10"/>
    <x v="10"/>
    <x v="2"/>
    <x v="6"/>
    <x v="4"/>
    <x v="1"/>
    <n v="44"/>
    <x v="11"/>
    <x v="0"/>
  </r>
  <r>
    <n v="37938"/>
    <x v="22"/>
    <x v="1"/>
    <x v="11"/>
    <x v="11"/>
    <x v="2"/>
    <x v="6"/>
    <x v="4"/>
    <x v="1"/>
    <n v="44"/>
    <x v="12"/>
    <x v="0"/>
  </r>
  <r>
    <n v="37939"/>
    <x v="22"/>
    <x v="1"/>
    <x v="6"/>
    <x v="6"/>
    <x v="2"/>
    <x v="6"/>
    <x v="4"/>
    <x v="1"/>
    <n v="44"/>
    <x v="13"/>
    <x v="0"/>
  </r>
  <r>
    <n v="37940"/>
    <x v="22"/>
    <x v="0"/>
    <x v="0"/>
    <x v="0"/>
    <x v="3"/>
    <x v="6"/>
    <x v="4"/>
    <x v="1"/>
    <n v="44"/>
    <x v="14"/>
    <x v="0"/>
  </r>
  <r>
    <n v="37941"/>
    <x v="22"/>
    <x v="0"/>
    <x v="1"/>
    <x v="1"/>
    <x v="3"/>
    <x v="6"/>
    <x v="4"/>
    <x v="1"/>
    <n v="44"/>
    <x v="15"/>
    <x v="0"/>
  </r>
  <r>
    <n v="37942"/>
    <x v="23"/>
    <x v="0"/>
    <x v="0"/>
    <x v="0"/>
    <x v="0"/>
    <x v="7"/>
    <x v="4"/>
    <x v="1"/>
    <n v="45"/>
    <x v="0"/>
    <x v="0"/>
  </r>
  <r>
    <n v="37943"/>
    <x v="23"/>
    <x v="0"/>
    <x v="1"/>
    <x v="1"/>
    <x v="0"/>
    <x v="7"/>
    <x v="4"/>
    <x v="1"/>
    <n v="45"/>
    <x v="1"/>
    <x v="0"/>
  </r>
  <r>
    <n v="37944"/>
    <x v="23"/>
    <x v="1"/>
    <x v="2"/>
    <x v="2"/>
    <x v="1"/>
    <x v="7"/>
    <x v="4"/>
    <x v="1"/>
    <n v="45"/>
    <x v="2"/>
    <x v="0"/>
  </r>
  <r>
    <n v="37945"/>
    <x v="23"/>
    <x v="1"/>
    <x v="3"/>
    <x v="3"/>
    <x v="1"/>
    <x v="7"/>
    <x v="4"/>
    <x v="1"/>
    <n v="45"/>
    <x v="3"/>
    <x v="0"/>
  </r>
  <r>
    <n v="37946"/>
    <x v="23"/>
    <x v="1"/>
    <x v="4"/>
    <x v="4"/>
    <x v="1"/>
    <x v="7"/>
    <x v="4"/>
    <x v="1"/>
    <n v="45"/>
    <x v="4"/>
    <x v="0"/>
  </r>
  <r>
    <n v="37947"/>
    <x v="23"/>
    <x v="1"/>
    <x v="5"/>
    <x v="5"/>
    <x v="1"/>
    <x v="7"/>
    <x v="4"/>
    <x v="1"/>
    <n v="45"/>
    <x v="5"/>
    <x v="0"/>
  </r>
  <r>
    <n v="37948"/>
    <x v="23"/>
    <x v="1"/>
    <x v="6"/>
    <x v="6"/>
    <x v="1"/>
    <x v="7"/>
    <x v="4"/>
    <x v="1"/>
    <n v="45"/>
    <x v="6"/>
    <x v="0"/>
  </r>
  <r>
    <n v="37949"/>
    <x v="23"/>
    <x v="1"/>
    <x v="7"/>
    <x v="7"/>
    <x v="2"/>
    <x v="7"/>
    <x v="4"/>
    <x v="1"/>
    <n v="45"/>
    <x v="7"/>
    <x v="0"/>
  </r>
  <r>
    <n v="37950"/>
    <x v="23"/>
    <x v="1"/>
    <x v="8"/>
    <x v="8"/>
    <x v="2"/>
    <x v="7"/>
    <x v="4"/>
    <x v="1"/>
    <n v="45"/>
    <x v="8"/>
    <x v="0"/>
  </r>
  <r>
    <n v="37951"/>
    <x v="23"/>
    <x v="1"/>
    <x v="9"/>
    <x v="9"/>
    <x v="2"/>
    <x v="7"/>
    <x v="4"/>
    <x v="1"/>
    <n v="45"/>
    <x v="9"/>
    <x v="0"/>
  </r>
  <r>
    <n v="37952"/>
    <x v="23"/>
    <x v="1"/>
    <x v="5"/>
    <x v="10"/>
    <x v="2"/>
    <x v="7"/>
    <x v="4"/>
    <x v="1"/>
    <n v="45"/>
    <x v="10"/>
    <x v="0"/>
  </r>
  <r>
    <n v="37953"/>
    <x v="23"/>
    <x v="1"/>
    <x v="10"/>
    <x v="10"/>
    <x v="2"/>
    <x v="7"/>
    <x v="4"/>
    <x v="1"/>
    <n v="45"/>
    <x v="11"/>
    <x v="0"/>
  </r>
  <r>
    <n v="37954"/>
    <x v="23"/>
    <x v="1"/>
    <x v="11"/>
    <x v="11"/>
    <x v="2"/>
    <x v="7"/>
    <x v="4"/>
    <x v="1"/>
    <n v="45"/>
    <x v="12"/>
    <x v="0"/>
  </r>
  <r>
    <n v="37955"/>
    <x v="23"/>
    <x v="1"/>
    <x v="6"/>
    <x v="6"/>
    <x v="2"/>
    <x v="7"/>
    <x v="4"/>
    <x v="1"/>
    <n v="45"/>
    <x v="13"/>
    <x v="0"/>
  </r>
  <r>
    <n v="37956"/>
    <x v="23"/>
    <x v="0"/>
    <x v="0"/>
    <x v="0"/>
    <x v="3"/>
    <x v="7"/>
    <x v="4"/>
    <x v="1"/>
    <n v="45"/>
    <x v="14"/>
    <x v="0"/>
  </r>
  <r>
    <n v="37957"/>
    <x v="23"/>
    <x v="0"/>
    <x v="1"/>
    <x v="1"/>
    <x v="3"/>
    <x v="7"/>
    <x v="4"/>
    <x v="1"/>
    <n v="45"/>
    <x v="15"/>
    <x v="0"/>
  </r>
  <r>
    <n v="37958"/>
    <x v="24"/>
    <x v="0"/>
    <x v="0"/>
    <x v="0"/>
    <x v="0"/>
    <x v="7"/>
    <x v="4"/>
    <x v="1"/>
    <n v="46"/>
    <x v="0"/>
    <x v="0"/>
  </r>
  <r>
    <n v="37959"/>
    <x v="24"/>
    <x v="0"/>
    <x v="1"/>
    <x v="1"/>
    <x v="0"/>
    <x v="7"/>
    <x v="4"/>
    <x v="1"/>
    <n v="46"/>
    <x v="1"/>
    <x v="0"/>
  </r>
  <r>
    <n v="37960"/>
    <x v="24"/>
    <x v="1"/>
    <x v="2"/>
    <x v="2"/>
    <x v="1"/>
    <x v="7"/>
    <x v="4"/>
    <x v="1"/>
    <n v="46"/>
    <x v="2"/>
    <x v="0"/>
  </r>
  <r>
    <n v="37961"/>
    <x v="24"/>
    <x v="1"/>
    <x v="3"/>
    <x v="3"/>
    <x v="1"/>
    <x v="7"/>
    <x v="4"/>
    <x v="1"/>
    <n v="46"/>
    <x v="3"/>
    <x v="0"/>
  </r>
  <r>
    <n v="37962"/>
    <x v="24"/>
    <x v="1"/>
    <x v="4"/>
    <x v="4"/>
    <x v="1"/>
    <x v="7"/>
    <x v="4"/>
    <x v="1"/>
    <n v="46"/>
    <x v="4"/>
    <x v="0"/>
  </r>
  <r>
    <n v="37963"/>
    <x v="24"/>
    <x v="1"/>
    <x v="5"/>
    <x v="5"/>
    <x v="1"/>
    <x v="7"/>
    <x v="4"/>
    <x v="1"/>
    <n v="46"/>
    <x v="5"/>
    <x v="0"/>
  </r>
  <r>
    <n v="37964"/>
    <x v="24"/>
    <x v="1"/>
    <x v="6"/>
    <x v="6"/>
    <x v="1"/>
    <x v="7"/>
    <x v="4"/>
    <x v="1"/>
    <n v="46"/>
    <x v="6"/>
    <x v="0"/>
  </r>
  <r>
    <n v="37965"/>
    <x v="24"/>
    <x v="1"/>
    <x v="7"/>
    <x v="7"/>
    <x v="2"/>
    <x v="7"/>
    <x v="4"/>
    <x v="1"/>
    <n v="46"/>
    <x v="7"/>
    <x v="0"/>
  </r>
  <r>
    <n v="37966"/>
    <x v="24"/>
    <x v="1"/>
    <x v="8"/>
    <x v="8"/>
    <x v="2"/>
    <x v="7"/>
    <x v="4"/>
    <x v="1"/>
    <n v="46"/>
    <x v="8"/>
    <x v="0"/>
  </r>
  <r>
    <n v="37967"/>
    <x v="24"/>
    <x v="1"/>
    <x v="9"/>
    <x v="9"/>
    <x v="2"/>
    <x v="7"/>
    <x v="4"/>
    <x v="1"/>
    <n v="46"/>
    <x v="9"/>
    <x v="0"/>
  </r>
  <r>
    <n v="37968"/>
    <x v="24"/>
    <x v="1"/>
    <x v="5"/>
    <x v="10"/>
    <x v="2"/>
    <x v="7"/>
    <x v="4"/>
    <x v="1"/>
    <n v="46"/>
    <x v="10"/>
    <x v="0"/>
  </r>
  <r>
    <n v="37969"/>
    <x v="24"/>
    <x v="1"/>
    <x v="10"/>
    <x v="10"/>
    <x v="2"/>
    <x v="7"/>
    <x v="4"/>
    <x v="1"/>
    <n v="46"/>
    <x v="11"/>
    <x v="0"/>
  </r>
  <r>
    <n v="37970"/>
    <x v="24"/>
    <x v="1"/>
    <x v="11"/>
    <x v="11"/>
    <x v="2"/>
    <x v="7"/>
    <x v="4"/>
    <x v="1"/>
    <n v="46"/>
    <x v="12"/>
    <x v="0"/>
  </r>
  <r>
    <n v="37971"/>
    <x v="24"/>
    <x v="1"/>
    <x v="6"/>
    <x v="6"/>
    <x v="2"/>
    <x v="7"/>
    <x v="4"/>
    <x v="1"/>
    <n v="46"/>
    <x v="13"/>
    <x v="0"/>
  </r>
  <r>
    <n v="37972"/>
    <x v="24"/>
    <x v="0"/>
    <x v="0"/>
    <x v="0"/>
    <x v="3"/>
    <x v="7"/>
    <x v="4"/>
    <x v="1"/>
    <n v="46"/>
    <x v="14"/>
    <x v="0"/>
  </r>
  <r>
    <n v="37973"/>
    <x v="24"/>
    <x v="0"/>
    <x v="1"/>
    <x v="1"/>
    <x v="3"/>
    <x v="7"/>
    <x v="4"/>
    <x v="1"/>
    <n v="46"/>
    <x v="15"/>
    <x v="0"/>
  </r>
  <r>
    <n v="37974"/>
    <x v="25"/>
    <x v="0"/>
    <x v="0"/>
    <x v="0"/>
    <x v="0"/>
    <x v="7"/>
    <x v="4"/>
    <x v="1"/>
    <n v="47"/>
    <x v="0"/>
    <x v="0"/>
  </r>
  <r>
    <n v="37975"/>
    <x v="25"/>
    <x v="0"/>
    <x v="1"/>
    <x v="1"/>
    <x v="0"/>
    <x v="7"/>
    <x v="4"/>
    <x v="1"/>
    <n v="47"/>
    <x v="1"/>
    <x v="0"/>
  </r>
  <r>
    <n v="37976"/>
    <x v="25"/>
    <x v="1"/>
    <x v="2"/>
    <x v="2"/>
    <x v="1"/>
    <x v="7"/>
    <x v="4"/>
    <x v="1"/>
    <n v="47"/>
    <x v="2"/>
    <x v="0"/>
  </r>
  <r>
    <n v="37977"/>
    <x v="25"/>
    <x v="1"/>
    <x v="3"/>
    <x v="3"/>
    <x v="1"/>
    <x v="7"/>
    <x v="4"/>
    <x v="1"/>
    <n v="47"/>
    <x v="3"/>
    <x v="0"/>
  </r>
  <r>
    <n v="37978"/>
    <x v="25"/>
    <x v="1"/>
    <x v="4"/>
    <x v="4"/>
    <x v="1"/>
    <x v="7"/>
    <x v="4"/>
    <x v="1"/>
    <n v="47"/>
    <x v="4"/>
    <x v="0"/>
  </r>
  <r>
    <n v="37979"/>
    <x v="25"/>
    <x v="1"/>
    <x v="5"/>
    <x v="5"/>
    <x v="1"/>
    <x v="7"/>
    <x v="4"/>
    <x v="1"/>
    <n v="47"/>
    <x v="5"/>
    <x v="0"/>
  </r>
  <r>
    <n v="37980"/>
    <x v="25"/>
    <x v="1"/>
    <x v="6"/>
    <x v="6"/>
    <x v="1"/>
    <x v="7"/>
    <x v="4"/>
    <x v="1"/>
    <n v="47"/>
    <x v="6"/>
    <x v="0"/>
  </r>
  <r>
    <n v="37981"/>
    <x v="25"/>
    <x v="1"/>
    <x v="7"/>
    <x v="7"/>
    <x v="2"/>
    <x v="7"/>
    <x v="4"/>
    <x v="1"/>
    <n v="47"/>
    <x v="7"/>
    <x v="0"/>
  </r>
  <r>
    <n v="37982"/>
    <x v="25"/>
    <x v="1"/>
    <x v="8"/>
    <x v="8"/>
    <x v="2"/>
    <x v="7"/>
    <x v="4"/>
    <x v="1"/>
    <n v="47"/>
    <x v="8"/>
    <x v="0"/>
  </r>
  <r>
    <n v="37983"/>
    <x v="25"/>
    <x v="1"/>
    <x v="9"/>
    <x v="9"/>
    <x v="2"/>
    <x v="7"/>
    <x v="4"/>
    <x v="1"/>
    <n v="47"/>
    <x v="9"/>
    <x v="0"/>
  </r>
  <r>
    <n v="37984"/>
    <x v="25"/>
    <x v="1"/>
    <x v="5"/>
    <x v="10"/>
    <x v="2"/>
    <x v="7"/>
    <x v="4"/>
    <x v="1"/>
    <n v="47"/>
    <x v="10"/>
    <x v="0"/>
  </r>
  <r>
    <n v="37985"/>
    <x v="25"/>
    <x v="1"/>
    <x v="10"/>
    <x v="10"/>
    <x v="2"/>
    <x v="7"/>
    <x v="4"/>
    <x v="1"/>
    <n v="47"/>
    <x v="11"/>
    <x v="0"/>
  </r>
  <r>
    <n v="37986"/>
    <x v="25"/>
    <x v="1"/>
    <x v="11"/>
    <x v="11"/>
    <x v="2"/>
    <x v="7"/>
    <x v="4"/>
    <x v="1"/>
    <n v="47"/>
    <x v="12"/>
    <x v="0"/>
  </r>
  <r>
    <n v="37987"/>
    <x v="25"/>
    <x v="1"/>
    <x v="6"/>
    <x v="6"/>
    <x v="2"/>
    <x v="7"/>
    <x v="4"/>
    <x v="1"/>
    <n v="47"/>
    <x v="13"/>
    <x v="0"/>
  </r>
  <r>
    <n v="37988"/>
    <x v="25"/>
    <x v="0"/>
    <x v="0"/>
    <x v="0"/>
    <x v="3"/>
    <x v="7"/>
    <x v="4"/>
    <x v="1"/>
    <n v="47"/>
    <x v="14"/>
    <x v="0"/>
  </r>
  <r>
    <n v="37989"/>
    <x v="25"/>
    <x v="0"/>
    <x v="1"/>
    <x v="1"/>
    <x v="3"/>
    <x v="7"/>
    <x v="4"/>
    <x v="1"/>
    <n v="47"/>
    <x v="15"/>
    <x v="0"/>
  </r>
  <r>
    <n v="37990"/>
    <x v="26"/>
    <x v="0"/>
    <x v="0"/>
    <x v="0"/>
    <x v="0"/>
    <x v="7"/>
    <x v="4"/>
    <x v="1"/>
    <n v="48"/>
    <x v="0"/>
    <x v="0"/>
  </r>
  <r>
    <n v="37991"/>
    <x v="26"/>
    <x v="0"/>
    <x v="1"/>
    <x v="1"/>
    <x v="0"/>
    <x v="7"/>
    <x v="4"/>
    <x v="1"/>
    <n v="48"/>
    <x v="1"/>
    <x v="0"/>
  </r>
  <r>
    <n v="37992"/>
    <x v="26"/>
    <x v="1"/>
    <x v="2"/>
    <x v="2"/>
    <x v="1"/>
    <x v="7"/>
    <x v="4"/>
    <x v="1"/>
    <n v="48"/>
    <x v="2"/>
    <x v="0"/>
  </r>
  <r>
    <n v="37993"/>
    <x v="26"/>
    <x v="1"/>
    <x v="3"/>
    <x v="3"/>
    <x v="1"/>
    <x v="7"/>
    <x v="4"/>
    <x v="1"/>
    <n v="48"/>
    <x v="3"/>
    <x v="0"/>
  </r>
  <r>
    <n v="37994"/>
    <x v="26"/>
    <x v="1"/>
    <x v="4"/>
    <x v="4"/>
    <x v="1"/>
    <x v="7"/>
    <x v="4"/>
    <x v="1"/>
    <n v="48"/>
    <x v="4"/>
    <x v="0"/>
  </r>
  <r>
    <n v="37995"/>
    <x v="26"/>
    <x v="1"/>
    <x v="5"/>
    <x v="5"/>
    <x v="1"/>
    <x v="7"/>
    <x v="4"/>
    <x v="1"/>
    <n v="48"/>
    <x v="5"/>
    <x v="0"/>
  </r>
  <r>
    <n v="37996"/>
    <x v="26"/>
    <x v="1"/>
    <x v="6"/>
    <x v="6"/>
    <x v="1"/>
    <x v="7"/>
    <x v="4"/>
    <x v="1"/>
    <n v="48"/>
    <x v="6"/>
    <x v="0"/>
  </r>
  <r>
    <n v="37997"/>
    <x v="26"/>
    <x v="1"/>
    <x v="7"/>
    <x v="7"/>
    <x v="2"/>
    <x v="7"/>
    <x v="4"/>
    <x v="1"/>
    <n v="48"/>
    <x v="7"/>
    <x v="0"/>
  </r>
  <r>
    <n v="37998"/>
    <x v="26"/>
    <x v="1"/>
    <x v="8"/>
    <x v="8"/>
    <x v="2"/>
    <x v="7"/>
    <x v="4"/>
    <x v="1"/>
    <n v="48"/>
    <x v="8"/>
    <x v="0"/>
  </r>
  <r>
    <n v="37999"/>
    <x v="26"/>
    <x v="1"/>
    <x v="9"/>
    <x v="9"/>
    <x v="2"/>
    <x v="7"/>
    <x v="4"/>
    <x v="1"/>
    <n v="48"/>
    <x v="9"/>
    <x v="0"/>
  </r>
  <r>
    <n v="38000"/>
    <x v="26"/>
    <x v="1"/>
    <x v="5"/>
    <x v="10"/>
    <x v="2"/>
    <x v="7"/>
    <x v="4"/>
    <x v="1"/>
    <n v="48"/>
    <x v="10"/>
    <x v="0"/>
  </r>
  <r>
    <n v="38001"/>
    <x v="26"/>
    <x v="1"/>
    <x v="10"/>
    <x v="10"/>
    <x v="2"/>
    <x v="7"/>
    <x v="4"/>
    <x v="1"/>
    <n v="48"/>
    <x v="11"/>
    <x v="0"/>
  </r>
  <r>
    <n v="38002"/>
    <x v="26"/>
    <x v="1"/>
    <x v="11"/>
    <x v="11"/>
    <x v="2"/>
    <x v="7"/>
    <x v="4"/>
    <x v="1"/>
    <n v="48"/>
    <x v="12"/>
    <x v="0"/>
  </r>
  <r>
    <n v="38003"/>
    <x v="26"/>
    <x v="1"/>
    <x v="6"/>
    <x v="6"/>
    <x v="2"/>
    <x v="7"/>
    <x v="4"/>
    <x v="1"/>
    <n v="48"/>
    <x v="13"/>
    <x v="0"/>
  </r>
  <r>
    <n v="38004"/>
    <x v="26"/>
    <x v="0"/>
    <x v="0"/>
    <x v="0"/>
    <x v="3"/>
    <x v="7"/>
    <x v="4"/>
    <x v="1"/>
    <n v="48"/>
    <x v="14"/>
    <x v="0"/>
  </r>
  <r>
    <n v="38005"/>
    <x v="26"/>
    <x v="0"/>
    <x v="1"/>
    <x v="1"/>
    <x v="3"/>
    <x v="7"/>
    <x v="4"/>
    <x v="1"/>
    <n v="48"/>
    <x v="15"/>
    <x v="0"/>
  </r>
  <r>
    <n v="38006"/>
    <x v="27"/>
    <x v="0"/>
    <x v="0"/>
    <x v="0"/>
    <x v="0"/>
    <x v="7"/>
    <x v="4"/>
    <x v="1"/>
    <n v="49"/>
    <x v="0"/>
    <x v="0"/>
  </r>
  <r>
    <n v="38007"/>
    <x v="27"/>
    <x v="0"/>
    <x v="1"/>
    <x v="1"/>
    <x v="0"/>
    <x v="7"/>
    <x v="4"/>
    <x v="1"/>
    <n v="49"/>
    <x v="1"/>
    <x v="0"/>
  </r>
  <r>
    <n v="38008"/>
    <x v="27"/>
    <x v="1"/>
    <x v="2"/>
    <x v="2"/>
    <x v="1"/>
    <x v="7"/>
    <x v="4"/>
    <x v="1"/>
    <n v="49"/>
    <x v="2"/>
    <x v="0"/>
  </r>
  <r>
    <n v="38009"/>
    <x v="27"/>
    <x v="1"/>
    <x v="3"/>
    <x v="3"/>
    <x v="1"/>
    <x v="7"/>
    <x v="4"/>
    <x v="1"/>
    <n v="49"/>
    <x v="3"/>
    <x v="0"/>
  </r>
  <r>
    <n v="38010"/>
    <x v="27"/>
    <x v="1"/>
    <x v="4"/>
    <x v="4"/>
    <x v="1"/>
    <x v="7"/>
    <x v="4"/>
    <x v="1"/>
    <n v="49"/>
    <x v="4"/>
    <x v="0"/>
  </r>
  <r>
    <n v="38011"/>
    <x v="27"/>
    <x v="1"/>
    <x v="5"/>
    <x v="5"/>
    <x v="1"/>
    <x v="7"/>
    <x v="4"/>
    <x v="1"/>
    <n v="49"/>
    <x v="5"/>
    <x v="0"/>
  </r>
  <r>
    <n v="38012"/>
    <x v="27"/>
    <x v="1"/>
    <x v="6"/>
    <x v="6"/>
    <x v="1"/>
    <x v="7"/>
    <x v="4"/>
    <x v="1"/>
    <n v="49"/>
    <x v="6"/>
    <x v="0"/>
  </r>
  <r>
    <n v="38013"/>
    <x v="27"/>
    <x v="1"/>
    <x v="7"/>
    <x v="7"/>
    <x v="2"/>
    <x v="7"/>
    <x v="4"/>
    <x v="1"/>
    <n v="49"/>
    <x v="7"/>
    <x v="0"/>
  </r>
  <r>
    <n v="38014"/>
    <x v="27"/>
    <x v="1"/>
    <x v="8"/>
    <x v="8"/>
    <x v="2"/>
    <x v="7"/>
    <x v="4"/>
    <x v="1"/>
    <n v="49"/>
    <x v="8"/>
    <x v="0"/>
  </r>
  <r>
    <n v="38015"/>
    <x v="27"/>
    <x v="1"/>
    <x v="9"/>
    <x v="9"/>
    <x v="2"/>
    <x v="7"/>
    <x v="4"/>
    <x v="1"/>
    <n v="49"/>
    <x v="9"/>
    <x v="0"/>
  </r>
  <r>
    <n v="38016"/>
    <x v="27"/>
    <x v="1"/>
    <x v="5"/>
    <x v="10"/>
    <x v="2"/>
    <x v="7"/>
    <x v="4"/>
    <x v="1"/>
    <n v="49"/>
    <x v="10"/>
    <x v="0"/>
  </r>
  <r>
    <n v="38017"/>
    <x v="27"/>
    <x v="1"/>
    <x v="10"/>
    <x v="10"/>
    <x v="2"/>
    <x v="7"/>
    <x v="4"/>
    <x v="1"/>
    <n v="49"/>
    <x v="11"/>
    <x v="0"/>
  </r>
  <r>
    <n v="38018"/>
    <x v="27"/>
    <x v="1"/>
    <x v="11"/>
    <x v="11"/>
    <x v="2"/>
    <x v="7"/>
    <x v="4"/>
    <x v="1"/>
    <n v="49"/>
    <x v="12"/>
    <x v="0"/>
  </r>
  <r>
    <n v="38019"/>
    <x v="27"/>
    <x v="1"/>
    <x v="6"/>
    <x v="6"/>
    <x v="2"/>
    <x v="7"/>
    <x v="4"/>
    <x v="1"/>
    <n v="49"/>
    <x v="13"/>
    <x v="0"/>
  </r>
  <r>
    <n v="38020"/>
    <x v="27"/>
    <x v="0"/>
    <x v="0"/>
    <x v="0"/>
    <x v="3"/>
    <x v="7"/>
    <x v="4"/>
    <x v="1"/>
    <n v="49"/>
    <x v="14"/>
    <x v="0"/>
  </r>
  <r>
    <n v="38021"/>
    <x v="27"/>
    <x v="0"/>
    <x v="1"/>
    <x v="1"/>
    <x v="3"/>
    <x v="7"/>
    <x v="4"/>
    <x v="1"/>
    <n v="49"/>
    <x v="15"/>
    <x v="0"/>
  </r>
  <r>
    <n v="38022"/>
    <x v="28"/>
    <x v="0"/>
    <x v="0"/>
    <x v="0"/>
    <x v="0"/>
    <x v="7"/>
    <x v="4"/>
    <x v="1"/>
    <n v="50"/>
    <x v="0"/>
    <x v="0"/>
  </r>
  <r>
    <n v="38023"/>
    <x v="28"/>
    <x v="0"/>
    <x v="1"/>
    <x v="1"/>
    <x v="0"/>
    <x v="7"/>
    <x v="4"/>
    <x v="1"/>
    <n v="50"/>
    <x v="1"/>
    <x v="0"/>
  </r>
  <r>
    <n v="38024"/>
    <x v="28"/>
    <x v="1"/>
    <x v="2"/>
    <x v="2"/>
    <x v="1"/>
    <x v="7"/>
    <x v="4"/>
    <x v="1"/>
    <n v="50"/>
    <x v="2"/>
    <x v="0"/>
  </r>
  <r>
    <n v="38025"/>
    <x v="28"/>
    <x v="1"/>
    <x v="3"/>
    <x v="3"/>
    <x v="1"/>
    <x v="7"/>
    <x v="4"/>
    <x v="1"/>
    <n v="50"/>
    <x v="3"/>
    <x v="0"/>
  </r>
  <r>
    <n v="38026"/>
    <x v="28"/>
    <x v="1"/>
    <x v="4"/>
    <x v="4"/>
    <x v="1"/>
    <x v="7"/>
    <x v="4"/>
    <x v="1"/>
    <n v="50"/>
    <x v="4"/>
    <x v="0"/>
  </r>
  <r>
    <n v="38027"/>
    <x v="28"/>
    <x v="1"/>
    <x v="5"/>
    <x v="5"/>
    <x v="1"/>
    <x v="7"/>
    <x v="4"/>
    <x v="1"/>
    <n v="50"/>
    <x v="5"/>
    <x v="0"/>
  </r>
  <r>
    <n v="38028"/>
    <x v="28"/>
    <x v="1"/>
    <x v="6"/>
    <x v="6"/>
    <x v="1"/>
    <x v="7"/>
    <x v="4"/>
    <x v="1"/>
    <n v="50"/>
    <x v="6"/>
    <x v="0"/>
  </r>
  <r>
    <n v="38029"/>
    <x v="28"/>
    <x v="1"/>
    <x v="7"/>
    <x v="7"/>
    <x v="2"/>
    <x v="7"/>
    <x v="4"/>
    <x v="1"/>
    <n v="50"/>
    <x v="7"/>
    <x v="0"/>
  </r>
  <r>
    <n v="38030"/>
    <x v="28"/>
    <x v="1"/>
    <x v="8"/>
    <x v="8"/>
    <x v="2"/>
    <x v="7"/>
    <x v="4"/>
    <x v="1"/>
    <n v="50"/>
    <x v="8"/>
    <x v="0"/>
  </r>
  <r>
    <n v="38031"/>
    <x v="28"/>
    <x v="1"/>
    <x v="9"/>
    <x v="9"/>
    <x v="2"/>
    <x v="7"/>
    <x v="4"/>
    <x v="1"/>
    <n v="50"/>
    <x v="9"/>
    <x v="0"/>
  </r>
  <r>
    <n v="38032"/>
    <x v="28"/>
    <x v="1"/>
    <x v="5"/>
    <x v="10"/>
    <x v="2"/>
    <x v="7"/>
    <x v="4"/>
    <x v="1"/>
    <n v="50"/>
    <x v="10"/>
    <x v="0"/>
  </r>
  <r>
    <n v="38033"/>
    <x v="28"/>
    <x v="1"/>
    <x v="10"/>
    <x v="10"/>
    <x v="2"/>
    <x v="7"/>
    <x v="4"/>
    <x v="1"/>
    <n v="50"/>
    <x v="11"/>
    <x v="0"/>
  </r>
  <r>
    <n v="38034"/>
    <x v="28"/>
    <x v="1"/>
    <x v="11"/>
    <x v="11"/>
    <x v="2"/>
    <x v="7"/>
    <x v="4"/>
    <x v="1"/>
    <n v="50"/>
    <x v="12"/>
    <x v="0"/>
  </r>
  <r>
    <n v="38035"/>
    <x v="28"/>
    <x v="1"/>
    <x v="6"/>
    <x v="6"/>
    <x v="2"/>
    <x v="7"/>
    <x v="4"/>
    <x v="1"/>
    <n v="50"/>
    <x v="13"/>
    <x v="0"/>
  </r>
  <r>
    <n v="38036"/>
    <x v="28"/>
    <x v="0"/>
    <x v="0"/>
    <x v="0"/>
    <x v="3"/>
    <x v="7"/>
    <x v="4"/>
    <x v="1"/>
    <n v="50"/>
    <x v="14"/>
    <x v="0"/>
  </r>
  <r>
    <n v="38037"/>
    <x v="28"/>
    <x v="0"/>
    <x v="1"/>
    <x v="1"/>
    <x v="3"/>
    <x v="7"/>
    <x v="4"/>
    <x v="1"/>
    <n v="50"/>
    <x v="15"/>
    <x v="0"/>
  </r>
  <r>
    <n v="38038"/>
    <x v="29"/>
    <x v="0"/>
    <x v="0"/>
    <x v="0"/>
    <x v="0"/>
    <x v="8"/>
    <x v="5"/>
    <x v="1"/>
    <n v="51"/>
    <x v="0"/>
    <x v="0"/>
  </r>
  <r>
    <n v="38039"/>
    <x v="29"/>
    <x v="0"/>
    <x v="1"/>
    <x v="1"/>
    <x v="0"/>
    <x v="8"/>
    <x v="5"/>
    <x v="1"/>
    <n v="51"/>
    <x v="1"/>
    <x v="0"/>
  </r>
  <r>
    <n v="38040"/>
    <x v="29"/>
    <x v="1"/>
    <x v="2"/>
    <x v="2"/>
    <x v="1"/>
    <x v="8"/>
    <x v="5"/>
    <x v="1"/>
    <n v="51"/>
    <x v="2"/>
    <x v="0"/>
  </r>
  <r>
    <n v="38041"/>
    <x v="29"/>
    <x v="1"/>
    <x v="3"/>
    <x v="3"/>
    <x v="1"/>
    <x v="8"/>
    <x v="5"/>
    <x v="1"/>
    <n v="51"/>
    <x v="3"/>
    <x v="0"/>
  </r>
  <r>
    <n v="38042"/>
    <x v="29"/>
    <x v="1"/>
    <x v="4"/>
    <x v="4"/>
    <x v="1"/>
    <x v="8"/>
    <x v="5"/>
    <x v="1"/>
    <n v="51"/>
    <x v="4"/>
    <x v="0"/>
  </r>
  <r>
    <n v="38043"/>
    <x v="29"/>
    <x v="1"/>
    <x v="5"/>
    <x v="5"/>
    <x v="1"/>
    <x v="8"/>
    <x v="5"/>
    <x v="1"/>
    <n v="51"/>
    <x v="5"/>
    <x v="0"/>
  </r>
  <r>
    <n v="38044"/>
    <x v="29"/>
    <x v="1"/>
    <x v="6"/>
    <x v="6"/>
    <x v="1"/>
    <x v="8"/>
    <x v="5"/>
    <x v="1"/>
    <n v="51"/>
    <x v="6"/>
    <x v="0"/>
  </r>
  <r>
    <n v="38045"/>
    <x v="29"/>
    <x v="1"/>
    <x v="7"/>
    <x v="7"/>
    <x v="2"/>
    <x v="8"/>
    <x v="5"/>
    <x v="1"/>
    <n v="51"/>
    <x v="7"/>
    <x v="0"/>
  </r>
  <r>
    <n v="38046"/>
    <x v="29"/>
    <x v="1"/>
    <x v="8"/>
    <x v="8"/>
    <x v="2"/>
    <x v="8"/>
    <x v="5"/>
    <x v="1"/>
    <n v="51"/>
    <x v="8"/>
    <x v="0"/>
  </r>
  <r>
    <n v="38047"/>
    <x v="29"/>
    <x v="1"/>
    <x v="9"/>
    <x v="9"/>
    <x v="2"/>
    <x v="8"/>
    <x v="5"/>
    <x v="1"/>
    <n v="51"/>
    <x v="9"/>
    <x v="0"/>
  </r>
  <r>
    <n v="38048"/>
    <x v="29"/>
    <x v="1"/>
    <x v="5"/>
    <x v="10"/>
    <x v="2"/>
    <x v="8"/>
    <x v="5"/>
    <x v="1"/>
    <n v="51"/>
    <x v="10"/>
    <x v="0"/>
  </r>
  <r>
    <n v="38049"/>
    <x v="29"/>
    <x v="1"/>
    <x v="10"/>
    <x v="10"/>
    <x v="2"/>
    <x v="8"/>
    <x v="5"/>
    <x v="1"/>
    <n v="51"/>
    <x v="11"/>
    <x v="0"/>
  </r>
  <r>
    <n v="38050"/>
    <x v="29"/>
    <x v="1"/>
    <x v="11"/>
    <x v="11"/>
    <x v="2"/>
    <x v="8"/>
    <x v="5"/>
    <x v="1"/>
    <n v="51"/>
    <x v="12"/>
    <x v="0"/>
  </r>
  <r>
    <n v="38051"/>
    <x v="29"/>
    <x v="1"/>
    <x v="6"/>
    <x v="6"/>
    <x v="2"/>
    <x v="8"/>
    <x v="5"/>
    <x v="1"/>
    <n v="51"/>
    <x v="13"/>
    <x v="0"/>
  </r>
  <r>
    <n v="38052"/>
    <x v="29"/>
    <x v="0"/>
    <x v="0"/>
    <x v="0"/>
    <x v="3"/>
    <x v="8"/>
    <x v="5"/>
    <x v="1"/>
    <n v="51"/>
    <x v="14"/>
    <x v="0"/>
  </r>
  <r>
    <n v="38053"/>
    <x v="29"/>
    <x v="0"/>
    <x v="1"/>
    <x v="1"/>
    <x v="3"/>
    <x v="8"/>
    <x v="5"/>
    <x v="1"/>
    <n v="51"/>
    <x v="15"/>
    <x v="0"/>
  </r>
  <r>
    <n v="38054"/>
    <x v="30"/>
    <x v="0"/>
    <x v="0"/>
    <x v="0"/>
    <x v="0"/>
    <x v="8"/>
    <x v="5"/>
    <x v="1"/>
    <n v="52"/>
    <x v="0"/>
    <x v="0"/>
  </r>
  <r>
    <n v="38055"/>
    <x v="30"/>
    <x v="0"/>
    <x v="1"/>
    <x v="1"/>
    <x v="0"/>
    <x v="8"/>
    <x v="5"/>
    <x v="1"/>
    <n v="52"/>
    <x v="1"/>
    <x v="0"/>
  </r>
  <r>
    <n v="38056"/>
    <x v="30"/>
    <x v="1"/>
    <x v="2"/>
    <x v="2"/>
    <x v="1"/>
    <x v="8"/>
    <x v="5"/>
    <x v="1"/>
    <n v="52"/>
    <x v="2"/>
    <x v="0"/>
  </r>
  <r>
    <n v="38057"/>
    <x v="30"/>
    <x v="1"/>
    <x v="3"/>
    <x v="3"/>
    <x v="1"/>
    <x v="8"/>
    <x v="5"/>
    <x v="1"/>
    <n v="52"/>
    <x v="3"/>
    <x v="0"/>
  </r>
  <r>
    <n v="38058"/>
    <x v="30"/>
    <x v="1"/>
    <x v="4"/>
    <x v="4"/>
    <x v="1"/>
    <x v="8"/>
    <x v="5"/>
    <x v="1"/>
    <n v="52"/>
    <x v="4"/>
    <x v="0"/>
  </r>
  <r>
    <n v="38059"/>
    <x v="30"/>
    <x v="1"/>
    <x v="5"/>
    <x v="5"/>
    <x v="1"/>
    <x v="8"/>
    <x v="5"/>
    <x v="1"/>
    <n v="52"/>
    <x v="5"/>
    <x v="0"/>
  </r>
  <r>
    <n v="38060"/>
    <x v="30"/>
    <x v="1"/>
    <x v="6"/>
    <x v="6"/>
    <x v="1"/>
    <x v="8"/>
    <x v="5"/>
    <x v="1"/>
    <n v="52"/>
    <x v="6"/>
    <x v="0"/>
  </r>
  <r>
    <n v="38061"/>
    <x v="30"/>
    <x v="1"/>
    <x v="7"/>
    <x v="7"/>
    <x v="2"/>
    <x v="8"/>
    <x v="5"/>
    <x v="1"/>
    <n v="52"/>
    <x v="7"/>
    <x v="0"/>
  </r>
  <r>
    <n v="38062"/>
    <x v="30"/>
    <x v="1"/>
    <x v="8"/>
    <x v="8"/>
    <x v="2"/>
    <x v="8"/>
    <x v="5"/>
    <x v="1"/>
    <n v="52"/>
    <x v="8"/>
    <x v="0"/>
  </r>
  <r>
    <n v="38063"/>
    <x v="30"/>
    <x v="1"/>
    <x v="9"/>
    <x v="9"/>
    <x v="2"/>
    <x v="8"/>
    <x v="5"/>
    <x v="1"/>
    <n v="52"/>
    <x v="9"/>
    <x v="0"/>
  </r>
  <r>
    <n v="38064"/>
    <x v="30"/>
    <x v="1"/>
    <x v="5"/>
    <x v="10"/>
    <x v="2"/>
    <x v="8"/>
    <x v="5"/>
    <x v="1"/>
    <n v="52"/>
    <x v="10"/>
    <x v="0"/>
  </r>
  <r>
    <n v="38065"/>
    <x v="30"/>
    <x v="1"/>
    <x v="10"/>
    <x v="10"/>
    <x v="2"/>
    <x v="8"/>
    <x v="5"/>
    <x v="1"/>
    <n v="52"/>
    <x v="11"/>
    <x v="0"/>
  </r>
  <r>
    <n v="38066"/>
    <x v="30"/>
    <x v="1"/>
    <x v="11"/>
    <x v="11"/>
    <x v="2"/>
    <x v="8"/>
    <x v="5"/>
    <x v="1"/>
    <n v="52"/>
    <x v="12"/>
    <x v="0"/>
  </r>
  <r>
    <n v="38067"/>
    <x v="30"/>
    <x v="1"/>
    <x v="6"/>
    <x v="6"/>
    <x v="2"/>
    <x v="8"/>
    <x v="5"/>
    <x v="1"/>
    <n v="52"/>
    <x v="13"/>
    <x v="0"/>
  </r>
  <r>
    <n v="38068"/>
    <x v="30"/>
    <x v="0"/>
    <x v="0"/>
    <x v="0"/>
    <x v="3"/>
    <x v="8"/>
    <x v="5"/>
    <x v="1"/>
    <n v="52"/>
    <x v="14"/>
    <x v="0"/>
  </r>
  <r>
    <n v="38069"/>
    <x v="30"/>
    <x v="0"/>
    <x v="1"/>
    <x v="1"/>
    <x v="3"/>
    <x v="8"/>
    <x v="5"/>
    <x v="1"/>
    <n v="52"/>
    <x v="15"/>
    <x v="0"/>
  </r>
  <r>
    <n v="38070"/>
    <x v="31"/>
    <x v="0"/>
    <x v="0"/>
    <x v="0"/>
    <x v="0"/>
    <x v="8"/>
    <x v="5"/>
    <x v="1"/>
    <n v="53"/>
    <x v="0"/>
    <x v="0"/>
  </r>
  <r>
    <n v="38071"/>
    <x v="31"/>
    <x v="0"/>
    <x v="1"/>
    <x v="1"/>
    <x v="0"/>
    <x v="8"/>
    <x v="5"/>
    <x v="1"/>
    <n v="53"/>
    <x v="1"/>
    <x v="0"/>
  </r>
  <r>
    <n v="38072"/>
    <x v="31"/>
    <x v="1"/>
    <x v="2"/>
    <x v="2"/>
    <x v="1"/>
    <x v="8"/>
    <x v="5"/>
    <x v="1"/>
    <n v="53"/>
    <x v="2"/>
    <x v="0"/>
  </r>
  <r>
    <n v="38073"/>
    <x v="31"/>
    <x v="1"/>
    <x v="3"/>
    <x v="3"/>
    <x v="1"/>
    <x v="8"/>
    <x v="5"/>
    <x v="1"/>
    <n v="53"/>
    <x v="3"/>
    <x v="0"/>
  </r>
  <r>
    <n v="38074"/>
    <x v="31"/>
    <x v="1"/>
    <x v="4"/>
    <x v="4"/>
    <x v="1"/>
    <x v="8"/>
    <x v="5"/>
    <x v="1"/>
    <n v="53"/>
    <x v="4"/>
    <x v="0"/>
  </r>
  <r>
    <n v="38075"/>
    <x v="31"/>
    <x v="1"/>
    <x v="5"/>
    <x v="5"/>
    <x v="1"/>
    <x v="8"/>
    <x v="5"/>
    <x v="1"/>
    <n v="53"/>
    <x v="5"/>
    <x v="0"/>
  </r>
  <r>
    <n v="38076"/>
    <x v="31"/>
    <x v="1"/>
    <x v="6"/>
    <x v="6"/>
    <x v="1"/>
    <x v="8"/>
    <x v="5"/>
    <x v="1"/>
    <n v="53"/>
    <x v="6"/>
    <x v="0"/>
  </r>
  <r>
    <n v="38077"/>
    <x v="31"/>
    <x v="1"/>
    <x v="7"/>
    <x v="7"/>
    <x v="2"/>
    <x v="8"/>
    <x v="5"/>
    <x v="1"/>
    <n v="53"/>
    <x v="7"/>
    <x v="0"/>
  </r>
  <r>
    <n v="38078"/>
    <x v="31"/>
    <x v="1"/>
    <x v="8"/>
    <x v="8"/>
    <x v="2"/>
    <x v="8"/>
    <x v="5"/>
    <x v="1"/>
    <n v="53"/>
    <x v="8"/>
    <x v="0"/>
  </r>
  <r>
    <n v="38079"/>
    <x v="31"/>
    <x v="1"/>
    <x v="9"/>
    <x v="9"/>
    <x v="2"/>
    <x v="8"/>
    <x v="5"/>
    <x v="1"/>
    <n v="53"/>
    <x v="9"/>
    <x v="0"/>
  </r>
  <r>
    <n v="38080"/>
    <x v="31"/>
    <x v="1"/>
    <x v="5"/>
    <x v="10"/>
    <x v="2"/>
    <x v="8"/>
    <x v="5"/>
    <x v="1"/>
    <n v="53"/>
    <x v="10"/>
    <x v="0"/>
  </r>
  <r>
    <n v="38081"/>
    <x v="31"/>
    <x v="1"/>
    <x v="10"/>
    <x v="10"/>
    <x v="2"/>
    <x v="8"/>
    <x v="5"/>
    <x v="1"/>
    <n v="53"/>
    <x v="11"/>
    <x v="0"/>
  </r>
  <r>
    <n v="38082"/>
    <x v="31"/>
    <x v="1"/>
    <x v="11"/>
    <x v="11"/>
    <x v="2"/>
    <x v="8"/>
    <x v="5"/>
    <x v="1"/>
    <n v="53"/>
    <x v="12"/>
    <x v="0"/>
  </r>
  <r>
    <n v="38083"/>
    <x v="31"/>
    <x v="1"/>
    <x v="6"/>
    <x v="6"/>
    <x v="2"/>
    <x v="8"/>
    <x v="5"/>
    <x v="1"/>
    <n v="53"/>
    <x v="13"/>
    <x v="0"/>
  </r>
  <r>
    <n v="38084"/>
    <x v="31"/>
    <x v="0"/>
    <x v="0"/>
    <x v="0"/>
    <x v="3"/>
    <x v="8"/>
    <x v="5"/>
    <x v="1"/>
    <n v="53"/>
    <x v="14"/>
    <x v="0"/>
  </r>
  <r>
    <n v="38085"/>
    <x v="31"/>
    <x v="0"/>
    <x v="1"/>
    <x v="1"/>
    <x v="3"/>
    <x v="8"/>
    <x v="5"/>
    <x v="1"/>
    <n v="53"/>
    <x v="15"/>
    <x v="0"/>
  </r>
  <r>
    <n v="38086"/>
    <x v="32"/>
    <x v="0"/>
    <x v="0"/>
    <x v="0"/>
    <x v="0"/>
    <x v="8"/>
    <x v="5"/>
    <x v="1"/>
    <n v="54"/>
    <x v="0"/>
    <x v="0"/>
  </r>
  <r>
    <n v="38087"/>
    <x v="32"/>
    <x v="0"/>
    <x v="1"/>
    <x v="1"/>
    <x v="0"/>
    <x v="8"/>
    <x v="5"/>
    <x v="1"/>
    <n v="54"/>
    <x v="1"/>
    <x v="0"/>
  </r>
  <r>
    <n v="38088"/>
    <x v="32"/>
    <x v="1"/>
    <x v="2"/>
    <x v="2"/>
    <x v="1"/>
    <x v="8"/>
    <x v="5"/>
    <x v="1"/>
    <n v="54"/>
    <x v="2"/>
    <x v="0"/>
  </r>
  <r>
    <n v="38089"/>
    <x v="32"/>
    <x v="1"/>
    <x v="3"/>
    <x v="3"/>
    <x v="1"/>
    <x v="8"/>
    <x v="5"/>
    <x v="1"/>
    <n v="54"/>
    <x v="3"/>
    <x v="0"/>
  </r>
  <r>
    <n v="38090"/>
    <x v="32"/>
    <x v="1"/>
    <x v="4"/>
    <x v="4"/>
    <x v="1"/>
    <x v="8"/>
    <x v="5"/>
    <x v="1"/>
    <n v="54"/>
    <x v="4"/>
    <x v="0"/>
  </r>
  <r>
    <n v="38091"/>
    <x v="32"/>
    <x v="1"/>
    <x v="5"/>
    <x v="5"/>
    <x v="1"/>
    <x v="8"/>
    <x v="5"/>
    <x v="1"/>
    <n v="54"/>
    <x v="5"/>
    <x v="0"/>
  </r>
  <r>
    <n v="38092"/>
    <x v="32"/>
    <x v="1"/>
    <x v="6"/>
    <x v="6"/>
    <x v="1"/>
    <x v="8"/>
    <x v="5"/>
    <x v="1"/>
    <n v="54"/>
    <x v="6"/>
    <x v="0"/>
  </r>
  <r>
    <n v="38093"/>
    <x v="32"/>
    <x v="1"/>
    <x v="7"/>
    <x v="7"/>
    <x v="2"/>
    <x v="8"/>
    <x v="5"/>
    <x v="1"/>
    <n v="54"/>
    <x v="7"/>
    <x v="0"/>
  </r>
  <r>
    <n v="38094"/>
    <x v="32"/>
    <x v="1"/>
    <x v="8"/>
    <x v="8"/>
    <x v="2"/>
    <x v="8"/>
    <x v="5"/>
    <x v="1"/>
    <n v="54"/>
    <x v="8"/>
    <x v="0"/>
  </r>
  <r>
    <n v="38095"/>
    <x v="32"/>
    <x v="1"/>
    <x v="9"/>
    <x v="9"/>
    <x v="2"/>
    <x v="8"/>
    <x v="5"/>
    <x v="1"/>
    <n v="54"/>
    <x v="9"/>
    <x v="0"/>
  </r>
  <r>
    <n v="38096"/>
    <x v="32"/>
    <x v="1"/>
    <x v="5"/>
    <x v="10"/>
    <x v="2"/>
    <x v="8"/>
    <x v="5"/>
    <x v="1"/>
    <n v="54"/>
    <x v="10"/>
    <x v="0"/>
  </r>
  <r>
    <n v="38097"/>
    <x v="32"/>
    <x v="1"/>
    <x v="10"/>
    <x v="10"/>
    <x v="2"/>
    <x v="8"/>
    <x v="5"/>
    <x v="1"/>
    <n v="54"/>
    <x v="11"/>
    <x v="0"/>
  </r>
  <r>
    <n v="38098"/>
    <x v="32"/>
    <x v="1"/>
    <x v="11"/>
    <x v="11"/>
    <x v="2"/>
    <x v="8"/>
    <x v="5"/>
    <x v="1"/>
    <n v="54"/>
    <x v="12"/>
    <x v="0"/>
  </r>
  <r>
    <n v="38099"/>
    <x v="32"/>
    <x v="1"/>
    <x v="6"/>
    <x v="6"/>
    <x v="2"/>
    <x v="8"/>
    <x v="5"/>
    <x v="1"/>
    <n v="54"/>
    <x v="13"/>
    <x v="0"/>
  </r>
  <r>
    <n v="38100"/>
    <x v="32"/>
    <x v="0"/>
    <x v="0"/>
    <x v="0"/>
    <x v="3"/>
    <x v="8"/>
    <x v="5"/>
    <x v="1"/>
    <n v="54"/>
    <x v="14"/>
    <x v="0"/>
  </r>
  <r>
    <n v="38101"/>
    <x v="32"/>
    <x v="0"/>
    <x v="1"/>
    <x v="1"/>
    <x v="3"/>
    <x v="8"/>
    <x v="5"/>
    <x v="1"/>
    <n v="54"/>
    <x v="15"/>
    <x v="0"/>
  </r>
  <r>
    <n v="38102"/>
    <x v="33"/>
    <x v="0"/>
    <x v="0"/>
    <x v="0"/>
    <x v="0"/>
    <x v="8"/>
    <x v="5"/>
    <x v="1"/>
    <n v="55"/>
    <x v="0"/>
    <x v="0"/>
  </r>
  <r>
    <n v="38103"/>
    <x v="33"/>
    <x v="0"/>
    <x v="1"/>
    <x v="1"/>
    <x v="0"/>
    <x v="8"/>
    <x v="5"/>
    <x v="1"/>
    <n v="55"/>
    <x v="1"/>
    <x v="0"/>
  </r>
  <r>
    <n v="38104"/>
    <x v="33"/>
    <x v="1"/>
    <x v="2"/>
    <x v="2"/>
    <x v="1"/>
    <x v="8"/>
    <x v="5"/>
    <x v="1"/>
    <n v="55"/>
    <x v="2"/>
    <x v="0"/>
  </r>
  <r>
    <n v="38105"/>
    <x v="33"/>
    <x v="1"/>
    <x v="3"/>
    <x v="3"/>
    <x v="1"/>
    <x v="8"/>
    <x v="5"/>
    <x v="1"/>
    <n v="55"/>
    <x v="3"/>
    <x v="0"/>
  </r>
  <r>
    <n v="38106"/>
    <x v="33"/>
    <x v="1"/>
    <x v="4"/>
    <x v="4"/>
    <x v="1"/>
    <x v="8"/>
    <x v="5"/>
    <x v="1"/>
    <n v="55"/>
    <x v="4"/>
    <x v="0"/>
  </r>
  <r>
    <n v="38107"/>
    <x v="33"/>
    <x v="1"/>
    <x v="5"/>
    <x v="5"/>
    <x v="1"/>
    <x v="8"/>
    <x v="5"/>
    <x v="1"/>
    <n v="55"/>
    <x v="5"/>
    <x v="0"/>
  </r>
  <r>
    <n v="38108"/>
    <x v="33"/>
    <x v="1"/>
    <x v="6"/>
    <x v="6"/>
    <x v="1"/>
    <x v="8"/>
    <x v="5"/>
    <x v="1"/>
    <n v="55"/>
    <x v="6"/>
    <x v="0"/>
  </r>
  <r>
    <n v="38109"/>
    <x v="33"/>
    <x v="1"/>
    <x v="7"/>
    <x v="7"/>
    <x v="2"/>
    <x v="8"/>
    <x v="5"/>
    <x v="1"/>
    <n v="55"/>
    <x v="7"/>
    <x v="0"/>
  </r>
  <r>
    <n v="38110"/>
    <x v="33"/>
    <x v="1"/>
    <x v="8"/>
    <x v="8"/>
    <x v="2"/>
    <x v="8"/>
    <x v="5"/>
    <x v="1"/>
    <n v="55"/>
    <x v="8"/>
    <x v="0"/>
  </r>
  <r>
    <n v="38111"/>
    <x v="33"/>
    <x v="1"/>
    <x v="9"/>
    <x v="9"/>
    <x v="2"/>
    <x v="8"/>
    <x v="5"/>
    <x v="1"/>
    <n v="55"/>
    <x v="9"/>
    <x v="0"/>
  </r>
  <r>
    <n v="38112"/>
    <x v="33"/>
    <x v="1"/>
    <x v="5"/>
    <x v="10"/>
    <x v="2"/>
    <x v="8"/>
    <x v="5"/>
    <x v="1"/>
    <n v="55"/>
    <x v="10"/>
    <x v="0"/>
  </r>
  <r>
    <n v="38113"/>
    <x v="33"/>
    <x v="1"/>
    <x v="10"/>
    <x v="10"/>
    <x v="2"/>
    <x v="8"/>
    <x v="5"/>
    <x v="1"/>
    <n v="55"/>
    <x v="11"/>
    <x v="0"/>
  </r>
  <r>
    <n v="38114"/>
    <x v="33"/>
    <x v="1"/>
    <x v="11"/>
    <x v="11"/>
    <x v="2"/>
    <x v="8"/>
    <x v="5"/>
    <x v="1"/>
    <n v="55"/>
    <x v="12"/>
    <x v="0"/>
  </r>
  <r>
    <n v="38115"/>
    <x v="33"/>
    <x v="1"/>
    <x v="6"/>
    <x v="6"/>
    <x v="2"/>
    <x v="8"/>
    <x v="5"/>
    <x v="1"/>
    <n v="55"/>
    <x v="13"/>
    <x v="0"/>
  </r>
  <r>
    <n v="38116"/>
    <x v="33"/>
    <x v="0"/>
    <x v="0"/>
    <x v="0"/>
    <x v="3"/>
    <x v="8"/>
    <x v="5"/>
    <x v="1"/>
    <n v="55"/>
    <x v="14"/>
    <x v="0"/>
  </r>
  <r>
    <n v="38117"/>
    <x v="33"/>
    <x v="0"/>
    <x v="1"/>
    <x v="1"/>
    <x v="3"/>
    <x v="8"/>
    <x v="5"/>
    <x v="1"/>
    <n v="55"/>
    <x v="15"/>
    <x v="0"/>
  </r>
  <r>
    <n v="38118"/>
    <x v="34"/>
    <x v="0"/>
    <x v="0"/>
    <x v="0"/>
    <x v="0"/>
    <x v="9"/>
    <x v="5"/>
    <x v="1"/>
    <n v="56"/>
    <x v="0"/>
    <x v="0"/>
  </r>
  <r>
    <n v="38119"/>
    <x v="34"/>
    <x v="0"/>
    <x v="1"/>
    <x v="1"/>
    <x v="0"/>
    <x v="9"/>
    <x v="5"/>
    <x v="1"/>
    <n v="56"/>
    <x v="1"/>
    <x v="0"/>
  </r>
  <r>
    <n v="38120"/>
    <x v="34"/>
    <x v="1"/>
    <x v="2"/>
    <x v="2"/>
    <x v="1"/>
    <x v="9"/>
    <x v="5"/>
    <x v="1"/>
    <n v="56"/>
    <x v="2"/>
    <x v="0"/>
  </r>
  <r>
    <n v="38121"/>
    <x v="34"/>
    <x v="1"/>
    <x v="3"/>
    <x v="3"/>
    <x v="1"/>
    <x v="9"/>
    <x v="5"/>
    <x v="1"/>
    <n v="56"/>
    <x v="3"/>
    <x v="0"/>
  </r>
  <r>
    <n v="38122"/>
    <x v="34"/>
    <x v="1"/>
    <x v="4"/>
    <x v="4"/>
    <x v="1"/>
    <x v="9"/>
    <x v="5"/>
    <x v="1"/>
    <n v="56"/>
    <x v="4"/>
    <x v="0"/>
  </r>
  <r>
    <n v="38123"/>
    <x v="34"/>
    <x v="1"/>
    <x v="5"/>
    <x v="5"/>
    <x v="1"/>
    <x v="9"/>
    <x v="5"/>
    <x v="1"/>
    <n v="56"/>
    <x v="5"/>
    <x v="0"/>
  </r>
  <r>
    <n v="38124"/>
    <x v="34"/>
    <x v="1"/>
    <x v="6"/>
    <x v="6"/>
    <x v="1"/>
    <x v="9"/>
    <x v="5"/>
    <x v="1"/>
    <n v="56"/>
    <x v="6"/>
    <x v="0"/>
  </r>
  <r>
    <n v="38125"/>
    <x v="34"/>
    <x v="1"/>
    <x v="7"/>
    <x v="7"/>
    <x v="2"/>
    <x v="9"/>
    <x v="5"/>
    <x v="1"/>
    <n v="56"/>
    <x v="7"/>
    <x v="0"/>
  </r>
  <r>
    <n v="38126"/>
    <x v="34"/>
    <x v="1"/>
    <x v="8"/>
    <x v="8"/>
    <x v="2"/>
    <x v="9"/>
    <x v="5"/>
    <x v="1"/>
    <n v="56"/>
    <x v="8"/>
    <x v="0"/>
  </r>
  <r>
    <n v="38127"/>
    <x v="34"/>
    <x v="1"/>
    <x v="9"/>
    <x v="9"/>
    <x v="2"/>
    <x v="9"/>
    <x v="5"/>
    <x v="1"/>
    <n v="56"/>
    <x v="9"/>
    <x v="0"/>
  </r>
  <r>
    <n v="38128"/>
    <x v="34"/>
    <x v="1"/>
    <x v="5"/>
    <x v="10"/>
    <x v="2"/>
    <x v="9"/>
    <x v="5"/>
    <x v="1"/>
    <n v="56"/>
    <x v="10"/>
    <x v="0"/>
  </r>
  <r>
    <n v="38129"/>
    <x v="34"/>
    <x v="1"/>
    <x v="10"/>
    <x v="10"/>
    <x v="2"/>
    <x v="9"/>
    <x v="5"/>
    <x v="1"/>
    <n v="56"/>
    <x v="11"/>
    <x v="0"/>
  </r>
  <r>
    <n v="38130"/>
    <x v="34"/>
    <x v="1"/>
    <x v="11"/>
    <x v="11"/>
    <x v="2"/>
    <x v="9"/>
    <x v="5"/>
    <x v="1"/>
    <n v="56"/>
    <x v="12"/>
    <x v="0"/>
  </r>
  <r>
    <n v="38131"/>
    <x v="34"/>
    <x v="1"/>
    <x v="6"/>
    <x v="6"/>
    <x v="2"/>
    <x v="9"/>
    <x v="5"/>
    <x v="1"/>
    <n v="56"/>
    <x v="13"/>
    <x v="0"/>
  </r>
  <r>
    <n v="38132"/>
    <x v="34"/>
    <x v="0"/>
    <x v="0"/>
    <x v="0"/>
    <x v="3"/>
    <x v="9"/>
    <x v="5"/>
    <x v="1"/>
    <n v="56"/>
    <x v="14"/>
    <x v="0"/>
  </r>
  <r>
    <n v="38133"/>
    <x v="34"/>
    <x v="0"/>
    <x v="1"/>
    <x v="1"/>
    <x v="3"/>
    <x v="9"/>
    <x v="5"/>
    <x v="1"/>
    <n v="56"/>
    <x v="15"/>
    <x v="0"/>
  </r>
  <r>
    <n v="38134"/>
    <x v="35"/>
    <x v="0"/>
    <x v="0"/>
    <x v="0"/>
    <x v="0"/>
    <x v="6"/>
    <x v="5"/>
    <x v="1"/>
    <n v="57"/>
    <x v="0"/>
    <x v="0"/>
  </r>
  <r>
    <n v="38135"/>
    <x v="35"/>
    <x v="0"/>
    <x v="1"/>
    <x v="1"/>
    <x v="0"/>
    <x v="6"/>
    <x v="5"/>
    <x v="1"/>
    <n v="57"/>
    <x v="1"/>
    <x v="0"/>
  </r>
  <r>
    <n v="38136"/>
    <x v="35"/>
    <x v="1"/>
    <x v="2"/>
    <x v="2"/>
    <x v="1"/>
    <x v="6"/>
    <x v="5"/>
    <x v="1"/>
    <n v="57"/>
    <x v="2"/>
    <x v="0"/>
  </r>
  <r>
    <n v="38137"/>
    <x v="35"/>
    <x v="1"/>
    <x v="3"/>
    <x v="3"/>
    <x v="1"/>
    <x v="6"/>
    <x v="5"/>
    <x v="1"/>
    <n v="57"/>
    <x v="3"/>
    <x v="0"/>
  </r>
  <r>
    <n v="38138"/>
    <x v="35"/>
    <x v="1"/>
    <x v="4"/>
    <x v="4"/>
    <x v="1"/>
    <x v="6"/>
    <x v="5"/>
    <x v="1"/>
    <n v="57"/>
    <x v="4"/>
    <x v="0"/>
  </r>
  <r>
    <n v="38139"/>
    <x v="35"/>
    <x v="1"/>
    <x v="5"/>
    <x v="5"/>
    <x v="1"/>
    <x v="6"/>
    <x v="5"/>
    <x v="1"/>
    <n v="57"/>
    <x v="5"/>
    <x v="0"/>
  </r>
  <r>
    <n v="38140"/>
    <x v="35"/>
    <x v="1"/>
    <x v="6"/>
    <x v="6"/>
    <x v="1"/>
    <x v="6"/>
    <x v="5"/>
    <x v="1"/>
    <n v="57"/>
    <x v="6"/>
    <x v="0"/>
  </r>
  <r>
    <n v="38141"/>
    <x v="35"/>
    <x v="1"/>
    <x v="7"/>
    <x v="7"/>
    <x v="2"/>
    <x v="6"/>
    <x v="5"/>
    <x v="1"/>
    <n v="57"/>
    <x v="7"/>
    <x v="0"/>
  </r>
  <r>
    <n v="38142"/>
    <x v="35"/>
    <x v="1"/>
    <x v="8"/>
    <x v="8"/>
    <x v="2"/>
    <x v="6"/>
    <x v="5"/>
    <x v="1"/>
    <n v="57"/>
    <x v="8"/>
    <x v="0"/>
  </r>
  <r>
    <n v="38143"/>
    <x v="35"/>
    <x v="1"/>
    <x v="9"/>
    <x v="9"/>
    <x v="2"/>
    <x v="6"/>
    <x v="5"/>
    <x v="1"/>
    <n v="57"/>
    <x v="9"/>
    <x v="0"/>
  </r>
  <r>
    <n v="38144"/>
    <x v="35"/>
    <x v="1"/>
    <x v="5"/>
    <x v="10"/>
    <x v="2"/>
    <x v="6"/>
    <x v="5"/>
    <x v="1"/>
    <n v="57"/>
    <x v="10"/>
    <x v="0"/>
  </r>
  <r>
    <n v="38145"/>
    <x v="35"/>
    <x v="1"/>
    <x v="10"/>
    <x v="10"/>
    <x v="2"/>
    <x v="6"/>
    <x v="5"/>
    <x v="1"/>
    <n v="57"/>
    <x v="11"/>
    <x v="0"/>
  </r>
  <r>
    <n v="38146"/>
    <x v="35"/>
    <x v="1"/>
    <x v="11"/>
    <x v="11"/>
    <x v="2"/>
    <x v="6"/>
    <x v="5"/>
    <x v="1"/>
    <n v="57"/>
    <x v="12"/>
    <x v="0"/>
  </r>
  <r>
    <n v="38147"/>
    <x v="35"/>
    <x v="1"/>
    <x v="6"/>
    <x v="6"/>
    <x v="2"/>
    <x v="6"/>
    <x v="5"/>
    <x v="1"/>
    <n v="57"/>
    <x v="13"/>
    <x v="0"/>
  </r>
  <r>
    <n v="38148"/>
    <x v="35"/>
    <x v="0"/>
    <x v="0"/>
    <x v="0"/>
    <x v="3"/>
    <x v="6"/>
    <x v="5"/>
    <x v="1"/>
    <n v="57"/>
    <x v="14"/>
    <x v="0"/>
  </r>
  <r>
    <n v="38149"/>
    <x v="35"/>
    <x v="0"/>
    <x v="1"/>
    <x v="1"/>
    <x v="3"/>
    <x v="6"/>
    <x v="5"/>
    <x v="1"/>
    <n v="57"/>
    <x v="15"/>
    <x v="0"/>
  </r>
  <r>
    <n v="38150"/>
    <x v="36"/>
    <x v="0"/>
    <x v="0"/>
    <x v="0"/>
    <x v="0"/>
    <x v="6"/>
    <x v="5"/>
    <x v="1"/>
    <n v="58"/>
    <x v="0"/>
    <x v="0"/>
  </r>
  <r>
    <n v="38151"/>
    <x v="36"/>
    <x v="0"/>
    <x v="1"/>
    <x v="1"/>
    <x v="0"/>
    <x v="6"/>
    <x v="5"/>
    <x v="1"/>
    <n v="58"/>
    <x v="1"/>
    <x v="0"/>
  </r>
  <r>
    <n v="38152"/>
    <x v="36"/>
    <x v="1"/>
    <x v="2"/>
    <x v="2"/>
    <x v="1"/>
    <x v="6"/>
    <x v="5"/>
    <x v="1"/>
    <n v="58"/>
    <x v="2"/>
    <x v="0"/>
  </r>
  <r>
    <n v="38153"/>
    <x v="36"/>
    <x v="1"/>
    <x v="3"/>
    <x v="3"/>
    <x v="1"/>
    <x v="6"/>
    <x v="5"/>
    <x v="1"/>
    <n v="58"/>
    <x v="3"/>
    <x v="0"/>
  </r>
  <r>
    <n v="38154"/>
    <x v="36"/>
    <x v="1"/>
    <x v="4"/>
    <x v="4"/>
    <x v="1"/>
    <x v="6"/>
    <x v="5"/>
    <x v="1"/>
    <n v="58"/>
    <x v="4"/>
    <x v="0"/>
  </r>
  <r>
    <n v="38155"/>
    <x v="36"/>
    <x v="1"/>
    <x v="5"/>
    <x v="5"/>
    <x v="1"/>
    <x v="6"/>
    <x v="5"/>
    <x v="1"/>
    <n v="58"/>
    <x v="5"/>
    <x v="0"/>
  </r>
  <r>
    <n v="38156"/>
    <x v="36"/>
    <x v="1"/>
    <x v="6"/>
    <x v="6"/>
    <x v="1"/>
    <x v="6"/>
    <x v="5"/>
    <x v="1"/>
    <n v="58"/>
    <x v="6"/>
    <x v="0"/>
  </r>
  <r>
    <n v="38157"/>
    <x v="36"/>
    <x v="1"/>
    <x v="7"/>
    <x v="7"/>
    <x v="2"/>
    <x v="6"/>
    <x v="5"/>
    <x v="1"/>
    <n v="58"/>
    <x v="7"/>
    <x v="0"/>
  </r>
  <r>
    <n v="38158"/>
    <x v="36"/>
    <x v="1"/>
    <x v="8"/>
    <x v="8"/>
    <x v="2"/>
    <x v="6"/>
    <x v="5"/>
    <x v="1"/>
    <n v="58"/>
    <x v="8"/>
    <x v="0"/>
  </r>
  <r>
    <n v="38159"/>
    <x v="36"/>
    <x v="1"/>
    <x v="9"/>
    <x v="9"/>
    <x v="2"/>
    <x v="6"/>
    <x v="5"/>
    <x v="1"/>
    <n v="58"/>
    <x v="9"/>
    <x v="0"/>
  </r>
  <r>
    <n v="38160"/>
    <x v="36"/>
    <x v="1"/>
    <x v="5"/>
    <x v="10"/>
    <x v="2"/>
    <x v="6"/>
    <x v="5"/>
    <x v="1"/>
    <n v="58"/>
    <x v="10"/>
    <x v="0"/>
  </r>
  <r>
    <n v="38161"/>
    <x v="36"/>
    <x v="1"/>
    <x v="10"/>
    <x v="10"/>
    <x v="2"/>
    <x v="6"/>
    <x v="5"/>
    <x v="1"/>
    <n v="58"/>
    <x v="11"/>
    <x v="0"/>
  </r>
  <r>
    <n v="38162"/>
    <x v="36"/>
    <x v="1"/>
    <x v="11"/>
    <x v="11"/>
    <x v="2"/>
    <x v="6"/>
    <x v="5"/>
    <x v="1"/>
    <n v="58"/>
    <x v="12"/>
    <x v="0"/>
  </r>
  <r>
    <n v="38163"/>
    <x v="36"/>
    <x v="1"/>
    <x v="6"/>
    <x v="6"/>
    <x v="2"/>
    <x v="6"/>
    <x v="5"/>
    <x v="1"/>
    <n v="58"/>
    <x v="13"/>
    <x v="0"/>
  </r>
  <r>
    <n v="38164"/>
    <x v="36"/>
    <x v="0"/>
    <x v="0"/>
    <x v="0"/>
    <x v="3"/>
    <x v="6"/>
    <x v="5"/>
    <x v="1"/>
    <n v="58"/>
    <x v="14"/>
    <x v="0"/>
  </r>
  <r>
    <n v="38165"/>
    <x v="36"/>
    <x v="0"/>
    <x v="1"/>
    <x v="1"/>
    <x v="3"/>
    <x v="6"/>
    <x v="5"/>
    <x v="1"/>
    <n v="58"/>
    <x v="15"/>
    <x v="0"/>
  </r>
  <r>
    <n v="38166"/>
    <x v="37"/>
    <x v="0"/>
    <x v="0"/>
    <x v="0"/>
    <x v="0"/>
    <x v="6"/>
    <x v="5"/>
    <x v="1"/>
    <n v="59"/>
    <x v="0"/>
    <x v="0"/>
  </r>
  <r>
    <n v="38167"/>
    <x v="37"/>
    <x v="0"/>
    <x v="1"/>
    <x v="1"/>
    <x v="0"/>
    <x v="6"/>
    <x v="5"/>
    <x v="1"/>
    <n v="59"/>
    <x v="1"/>
    <x v="0"/>
  </r>
  <r>
    <n v="38168"/>
    <x v="37"/>
    <x v="1"/>
    <x v="2"/>
    <x v="2"/>
    <x v="1"/>
    <x v="6"/>
    <x v="5"/>
    <x v="1"/>
    <n v="59"/>
    <x v="2"/>
    <x v="0"/>
  </r>
  <r>
    <n v="38169"/>
    <x v="37"/>
    <x v="1"/>
    <x v="3"/>
    <x v="3"/>
    <x v="1"/>
    <x v="6"/>
    <x v="5"/>
    <x v="1"/>
    <n v="59"/>
    <x v="3"/>
    <x v="0"/>
  </r>
  <r>
    <n v="38170"/>
    <x v="37"/>
    <x v="1"/>
    <x v="4"/>
    <x v="4"/>
    <x v="1"/>
    <x v="6"/>
    <x v="5"/>
    <x v="1"/>
    <n v="59"/>
    <x v="4"/>
    <x v="0"/>
  </r>
  <r>
    <n v="38171"/>
    <x v="37"/>
    <x v="1"/>
    <x v="5"/>
    <x v="5"/>
    <x v="1"/>
    <x v="6"/>
    <x v="5"/>
    <x v="1"/>
    <n v="59"/>
    <x v="5"/>
    <x v="0"/>
  </r>
  <r>
    <n v="38172"/>
    <x v="37"/>
    <x v="1"/>
    <x v="6"/>
    <x v="6"/>
    <x v="1"/>
    <x v="6"/>
    <x v="5"/>
    <x v="1"/>
    <n v="59"/>
    <x v="6"/>
    <x v="0"/>
  </r>
  <r>
    <n v="38173"/>
    <x v="37"/>
    <x v="1"/>
    <x v="7"/>
    <x v="7"/>
    <x v="2"/>
    <x v="6"/>
    <x v="5"/>
    <x v="1"/>
    <n v="59"/>
    <x v="7"/>
    <x v="0"/>
  </r>
  <r>
    <n v="38174"/>
    <x v="37"/>
    <x v="1"/>
    <x v="8"/>
    <x v="8"/>
    <x v="2"/>
    <x v="6"/>
    <x v="5"/>
    <x v="1"/>
    <n v="59"/>
    <x v="8"/>
    <x v="0"/>
  </r>
  <r>
    <n v="38175"/>
    <x v="37"/>
    <x v="1"/>
    <x v="9"/>
    <x v="9"/>
    <x v="2"/>
    <x v="6"/>
    <x v="5"/>
    <x v="1"/>
    <n v="59"/>
    <x v="9"/>
    <x v="0"/>
  </r>
  <r>
    <n v="38176"/>
    <x v="37"/>
    <x v="1"/>
    <x v="5"/>
    <x v="10"/>
    <x v="2"/>
    <x v="6"/>
    <x v="5"/>
    <x v="1"/>
    <n v="59"/>
    <x v="10"/>
    <x v="0"/>
  </r>
  <r>
    <n v="38177"/>
    <x v="37"/>
    <x v="1"/>
    <x v="10"/>
    <x v="10"/>
    <x v="2"/>
    <x v="6"/>
    <x v="5"/>
    <x v="1"/>
    <n v="59"/>
    <x v="11"/>
    <x v="0"/>
  </r>
  <r>
    <n v="38178"/>
    <x v="37"/>
    <x v="1"/>
    <x v="11"/>
    <x v="11"/>
    <x v="2"/>
    <x v="6"/>
    <x v="5"/>
    <x v="1"/>
    <n v="59"/>
    <x v="12"/>
    <x v="0"/>
  </r>
  <r>
    <n v="38179"/>
    <x v="37"/>
    <x v="1"/>
    <x v="6"/>
    <x v="6"/>
    <x v="2"/>
    <x v="6"/>
    <x v="5"/>
    <x v="1"/>
    <n v="59"/>
    <x v="13"/>
    <x v="0"/>
  </r>
  <r>
    <n v="38180"/>
    <x v="37"/>
    <x v="0"/>
    <x v="0"/>
    <x v="0"/>
    <x v="3"/>
    <x v="6"/>
    <x v="5"/>
    <x v="1"/>
    <n v="59"/>
    <x v="14"/>
    <x v="0"/>
  </r>
  <r>
    <n v="38181"/>
    <x v="37"/>
    <x v="0"/>
    <x v="1"/>
    <x v="1"/>
    <x v="3"/>
    <x v="6"/>
    <x v="5"/>
    <x v="1"/>
    <n v="59"/>
    <x v="15"/>
    <x v="0"/>
  </r>
  <r>
    <n v="38182"/>
    <x v="38"/>
    <x v="0"/>
    <x v="0"/>
    <x v="0"/>
    <x v="0"/>
    <x v="6"/>
    <x v="5"/>
    <x v="1"/>
    <n v="60"/>
    <x v="0"/>
    <x v="0"/>
  </r>
  <r>
    <n v="38183"/>
    <x v="38"/>
    <x v="0"/>
    <x v="1"/>
    <x v="1"/>
    <x v="0"/>
    <x v="6"/>
    <x v="5"/>
    <x v="1"/>
    <n v="60"/>
    <x v="1"/>
    <x v="0"/>
  </r>
  <r>
    <n v="38184"/>
    <x v="38"/>
    <x v="1"/>
    <x v="2"/>
    <x v="2"/>
    <x v="1"/>
    <x v="6"/>
    <x v="5"/>
    <x v="1"/>
    <n v="60"/>
    <x v="2"/>
    <x v="0"/>
  </r>
  <r>
    <n v="38185"/>
    <x v="38"/>
    <x v="1"/>
    <x v="3"/>
    <x v="3"/>
    <x v="1"/>
    <x v="6"/>
    <x v="5"/>
    <x v="1"/>
    <n v="60"/>
    <x v="3"/>
    <x v="0"/>
  </r>
  <r>
    <n v="38186"/>
    <x v="38"/>
    <x v="1"/>
    <x v="4"/>
    <x v="4"/>
    <x v="1"/>
    <x v="6"/>
    <x v="5"/>
    <x v="1"/>
    <n v="60"/>
    <x v="4"/>
    <x v="0"/>
  </r>
  <r>
    <n v="38187"/>
    <x v="38"/>
    <x v="1"/>
    <x v="5"/>
    <x v="5"/>
    <x v="1"/>
    <x v="6"/>
    <x v="5"/>
    <x v="1"/>
    <n v="60"/>
    <x v="5"/>
    <x v="0"/>
  </r>
  <r>
    <n v="38188"/>
    <x v="38"/>
    <x v="1"/>
    <x v="6"/>
    <x v="6"/>
    <x v="1"/>
    <x v="6"/>
    <x v="5"/>
    <x v="1"/>
    <n v="60"/>
    <x v="6"/>
    <x v="0"/>
  </r>
  <r>
    <n v="38189"/>
    <x v="38"/>
    <x v="1"/>
    <x v="7"/>
    <x v="7"/>
    <x v="2"/>
    <x v="6"/>
    <x v="5"/>
    <x v="1"/>
    <n v="60"/>
    <x v="7"/>
    <x v="0"/>
  </r>
  <r>
    <n v="38190"/>
    <x v="38"/>
    <x v="1"/>
    <x v="8"/>
    <x v="8"/>
    <x v="2"/>
    <x v="6"/>
    <x v="5"/>
    <x v="1"/>
    <n v="60"/>
    <x v="8"/>
    <x v="0"/>
  </r>
  <r>
    <n v="38191"/>
    <x v="38"/>
    <x v="1"/>
    <x v="9"/>
    <x v="9"/>
    <x v="2"/>
    <x v="6"/>
    <x v="5"/>
    <x v="1"/>
    <n v="60"/>
    <x v="9"/>
    <x v="0"/>
  </r>
  <r>
    <n v="38192"/>
    <x v="38"/>
    <x v="1"/>
    <x v="5"/>
    <x v="10"/>
    <x v="2"/>
    <x v="6"/>
    <x v="5"/>
    <x v="1"/>
    <n v="60"/>
    <x v="10"/>
    <x v="0"/>
  </r>
  <r>
    <n v="38193"/>
    <x v="38"/>
    <x v="1"/>
    <x v="10"/>
    <x v="10"/>
    <x v="2"/>
    <x v="6"/>
    <x v="5"/>
    <x v="1"/>
    <n v="60"/>
    <x v="11"/>
    <x v="0"/>
  </r>
  <r>
    <n v="38194"/>
    <x v="38"/>
    <x v="1"/>
    <x v="11"/>
    <x v="11"/>
    <x v="2"/>
    <x v="6"/>
    <x v="5"/>
    <x v="1"/>
    <n v="60"/>
    <x v="12"/>
    <x v="0"/>
  </r>
  <r>
    <n v="38195"/>
    <x v="38"/>
    <x v="1"/>
    <x v="6"/>
    <x v="6"/>
    <x v="2"/>
    <x v="6"/>
    <x v="5"/>
    <x v="1"/>
    <n v="60"/>
    <x v="13"/>
    <x v="0"/>
  </r>
  <r>
    <n v="38196"/>
    <x v="38"/>
    <x v="0"/>
    <x v="0"/>
    <x v="0"/>
    <x v="3"/>
    <x v="6"/>
    <x v="5"/>
    <x v="1"/>
    <n v="60"/>
    <x v="14"/>
    <x v="0"/>
  </r>
  <r>
    <n v="38197"/>
    <x v="38"/>
    <x v="0"/>
    <x v="1"/>
    <x v="1"/>
    <x v="3"/>
    <x v="6"/>
    <x v="5"/>
    <x v="1"/>
    <n v="60"/>
    <x v="15"/>
    <x v="0"/>
  </r>
  <r>
    <n v="38198"/>
    <x v="39"/>
    <x v="0"/>
    <x v="0"/>
    <x v="0"/>
    <x v="0"/>
    <x v="6"/>
    <x v="5"/>
    <x v="1"/>
    <n v="61"/>
    <x v="0"/>
    <x v="0"/>
  </r>
  <r>
    <n v="38199"/>
    <x v="39"/>
    <x v="0"/>
    <x v="1"/>
    <x v="1"/>
    <x v="0"/>
    <x v="6"/>
    <x v="5"/>
    <x v="1"/>
    <n v="61"/>
    <x v="1"/>
    <x v="0"/>
  </r>
  <r>
    <n v="38200"/>
    <x v="39"/>
    <x v="1"/>
    <x v="2"/>
    <x v="2"/>
    <x v="1"/>
    <x v="6"/>
    <x v="5"/>
    <x v="1"/>
    <n v="61"/>
    <x v="2"/>
    <x v="0"/>
  </r>
  <r>
    <n v="38201"/>
    <x v="39"/>
    <x v="1"/>
    <x v="3"/>
    <x v="3"/>
    <x v="1"/>
    <x v="6"/>
    <x v="5"/>
    <x v="1"/>
    <n v="61"/>
    <x v="3"/>
    <x v="0"/>
  </r>
  <r>
    <n v="38202"/>
    <x v="39"/>
    <x v="1"/>
    <x v="4"/>
    <x v="4"/>
    <x v="1"/>
    <x v="6"/>
    <x v="5"/>
    <x v="1"/>
    <n v="61"/>
    <x v="4"/>
    <x v="0"/>
  </r>
  <r>
    <n v="38203"/>
    <x v="39"/>
    <x v="1"/>
    <x v="5"/>
    <x v="5"/>
    <x v="1"/>
    <x v="6"/>
    <x v="5"/>
    <x v="1"/>
    <n v="61"/>
    <x v="5"/>
    <x v="0"/>
  </r>
  <r>
    <n v="38204"/>
    <x v="39"/>
    <x v="1"/>
    <x v="6"/>
    <x v="6"/>
    <x v="1"/>
    <x v="6"/>
    <x v="5"/>
    <x v="1"/>
    <n v="61"/>
    <x v="6"/>
    <x v="0"/>
  </r>
  <r>
    <n v="38205"/>
    <x v="39"/>
    <x v="1"/>
    <x v="7"/>
    <x v="7"/>
    <x v="2"/>
    <x v="6"/>
    <x v="5"/>
    <x v="1"/>
    <n v="61"/>
    <x v="7"/>
    <x v="0"/>
  </r>
  <r>
    <n v="38206"/>
    <x v="39"/>
    <x v="1"/>
    <x v="8"/>
    <x v="8"/>
    <x v="2"/>
    <x v="6"/>
    <x v="5"/>
    <x v="1"/>
    <n v="61"/>
    <x v="8"/>
    <x v="0"/>
  </r>
  <r>
    <n v="38207"/>
    <x v="39"/>
    <x v="1"/>
    <x v="9"/>
    <x v="9"/>
    <x v="2"/>
    <x v="6"/>
    <x v="5"/>
    <x v="1"/>
    <n v="61"/>
    <x v="9"/>
    <x v="0"/>
  </r>
  <r>
    <n v="38208"/>
    <x v="39"/>
    <x v="1"/>
    <x v="5"/>
    <x v="10"/>
    <x v="2"/>
    <x v="6"/>
    <x v="5"/>
    <x v="1"/>
    <n v="61"/>
    <x v="10"/>
    <x v="0"/>
  </r>
  <r>
    <n v="38209"/>
    <x v="39"/>
    <x v="1"/>
    <x v="10"/>
    <x v="10"/>
    <x v="2"/>
    <x v="6"/>
    <x v="5"/>
    <x v="1"/>
    <n v="61"/>
    <x v="11"/>
    <x v="0"/>
  </r>
  <r>
    <n v="38210"/>
    <x v="39"/>
    <x v="1"/>
    <x v="11"/>
    <x v="11"/>
    <x v="2"/>
    <x v="6"/>
    <x v="5"/>
    <x v="1"/>
    <n v="61"/>
    <x v="12"/>
    <x v="0"/>
  </r>
  <r>
    <n v="38211"/>
    <x v="39"/>
    <x v="1"/>
    <x v="6"/>
    <x v="6"/>
    <x v="2"/>
    <x v="6"/>
    <x v="5"/>
    <x v="1"/>
    <n v="61"/>
    <x v="13"/>
    <x v="0"/>
  </r>
  <r>
    <n v="38212"/>
    <x v="39"/>
    <x v="0"/>
    <x v="0"/>
    <x v="0"/>
    <x v="3"/>
    <x v="6"/>
    <x v="5"/>
    <x v="1"/>
    <n v="61"/>
    <x v="14"/>
    <x v="0"/>
  </r>
  <r>
    <n v="38213"/>
    <x v="39"/>
    <x v="0"/>
    <x v="1"/>
    <x v="1"/>
    <x v="3"/>
    <x v="6"/>
    <x v="5"/>
    <x v="1"/>
    <n v="61"/>
    <x v="15"/>
    <x v="0"/>
  </r>
  <r>
    <n v="38214"/>
    <x v="40"/>
    <x v="0"/>
    <x v="0"/>
    <x v="0"/>
    <x v="0"/>
    <x v="6"/>
    <x v="5"/>
    <x v="1"/>
    <n v="62"/>
    <x v="0"/>
    <x v="0"/>
  </r>
  <r>
    <n v="38215"/>
    <x v="40"/>
    <x v="0"/>
    <x v="1"/>
    <x v="1"/>
    <x v="0"/>
    <x v="6"/>
    <x v="5"/>
    <x v="1"/>
    <n v="62"/>
    <x v="1"/>
    <x v="0"/>
  </r>
  <r>
    <n v="38216"/>
    <x v="40"/>
    <x v="1"/>
    <x v="2"/>
    <x v="2"/>
    <x v="1"/>
    <x v="6"/>
    <x v="5"/>
    <x v="1"/>
    <n v="62"/>
    <x v="2"/>
    <x v="0"/>
  </r>
  <r>
    <n v="38217"/>
    <x v="40"/>
    <x v="1"/>
    <x v="3"/>
    <x v="3"/>
    <x v="1"/>
    <x v="6"/>
    <x v="5"/>
    <x v="1"/>
    <n v="62"/>
    <x v="3"/>
    <x v="0"/>
  </r>
  <r>
    <n v="38218"/>
    <x v="40"/>
    <x v="1"/>
    <x v="4"/>
    <x v="4"/>
    <x v="1"/>
    <x v="6"/>
    <x v="5"/>
    <x v="1"/>
    <n v="62"/>
    <x v="4"/>
    <x v="0"/>
  </r>
  <r>
    <n v="38219"/>
    <x v="40"/>
    <x v="1"/>
    <x v="5"/>
    <x v="5"/>
    <x v="1"/>
    <x v="6"/>
    <x v="5"/>
    <x v="1"/>
    <n v="62"/>
    <x v="5"/>
    <x v="0"/>
  </r>
  <r>
    <n v="38220"/>
    <x v="40"/>
    <x v="1"/>
    <x v="6"/>
    <x v="6"/>
    <x v="1"/>
    <x v="6"/>
    <x v="5"/>
    <x v="1"/>
    <n v="62"/>
    <x v="6"/>
    <x v="0"/>
  </r>
  <r>
    <n v="38221"/>
    <x v="40"/>
    <x v="1"/>
    <x v="7"/>
    <x v="7"/>
    <x v="2"/>
    <x v="6"/>
    <x v="5"/>
    <x v="1"/>
    <n v="62"/>
    <x v="7"/>
    <x v="0"/>
  </r>
  <r>
    <n v="38222"/>
    <x v="40"/>
    <x v="1"/>
    <x v="8"/>
    <x v="8"/>
    <x v="2"/>
    <x v="6"/>
    <x v="5"/>
    <x v="1"/>
    <n v="62"/>
    <x v="8"/>
    <x v="0"/>
  </r>
  <r>
    <n v="38223"/>
    <x v="40"/>
    <x v="1"/>
    <x v="9"/>
    <x v="9"/>
    <x v="2"/>
    <x v="6"/>
    <x v="5"/>
    <x v="1"/>
    <n v="62"/>
    <x v="9"/>
    <x v="0"/>
  </r>
  <r>
    <n v="38224"/>
    <x v="40"/>
    <x v="1"/>
    <x v="5"/>
    <x v="10"/>
    <x v="2"/>
    <x v="6"/>
    <x v="5"/>
    <x v="1"/>
    <n v="62"/>
    <x v="10"/>
    <x v="0"/>
  </r>
  <r>
    <n v="38225"/>
    <x v="40"/>
    <x v="1"/>
    <x v="10"/>
    <x v="10"/>
    <x v="2"/>
    <x v="6"/>
    <x v="5"/>
    <x v="1"/>
    <n v="62"/>
    <x v="11"/>
    <x v="0"/>
  </r>
  <r>
    <n v="38226"/>
    <x v="40"/>
    <x v="1"/>
    <x v="11"/>
    <x v="11"/>
    <x v="2"/>
    <x v="6"/>
    <x v="5"/>
    <x v="1"/>
    <n v="62"/>
    <x v="12"/>
    <x v="0"/>
  </r>
  <r>
    <n v="38227"/>
    <x v="40"/>
    <x v="1"/>
    <x v="6"/>
    <x v="6"/>
    <x v="2"/>
    <x v="6"/>
    <x v="5"/>
    <x v="1"/>
    <n v="62"/>
    <x v="13"/>
    <x v="0"/>
  </r>
  <r>
    <n v="38228"/>
    <x v="40"/>
    <x v="0"/>
    <x v="0"/>
    <x v="0"/>
    <x v="3"/>
    <x v="6"/>
    <x v="5"/>
    <x v="1"/>
    <n v="62"/>
    <x v="14"/>
    <x v="0"/>
  </r>
  <r>
    <n v="38229"/>
    <x v="40"/>
    <x v="0"/>
    <x v="1"/>
    <x v="1"/>
    <x v="3"/>
    <x v="6"/>
    <x v="5"/>
    <x v="1"/>
    <n v="62"/>
    <x v="15"/>
    <x v="0"/>
  </r>
  <r>
    <n v="38230"/>
    <x v="41"/>
    <x v="0"/>
    <x v="0"/>
    <x v="0"/>
    <x v="0"/>
    <x v="6"/>
    <x v="5"/>
    <x v="1"/>
    <n v="63"/>
    <x v="0"/>
    <x v="0"/>
  </r>
  <r>
    <n v="38231"/>
    <x v="41"/>
    <x v="0"/>
    <x v="1"/>
    <x v="1"/>
    <x v="0"/>
    <x v="6"/>
    <x v="5"/>
    <x v="1"/>
    <n v="63"/>
    <x v="1"/>
    <x v="0"/>
  </r>
  <r>
    <n v="38232"/>
    <x v="41"/>
    <x v="1"/>
    <x v="2"/>
    <x v="2"/>
    <x v="1"/>
    <x v="6"/>
    <x v="5"/>
    <x v="1"/>
    <n v="63"/>
    <x v="2"/>
    <x v="0"/>
  </r>
  <r>
    <n v="38233"/>
    <x v="41"/>
    <x v="1"/>
    <x v="3"/>
    <x v="3"/>
    <x v="1"/>
    <x v="6"/>
    <x v="5"/>
    <x v="1"/>
    <n v="63"/>
    <x v="3"/>
    <x v="0"/>
  </r>
  <r>
    <n v="38234"/>
    <x v="41"/>
    <x v="1"/>
    <x v="4"/>
    <x v="4"/>
    <x v="1"/>
    <x v="6"/>
    <x v="5"/>
    <x v="1"/>
    <n v="63"/>
    <x v="4"/>
    <x v="0"/>
  </r>
  <r>
    <n v="38235"/>
    <x v="41"/>
    <x v="1"/>
    <x v="5"/>
    <x v="5"/>
    <x v="1"/>
    <x v="6"/>
    <x v="5"/>
    <x v="1"/>
    <n v="63"/>
    <x v="5"/>
    <x v="0"/>
  </r>
  <r>
    <n v="38236"/>
    <x v="41"/>
    <x v="1"/>
    <x v="6"/>
    <x v="6"/>
    <x v="1"/>
    <x v="6"/>
    <x v="5"/>
    <x v="1"/>
    <n v="63"/>
    <x v="6"/>
    <x v="0"/>
  </r>
  <r>
    <n v="38237"/>
    <x v="41"/>
    <x v="1"/>
    <x v="7"/>
    <x v="7"/>
    <x v="2"/>
    <x v="6"/>
    <x v="5"/>
    <x v="1"/>
    <n v="63"/>
    <x v="7"/>
    <x v="0"/>
  </r>
  <r>
    <n v="38238"/>
    <x v="41"/>
    <x v="1"/>
    <x v="8"/>
    <x v="8"/>
    <x v="2"/>
    <x v="6"/>
    <x v="5"/>
    <x v="1"/>
    <n v="63"/>
    <x v="8"/>
    <x v="0"/>
  </r>
  <r>
    <n v="38239"/>
    <x v="41"/>
    <x v="1"/>
    <x v="9"/>
    <x v="9"/>
    <x v="2"/>
    <x v="6"/>
    <x v="5"/>
    <x v="1"/>
    <n v="63"/>
    <x v="9"/>
    <x v="0"/>
  </r>
  <r>
    <n v="38240"/>
    <x v="41"/>
    <x v="1"/>
    <x v="5"/>
    <x v="10"/>
    <x v="2"/>
    <x v="6"/>
    <x v="5"/>
    <x v="1"/>
    <n v="63"/>
    <x v="10"/>
    <x v="0"/>
  </r>
  <r>
    <n v="38241"/>
    <x v="41"/>
    <x v="1"/>
    <x v="10"/>
    <x v="10"/>
    <x v="2"/>
    <x v="6"/>
    <x v="5"/>
    <x v="1"/>
    <n v="63"/>
    <x v="11"/>
    <x v="0"/>
  </r>
  <r>
    <n v="38242"/>
    <x v="41"/>
    <x v="1"/>
    <x v="11"/>
    <x v="11"/>
    <x v="2"/>
    <x v="6"/>
    <x v="5"/>
    <x v="1"/>
    <n v="63"/>
    <x v="12"/>
    <x v="0"/>
  </r>
  <r>
    <n v="38243"/>
    <x v="41"/>
    <x v="1"/>
    <x v="6"/>
    <x v="6"/>
    <x v="2"/>
    <x v="6"/>
    <x v="5"/>
    <x v="1"/>
    <n v="63"/>
    <x v="13"/>
    <x v="0"/>
  </r>
  <r>
    <n v="38244"/>
    <x v="41"/>
    <x v="0"/>
    <x v="0"/>
    <x v="0"/>
    <x v="3"/>
    <x v="6"/>
    <x v="5"/>
    <x v="1"/>
    <n v="63"/>
    <x v="14"/>
    <x v="0"/>
  </r>
  <r>
    <n v="38245"/>
    <x v="41"/>
    <x v="0"/>
    <x v="1"/>
    <x v="1"/>
    <x v="3"/>
    <x v="6"/>
    <x v="5"/>
    <x v="1"/>
    <n v="63"/>
    <x v="15"/>
    <x v="0"/>
  </r>
  <r>
    <n v="38246"/>
    <x v="42"/>
    <x v="0"/>
    <x v="0"/>
    <x v="0"/>
    <x v="0"/>
    <x v="6"/>
    <x v="5"/>
    <x v="1"/>
    <n v="64"/>
    <x v="0"/>
    <x v="0"/>
  </r>
  <r>
    <n v="38247"/>
    <x v="42"/>
    <x v="0"/>
    <x v="1"/>
    <x v="1"/>
    <x v="0"/>
    <x v="6"/>
    <x v="5"/>
    <x v="1"/>
    <n v="64"/>
    <x v="1"/>
    <x v="0"/>
  </r>
  <r>
    <n v="38248"/>
    <x v="42"/>
    <x v="1"/>
    <x v="2"/>
    <x v="2"/>
    <x v="1"/>
    <x v="6"/>
    <x v="5"/>
    <x v="1"/>
    <n v="64"/>
    <x v="2"/>
    <x v="0"/>
  </r>
  <r>
    <n v="38249"/>
    <x v="42"/>
    <x v="1"/>
    <x v="3"/>
    <x v="3"/>
    <x v="1"/>
    <x v="6"/>
    <x v="5"/>
    <x v="1"/>
    <n v="64"/>
    <x v="3"/>
    <x v="0"/>
  </r>
  <r>
    <n v="38250"/>
    <x v="42"/>
    <x v="1"/>
    <x v="4"/>
    <x v="4"/>
    <x v="1"/>
    <x v="6"/>
    <x v="5"/>
    <x v="1"/>
    <n v="64"/>
    <x v="4"/>
    <x v="0"/>
  </r>
  <r>
    <n v="38251"/>
    <x v="42"/>
    <x v="1"/>
    <x v="5"/>
    <x v="5"/>
    <x v="1"/>
    <x v="6"/>
    <x v="5"/>
    <x v="1"/>
    <n v="64"/>
    <x v="5"/>
    <x v="0"/>
  </r>
  <r>
    <n v="38252"/>
    <x v="42"/>
    <x v="1"/>
    <x v="6"/>
    <x v="6"/>
    <x v="1"/>
    <x v="6"/>
    <x v="5"/>
    <x v="1"/>
    <n v="64"/>
    <x v="6"/>
    <x v="0"/>
  </r>
  <r>
    <n v="38253"/>
    <x v="42"/>
    <x v="1"/>
    <x v="7"/>
    <x v="7"/>
    <x v="2"/>
    <x v="6"/>
    <x v="5"/>
    <x v="1"/>
    <n v="64"/>
    <x v="7"/>
    <x v="0"/>
  </r>
  <r>
    <n v="38254"/>
    <x v="42"/>
    <x v="1"/>
    <x v="8"/>
    <x v="8"/>
    <x v="2"/>
    <x v="6"/>
    <x v="5"/>
    <x v="1"/>
    <n v="64"/>
    <x v="8"/>
    <x v="0"/>
  </r>
  <r>
    <n v="38255"/>
    <x v="42"/>
    <x v="1"/>
    <x v="9"/>
    <x v="9"/>
    <x v="2"/>
    <x v="6"/>
    <x v="5"/>
    <x v="1"/>
    <n v="64"/>
    <x v="9"/>
    <x v="0"/>
  </r>
  <r>
    <n v="38256"/>
    <x v="42"/>
    <x v="1"/>
    <x v="5"/>
    <x v="10"/>
    <x v="2"/>
    <x v="6"/>
    <x v="5"/>
    <x v="1"/>
    <n v="64"/>
    <x v="10"/>
    <x v="0"/>
  </r>
  <r>
    <n v="38257"/>
    <x v="42"/>
    <x v="1"/>
    <x v="10"/>
    <x v="10"/>
    <x v="2"/>
    <x v="6"/>
    <x v="5"/>
    <x v="1"/>
    <n v="64"/>
    <x v="11"/>
    <x v="0"/>
  </r>
  <r>
    <n v="38258"/>
    <x v="42"/>
    <x v="1"/>
    <x v="11"/>
    <x v="11"/>
    <x v="2"/>
    <x v="6"/>
    <x v="5"/>
    <x v="1"/>
    <n v="64"/>
    <x v="12"/>
    <x v="0"/>
  </r>
  <r>
    <n v="38259"/>
    <x v="42"/>
    <x v="1"/>
    <x v="6"/>
    <x v="6"/>
    <x v="2"/>
    <x v="6"/>
    <x v="5"/>
    <x v="1"/>
    <n v="64"/>
    <x v="13"/>
    <x v="0"/>
  </r>
  <r>
    <n v="38260"/>
    <x v="42"/>
    <x v="0"/>
    <x v="0"/>
    <x v="0"/>
    <x v="3"/>
    <x v="6"/>
    <x v="5"/>
    <x v="1"/>
    <n v="64"/>
    <x v="14"/>
    <x v="0"/>
  </r>
  <r>
    <n v="38261"/>
    <x v="42"/>
    <x v="0"/>
    <x v="1"/>
    <x v="1"/>
    <x v="3"/>
    <x v="6"/>
    <x v="5"/>
    <x v="1"/>
    <n v="64"/>
    <x v="15"/>
    <x v="0"/>
  </r>
  <r>
    <n v="38262"/>
    <x v="43"/>
    <x v="0"/>
    <x v="0"/>
    <x v="0"/>
    <x v="0"/>
    <x v="6"/>
    <x v="5"/>
    <x v="1"/>
    <n v="65"/>
    <x v="0"/>
    <x v="0"/>
  </r>
  <r>
    <n v="38263"/>
    <x v="43"/>
    <x v="0"/>
    <x v="1"/>
    <x v="1"/>
    <x v="0"/>
    <x v="6"/>
    <x v="5"/>
    <x v="1"/>
    <n v="65"/>
    <x v="1"/>
    <x v="0"/>
  </r>
  <r>
    <n v="38264"/>
    <x v="43"/>
    <x v="1"/>
    <x v="2"/>
    <x v="2"/>
    <x v="1"/>
    <x v="6"/>
    <x v="5"/>
    <x v="1"/>
    <n v="65"/>
    <x v="2"/>
    <x v="0"/>
  </r>
  <r>
    <n v="38265"/>
    <x v="43"/>
    <x v="1"/>
    <x v="3"/>
    <x v="3"/>
    <x v="1"/>
    <x v="6"/>
    <x v="5"/>
    <x v="1"/>
    <n v="65"/>
    <x v="3"/>
    <x v="0"/>
  </r>
  <r>
    <n v="38266"/>
    <x v="43"/>
    <x v="1"/>
    <x v="4"/>
    <x v="4"/>
    <x v="1"/>
    <x v="6"/>
    <x v="5"/>
    <x v="1"/>
    <n v="65"/>
    <x v="4"/>
    <x v="0"/>
  </r>
  <r>
    <n v="38267"/>
    <x v="43"/>
    <x v="1"/>
    <x v="5"/>
    <x v="5"/>
    <x v="1"/>
    <x v="6"/>
    <x v="5"/>
    <x v="1"/>
    <n v="65"/>
    <x v="5"/>
    <x v="0"/>
  </r>
  <r>
    <n v="38268"/>
    <x v="43"/>
    <x v="1"/>
    <x v="6"/>
    <x v="6"/>
    <x v="1"/>
    <x v="6"/>
    <x v="5"/>
    <x v="1"/>
    <n v="65"/>
    <x v="6"/>
    <x v="0"/>
  </r>
  <r>
    <n v="38269"/>
    <x v="43"/>
    <x v="1"/>
    <x v="7"/>
    <x v="7"/>
    <x v="2"/>
    <x v="6"/>
    <x v="5"/>
    <x v="1"/>
    <n v="65"/>
    <x v="7"/>
    <x v="0"/>
  </r>
  <r>
    <n v="38270"/>
    <x v="43"/>
    <x v="1"/>
    <x v="8"/>
    <x v="8"/>
    <x v="2"/>
    <x v="6"/>
    <x v="5"/>
    <x v="1"/>
    <n v="65"/>
    <x v="8"/>
    <x v="0"/>
  </r>
  <r>
    <n v="38271"/>
    <x v="43"/>
    <x v="1"/>
    <x v="9"/>
    <x v="9"/>
    <x v="2"/>
    <x v="6"/>
    <x v="5"/>
    <x v="1"/>
    <n v="65"/>
    <x v="9"/>
    <x v="0"/>
  </r>
  <r>
    <n v="38272"/>
    <x v="43"/>
    <x v="1"/>
    <x v="5"/>
    <x v="10"/>
    <x v="2"/>
    <x v="6"/>
    <x v="5"/>
    <x v="1"/>
    <n v="65"/>
    <x v="10"/>
    <x v="0"/>
  </r>
  <r>
    <n v="38273"/>
    <x v="43"/>
    <x v="1"/>
    <x v="10"/>
    <x v="10"/>
    <x v="2"/>
    <x v="6"/>
    <x v="5"/>
    <x v="1"/>
    <n v="65"/>
    <x v="11"/>
    <x v="0"/>
  </r>
  <r>
    <n v="38274"/>
    <x v="43"/>
    <x v="1"/>
    <x v="11"/>
    <x v="11"/>
    <x v="2"/>
    <x v="6"/>
    <x v="5"/>
    <x v="1"/>
    <n v="65"/>
    <x v="12"/>
    <x v="0"/>
  </r>
  <r>
    <n v="38275"/>
    <x v="43"/>
    <x v="1"/>
    <x v="6"/>
    <x v="6"/>
    <x v="2"/>
    <x v="6"/>
    <x v="5"/>
    <x v="1"/>
    <n v="65"/>
    <x v="13"/>
    <x v="0"/>
  </r>
  <r>
    <n v="38276"/>
    <x v="43"/>
    <x v="0"/>
    <x v="0"/>
    <x v="0"/>
    <x v="3"/>
    <x v="6"/>
    <x v="5"/>
    <x v="1"/>
    <n v="65"/>
    <x v="14"/>
    <x v="0"/>
  </r>
  <r>
    <n v="38277"/>
    <x v="43"/>
    <x v="0"/>
    <x v="1"/>
    <x v="1"/>
    <x v="3"/>
    <x v="6"/>
    <x v="5"/>
    <x v="1"/>
    <n v="65"/>
    <x v="15"/>
    <x v="0"/>
  </r>
  <r>
    <n v="38278"/>
    <x v="44"/>
    <x v="0"/>
    <x v="0"/>
    <x v="0"/>
    <x v="0"/>
    <x v="10"/>
    <x v="5"/>
    <x v="1"/>
    <n v="66"/>
    <x v="0"/>
    <x v="0"/>
  </r>
  <r>
    <n v="38279"/>
    <x v="44"/>
    <x v="0"/>
    <x v="1"/>
    <x v="1"/>
    <x v="0"/>
    <x v="10"/>
    <x v="5"/>
    <x v="1"/>
    <n v="66"/>
    <x v="1"/>
    <x v="0"/>
  </r>
  <r>
    <n v="38280"/>
    <x v="44"/>
    <x v="1"/>
    <x v="2"/>
    <x v="2"/>
    <x v="1"/>
    <x v="10"/>
    <x v="5"/>
    <x v="1"/>
    <n v="66"/>
    <x v="2"/>
    <x v="0"/>
  </r>
  <r>
    <n v="38281"/>
    <x v="44"/>
    <x v="1"/>
    <x v="3"/>
    <x v="3"/>
    <x v="1"/>
    <x v="10"/>
    <x v="5"/>
    <x v="1"/>
    <n v="66"/>
    <x v="3"/>
    <x v="0"/>
  </r>
  <r>
    <n v="38282"/>
    <x v="44"/>
    <x v="1"/>
    <x v="4"/>
    <x v="4"/>
    <x v="1"/>
    <x v="10"/>
    <x v="5"/>
    <x v="1"/>
    <n v="66"/>
    <x v="4"/>
    <x v="0"/>
  </r>
  <r>
    <n v="38283"/>
    <x v="44"/>
    <x v="1"/>
    <x v="5"/>
    <x v="5"/>
    <x v="1"/>
    <x v="10"/>
    <x v="5"/>
    <x v="1"/>
    <n v="66"/>
    <x v="5"/>
    <x v="0"/>
  </r>
  <r>
    <n v="38284"/>
    <x v="44"/>
    <x v="1"/>
    <x v="6"/>
    <x v="6"/>
    <x v="1"/>
    <x v="10"/>
    <x v="5"/>
    <x v="1"/>
    <n v="66"/>
    <x v="6"/>
    <x v="0"/>
  </r>
  <r>
    <n v="38285"/>
    <x v="44"/>
    <x v="1"/>
    <x v="7"/>
    <x v="7"/>
    <x v="2"/>
    <x v="10"/>
    <x v="5"/>
    <x v="1"/>
    <n v="66"/>
    <x v="7"/>
    <x v="0"/>
  </r>
  <r>
    <n v="38286"/>
    <x v="44"/>
    <x v="1"/>
    <x v="8"/>
    <x v="8"/>
    <x v="2"/>
    <x v="10"/>
    <x v="5"/>
    <x v="1"/>
    <n v="66"/>
    <x v="8"/>
    <x v="0"/>
  </r>
  <r>
    <n v="38287"/>
    <x v="44"/>
    <x v="1"/>
    <x v="9"/>
    <x v="9"/>
    <x v="2"/>
    <x v="10"/>
    <x v="5"/>
    <x v="1"/>
    <n v="66"/>
    <x v="9"/>
    <x v="0"/>
  </r>
  <r>
    <n v="38288"/>
    <x v="44"/>
    <x v="1"/>
    <x v="5"/>
    <x v="10"/>
    <x v="2"/>
    <x v="10"/>
    <x v="5"/>
    <x v="1"/>
    <n v="66"/>
    <x v="10"/>
    <x v="0"/>
  </r>
  <r>
    <n v="38289"/>
    <x v="44"/>
    <x v="1"/>
    <x v="10"/>
    <x v="10"/>
    <x v="2"/>
    <x v="10"/>
    <x v="5"/>
    <x v="1"/>
    <n v="66"/>
    <x v="11"/>
    <x v="0"/>
  </r>
  <r>
    <n v="38290"/>
    <x v="44"/>
    <x v="1"/>
    <x v="11"/>
    <x v="11"/>
    <x v="2"/>
    <x v="10"/>
    <x v="5"/>
    <x v="1"/>
    <n v="66"/>
    <x v="12"/>
    <x v="0"/>
  </r>
  <r>
    <n v="38291"/>
    <x v="44"/>
    <x v="1"/>
    <x v="6"/>
    <x v="6"/>
    <x v="2"/>
    <x v="10"/>
    <x v="5"/>
    <x v="1"/>
    <n v="66"/>
    <x v="13"/>
    <x v="0"/>
  </r>
  <r>
    <n v="38292"/>
    <x v="44"/>
    <x v="0"/>
    <x v="0"/>
    <x v="0"/>
    <x v="3"/>
    <x v="10"/>
    <x v="5"/>
    <x v="1"/>
    <n v="66"/>
    <x v="14"/>
    <x v="0"/>
  </r>
  <r>
    <n v="38293"/>
    <x v="44"/>
    <x v="0"/>
    <x v="1"/>
    <x v="1"/>
    <x v="3"/>
    <x v="10"/>
    <x v="5"/>
    <x v="1"/>
    <n v="66"/>
    <x v="15"/>
    <x v="0"/>
  </r>
  <r>
    <n v="38294"/>
    <x v="45"/>
    <x v="0"/>
    <x v="0"/>
    <x v="0"/>
    <x v="0"/>
    <x v="10"/>
    <x v="5"/>
    <x v="1"/>
    <n v="67"/>
    <x v="0"/>
    <x v="0"/>
  </r>
  <r>
    <n v="38295"/>
    <x v="45"/>
    <x v="0"/>
    <x v="1"/>
    <x v="1"/>
    <x v="0"/>
    <x v="10"/>
    <x v="5"/>
    <x v="1"/>
    <n v="67"/>
    <x v="1"/>
    <x v="0"/>
  </r>
  <r>
    <n v="38296"/>
    <x v="45"/>
    <x v="1"/>
    <x v="2"/>
    <x v="2"/>
    <x v="1"/>
    <x v="10"/>
    <x v="5"/>
    <x v="1"/>
    <n v="67"/>
    <x v="2"/>
    <x v="0"/>
  </r>
  <r>
    <n v="38297"/>
    <x v="45"/>
    <x v="1"/>
    <x v="3"/>
    <x v="3"/>
    <x v="1"/>
    <x v="10"/>
    <x v="5"/>
    <x v="1"/>
    <n v="67"/>
    <x v="3"/>
    <x v="0"/>
  </r>
  <r>
    <n v="38298"/>
    <x v="45"/>
    <x v="1"/>
    <x v="4"/>
    <x v="4"/>
    <x v="1"/>
    <x v="10"/>
    <x v="5"/>
    <x v="1"/>
    <n v="67"/>
    <x v="4"/>
    <x v="0"/>
  </r>
  <r>
    <n v="38299"/>
    <x v="45"/>
    <x v="1"/>
    <x v="5"/>
    <x v="5"/>
    <x v="1"/>
    <x v="10"/>
    <x v="5"/>
    <x v="1"/>
    <n v="67"/>
    <x v="5"/>
    <x v="0"/>
  </r>
  <r>
    <n v="38300"/>
    <x v="45"/>
    <x v="1"/>
    <x v="6"/>
    <x v="6"/>
    <x v="1"/>
    <x v="10"/>
    <x v="5"/>
    <x v="1"/>
    <n v="67"/>
    <x v="6"/>
    <x v="0"/>
  </r>
  <r>
    <n v="38301"/>
    <x v="45"/>
    <x v="1"/>
    <x v="7"/>
    <x v="7"/>
    <x v="2"/>
    <x v="10"/>
    <x v="5"/>
    <x v="1"/>
    <n v="67"/>
    <x v="7"/>
    <x v="0"/>
  </r>
  <r>
    <n v="38302"/>
    <x v="45"/>
    <x v="1"/>
    <x v="8"/>
    <x v="8"/>
    <x v="2"/>
    <x v="10"/>
    <x v="5"/>
    <x v="1"/>
    <n v="67"/>
    <x v="8"/>
    <x v="0"/>
  </r>
  <r>
    <n v="38303"/>
    <x v="45"/>
    <x v="1"/>
    <x v="9"/>
    <x v="9"/>
    <x v="2"/>
    <x v="10"/>
    <x v="5"/>
    <x v="1"/>
    <n v="67"/>
    <x v="9"/>
    <x v="0"/>
  </r>
  <r>
    <n v="38304"/>
    <x v="45"/>
    <x v="1"/>
    <x v="5"/>
    <x v="10"/>
    <x v="2"/>
    <x v="10"/>
    <x v="5"/>
    <x v="1"/>
    <n v="67"/>
    <x v="10"/>
    <x v="0"/>
  </r>
  <r>
    <n v="38305"/>
    <x v="45"/>
    <x v="1"/>
    <x v="10"/>
    <x v="10"/>
    <x v="2"/>
    <x v="10"/>
    <x v="5"/>
    <x v="1"/>
    <n v="67"/>
    <x v="11"/>
    <x v="0"/>
  </r>
  <r>
    <n v="38306"/>
    <x v="45"/>
    <x v="1"/>
    <x v="11"/>
    <x v="11"/>
    <x v="2"/>
    <x v="10"/>
    <x v="5"/>
    <x v="1"/>
    <n v="67"/>
    <x v="12"/>
    <x v="0"/>
  </r>
  <r>
    <n v="38307"/>
    <x v="45"/>
    <x v="1"/>
    <x v="6"/>
    <x v="6"/>
    <x v="2"/>
    <x v="10"/>
    <x v="5"/>
    <x v="1"/>
    <n v="67"/>
    <x v="13"/>
    <x v="0"/>
  </r>
  <r>
    <n v="38308"/>
    <x v="45"/>
    <x v="0"/>
    <x v="0"/>
    <x v="0"/>
    <x v="3"/>
    <x v="10"/>
    <x v="5"/>
    <x v="1"/>
    <n v="67"/>
    <x v="14"/>
    <x v="0"/>
  </r>
  <r>
    <n v="38309"/>
    <x v="45"/>
    <x v="0"/>
    <x v="1"/>
    <x v="1"/>
    <x v="3"/>
    <x v="10"/>
    <x v="5"/>
    <x v="1"/>
    <n v="67"/>
    <x v="15"/>
    <x v="0"/>
  </r>
  <r>
    <n v="38310"/>
    <x v="46"/>
    <x v="0"/>
    <x v="0"/>
    <x v="0"/>
    <x v="0"/>
    <x v="10"/>
    <x v="5"/>
    <x v="1"/>
    <n v="68"/>
    <x v="0"/>
    <x v="0"/>
  </r>
  <r>
    <n v="38311"/>
    <x v="46"/>
    <x v="0"/>
    <x v="1"/>
    <x v="1"/>
    <x v="0"/>
    <x v="10"/>
    <x v="5"/>
    <x v="1"/>
    <n v="68"/>
    <x v="1"/>
    <x v="0"/>
  </r>
  <r>
    <n v="38312"/>
    <x v="46"/>
    <x v="1"/>
    <x v="2"/>
    <x v="2"/>
    <x v="1"/>
    <x v="10"/>
    <x v="5"/>
    <x v="1"/>
    <n v="68"/>
    <x v="2"/>
    <x v="0"/>
  </r>
  <r>
    <n v="38313"/>
    <x v="46"/>
    <x v="1"/>
    <x v="3"/>
    <x v="3"/>
    <x v="1"/>
    <x v="10"/>
    <x v="5"/>
    <x v="1"/>
    <n v="68"/>
    <x v="3"/>
    <x v="0"/>
  </r>
  <r>
    <n v="38314"/>
    <x v="46"/>
    <x v="1"/>
    <x v="4"/>
    <x v="4"/>
    <x v="1"/>
    <x v="10"/>
    <x v="5"/>
    <x v="1"/>
    <n v="68"/>
    <x v="4"/>
    <x v="0"/>
  </r>
  <r>
    <n v="38315"/>
    <x v="46"/>
    <x v="1"/>
    <x v="5"/>
    <x v="5"/>
    <x v="1"/>
    <x v="10"/>
    <x v="5"/>
    <x v="1"/>
    <n v="68"/>
    <x v="5"/>
    <x v="0"/>
  </r>
  <r>
    <n v="38316"/>
    <x v="46"/>
    <x v="1"/>
    <x v="6"/>
    <x v="6"/>
    <x v="1"/>
    <x v="10"/>
    <x v="5"/>
    <x v="1"/>
    <n v="68"/>
    <x v="6"/>
    <x v="0"/>
  </r>
  <r>
    <n v="38317"/>
    <x v="46"/>
    <x v="1"/>
    <x v="7"/>
    <x v="7"/>
    <x v="2"/>
    <x v="10"/>
    <x v="5"/>
    <x v="1"/>
    <n v="68"/>
    <x v="7"/>
    <x v="0"/>
  </r>
  <r>
    <n v="38318"/>
    <x v="46"/>
    <x v="1"/>
    <x v="8"/>
    <x v="8"/>
    <x v="2"/>
    <x v="10"/>
    <x v="5"/>
    <x v="1"/>
    <n v="68"/>
    <x v="8"/>
    <x v="0"/>
  </r>
  <r>
    <n v="38319"/>
    <x v="46"/>
    <x v="1"/>
    <x v="9"/>
    <x v="9"/>
    <x v="2"/>
    <x v="10"/>
    <x v="5"/>
    <x v="1"/>
    <n v="68"/>
    <x v="9"/>
    <x v="0"/>
  </r>
  <r>
    <n v="38320"/>
    <x v="46"/>
    <x v="1"/>
    <x v="5"/>
    <x v="10"/>
    <x v="2"/>
    <x v="10"/>
    <x v="5"/>
    <x v="1"/>
    <n v="68"/>
    <x v="10"/>
    <x v="0"/>
  </r>
  <r>
    <n v="38321"/>
    <x v="46"/>
    <x v="1"/>
    <x v="10"/>
    <x v="10"/>
    <x v="2"/>
    <x v="10"/>
    <x v="5"/>
    <x v="1"/>
    <n v="68"/>
    <x v="11"/>
    <x v="0"/>
  </r>
  <r>
    <n v="38322"/>
    <x v="46"/>
    <x v="1"/>
    <x v="11"/>
    <x v="11"/>
    <x v="2"/>
    <x v="10"/>
    <x v="5"/>
    <x v="1"/>
    <n v="68"/>
    <x v="12"/>
    <x v="0"/>
  </r>
  <r>
    <n v="38323"/>
    <x v="46"/>
    <x v="1"/>
    <x v="6"/>
    <x v="6"/>
    <x v="2"/>
    <x v="10"/>
    <x v="5"/>
    <x v="1"/>
    <n v="68"/>
    <x v="13"/>
    <x v="0"/>
  </r>
  <r>
    <n v="38324"/>
    <x v="46"/>
    <x v="0"/>
    <x v="0"/>
    <x v="0"/>
    <x v="3"/>
    <x v="10"/>
    <x v="5"/>
    <x v="1"/>
    <n v="68"/>
    <x v="14"/>
    <x v="0"/>
  </r>
  <r>
    <n v="38325"/>
    <x v="46"/>
    <x v="0"/>
    <x v="1"/>
    <x v="1"/>
    <x v="3"/>
    <x v="10"/>
    <x v="5"/>
    <x v="1"/>
    <n v="68"/>
    <x v="15"/>
    <x v="0"/>
  </r>
  <r>
    <n v="38326"/>
    <x v="47"/>
    <x v="0"/>
    <x v="0"/>
    <x v="0"/>
    <x v="0"/>
    <x v="10"/>
    <x v="5"/>
    <x v="1"/>
    <n v="69"/>
    <x v="0"/>
    <x v="0"/>
  </r>
  <r>
    <n v="38327"/>
    <x v="47"/>
    <x v="0"/>
    <x v="1"/>
    <x v="1"/>
    <x v="0"/>
    <x v="10"/>
    <x v="5"/>
    <x v="1"/>
    <n v="69"/>
    <x v="1"/>
    <x v="0"/>
  </r>
  <r>
    <n v="38328"/>
    <x v="47"/>
    <x v="1"/>
    <x v="2"/>
    <x v="2"/>
    <x v="1"/>
    <x v="10"/>
    <x v="5"/>
    <x v="1"/>
    <n v="69"/>
    <x v="2"/>
    <x v="0"/>
  </r>
  <r>
    <n v="38329"/>
    <x v="47"/>
    <x v="1"/>
    <x v="3"/>
    <x v="3"/>
    <x v="1"/>
    <x v="10"/>
    <x v="5"/>
    <x v="1"/>
    <n v="69"/>
    <x v="3"/>
    <x v="0"/>
  </r>
  <r>
    <n v="38330"/>
    <x v="47"/>
    <x v="1"/>
    <x v="4"/>
    <x v="4"/>
    <x v="1"/>
    <x v="10"/>
    <x v="5"/>
    <x v="1"/>
    <n v="69"/>
    <x v="4"/>
    <x v="0"/>
  </r>
  <r>
    <n v="38331"/>
    <x v="47"/>
    <x v="1"/>
    <x v="5"/>
    <x v="5"/>
    <x v="1"/>
    <x v="10"/>
    <x v="5"/>
    <x v="1"/>
    <n v="69"/>
    <x v="5"/>
    <x v="0"/>
  </r>
  <r>
    <n v="38332"/>
    <x v="47"/>
    <x v="1"/>
    <x v="6"/>
    <x v="6"/>
    <x v="1"/>
    <x v="10"/>
    <x v="5"/>
    <x v="1"/>
    <n v="69"/>
    <x v="6"/>
    <x v="0"/>
  </r>
  <r>
    <n v="38333"/>
    <x v="47"/>
    <x v="1"/>
    <x v="7"/>
    <x v="7"/>
    <x v="2"/>
    <x v="10"/>
    <x v="5"/>
    <x v="1"/>
    <n v="69"/>
    <x v="7"/>
    <x v="0"/>
  </r>
  <r>
    <n v="38334"/>
    <x v="47"/>
    <x v="1"/>
    <x v="8"/>
    <x v="8"/>
    <x v="2"/>
    <x v="10"/>
    <x v="5"/>
    <x v="1"/>
    <n v="69"/>
    <x v="8"/>
    <x v="0"/>
  </r>
  <r>
    <n v="38335"/>
    <x v="47"/>
    <x v="1"/>
    <x v="9"/>
    <x v="9"/>
    <x v="2"/>
    <x v="10"/>
    <x v="5"/>
    <x v="1"/>
    <n v="69"/>
    <x v="9"/>
    <x v="0"/>
  </r>
  <r>
    <n v="38336"/>
    <x v="47"/>
    <x v="1"/>
    <x v="5"/>
    <x v="10"/>
    <x v="2"/>
    <x v="10"/>
    <x v="5"/>
    <x v="1"/>
    <n v="69"/>
    <x v="10"/>
    <x v="0"/>
  </r>
  <r>
    <n v="38337"/>
    <x v="47"/>
    <x v="1"/>
    <x v="10"/>
    <x v="10"/>
    <x v="2"/>
    <x v="10"/>
    <x v="5"/>
    <x v="1"/>
    <n v="69"/>
    <x v="11"/>
    <x v="0"/>
  </r>
  <r>
    <n v="38338"/>
    <x v="47"/>
    <x v="1"/>
    <x v="11"/>
    <x v="11"/>
    <x v="2"/>
    <x v="10"/>
    <x v="5"/>
    <x v="1"/>
    <n v="69"/>
    <x v="12"/>
    <x v="0"/>
  </r>
  <r>
    <n v="38339"/>
    <x v="47"/>
    <x v="1"/>
    <x v="6"/>
    <x v="6"/>
    <x v="2"/>
    <x v="10"/>
    <x v="5"/>
    <x v="1"/>
    <n v="69"/>
    <x v="13"/>
    <x v="0"/>
  </r>
  <r>
    <n v="38340"/>
    <x v="47"/>
    <x v="0"/>
    <x v="0"/>
    <x v="0"/>
    <x v="3"/>
    <x v="10"/>
    <x v="5"/>
    <x v="1"/>
    <n v="69"/>
    <x v="14"/>
    <x v="0"/>
  </r>
  <r>
    <n v="38341"/>
    <x v="47"/>
    <x v="0"/>
    <x v="1"/>
    <x v="1"/>
    <x v="3"/>
    <x v="10"/>
    <x v="5"/>
    <x v="1"/>
    <n v="69"/>
    <x v="15"/>
    <x v="0"/>
  </r>
  <r>
    <n v="38342"/>
    <x v="48"/>
    <x v="0"/>
    <x v="0"/>
    <x v="0"/>
    <x v="0"/>
    <x v="11"/>
    <x v="5"/>
    <x v="1"/>
    <n v="70"/>
    <x v="0"/>
    <x v="0"/>
  </r>
  <r>
    <n v="38343"/>
    <x v="48"/>
    <x v="0"/>
    <x v="1"/>
    <x v="1"/>
    <x v="0"/>
    <x v="11"/>
    <x v="5"/>
    <x v="1"/>
    <n v="70"/>
    <x v="1"/>
    <x v="0"/>
  </r>
  <r>
    <n v="38344"/>
    <x v="48"/>
    <x v="1"/>
    <x v="2"/>
    <x v="2"/>
    <x v="1"/>
    <x v="11"/>
    <x v="5"/>
    <x v="1"/>
    <n v="70"/>
    <x v="2"/>
    <x v="0"/>
  </r>
  <r>
    <n v="38345"/>
    <x v="48"/>
    <x v="1"/>
    <x v="3"/>
    <x v="3"/>
    <x v="1"/>
    <x v="11"/>
    <x v="5"/>
    <x v="1"/>
    <n v="70"/>
    <x v="3"/>
    <x v="0"/>
  </r>
  <r>
    <n v="38346"/>
    <x v="48"/>
    <x v="1"/>
    <x v="4"/>
    <x v="4"/>
    <x v="1"/>
    <x v="11"/>
    <x v="5"/>
    <x v="1"/>
    <n v="70"/>
    <x v="4"/>
    <x v="0"/>
  </r>
  <r>
    <n v="38347"/>
    <x v="48"/>
    <x v="1"/>
    <x v="5"/>
    <x v="5"/>
    <x v="1"/>
    <x v="11"/>
    <x v="5"/>
    <x v="1"/>
    <n v="70"/>
    <x v="5"/>
    <x v="0"/>
  </r>
  <r>
    <n v="38348"/>
    <x v="48"/>
    <x v="1"/>
    <x v="6"/>
    <x v="6"/>
    <x v="1"/>
    <x v="11"/>
    <x v="5"/>
    <x v="1"/>
    <n v="70"/>
    <x v="6"/>
    <x v="0"/>
  </r>
  <r>
    <n v="38349"/>
    <x v="48"/>
    <x v="1"/>
    <x v="7"/>
    <x v="7"/>
    <x v="2"/>
    <x v="11"/>
    <x v="5"/>
    <x v="1"/>
    <n v="70"/>
    <x v="7"/>
    <x v="0"/>
  </r>
  <r>
    <n v="38350"/>
    <x v="48"/>
    <x v="1"/>
    <x v="8"/>
    <x v="8"/>
    <x v="2"/>
    <x v="11"/>
    <x v="5"/>
    <x v="1"/>
    <n v="70"/>
    <x v="8"/>
    <x v="0"/>
  </r>
  <r>
    <n v="38351"/>
    <x v="48"/>
    <x v="1"/>
    <x v="9"/>
    <x v="9"/>
    <x v="2"/>
    <x v="11"/>
    <x v="5"/>
    <x v="1"/>
    <n v="70"/>
    <x v="9"/>
    <x v="0"/>
  </r>
  <r>
    <n v="38352"/>
    <x v="48"/>
    <x v="1"/>
    <x v="5"/>
    <x v="10"/>
    <x v="2"/>
    <x v="11"/>
    <x v="5"/>
    <x v="1"/>
    <n v="70"/>
    <x v="10"/>
    <x v="0"/>
  </r>
  <r>
    <n v="38353"/>
    <x v="48"/>
    <x v="1"/>
    <x v="10"/>
    <x v="10"/>
    <x v="2"/>
    <x v="11"/>
    <x v="5"/>
    <x v="1"/>
    <n v="70"/>
    <x v="11"/>
    <x v="0"/>
  </r>
  <r>
    <n v="38354"/>
    <x v="48"/>
    <x v="1"/>
    <x v="11"/>
    <x v="11"/>
    <x v="2"/>
    <x v="11"/>
    <x v="5"/>
    <x v="1"/>
    <n v="70"/>
    <x v="12"/>
    <x v="0"/>
  </r>
  <r>
    <n v="38355"/>
    <x v="48"/>
    <x v="1"/>
    <x v="6"/>
    <x v="6"/>
    <x v="2"/>
    <x v="11"/>
    <x v="5"/>
    <x v="1"/>
    <n v="70"/>
    <x v="13"/>
    <x v="0"/>
  </r>
  <r>
    <n v="38356"/>
    <x v="48"/>
    <x v="0"/>
    <x v="0"/>
    <x v="0"/>
    <x v="3"/>
    <x v="11"/>
    <x v="5"/>
    <x v="1"/>
    <n v="70"/>
    <x v="14"/>
    <x v="0"/>
  </r>
  <r>
    <n v="38357"/>
    <x v="48"/>
    <x v="0"/>
    <x v="1"/>
    <x v="1"/>
    <x v="3"/>
    <x v="11"/>
    <x v="5"/>
    <x v="1"/>
    <n v="70"/>
    <x v="1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358">
      <pivotArea type="all" dataOnly="0" outline="0" fieldPosition="0"/>
    </format>
    <format dxfId="357">
      <pivotArea outline="0" collapsedLevelsAreSubtotals="1" fieldPosition="0"/>
    </format>
    <format dxfId="356">
      <pivotArea type="origin" dataOnly="0" labelOnly="1" outline="0" fieldPosition="0"/>
    </format>
    <format dxfId="355">
      <pivotArea type="topRight" dataOnly="0" labelOnly="1" outline="0" fieldPosition="0"/>
    </format>
    <format dxfId="354">
      <pivotArea field="2" type="button" dataOnly="0" labelOnly="1" outline="0" axis="axisRow" fieldPosition="0"/>
    </format>
    <format dxfId="353">
      <pivotArea dataOnly="0" labelOnly="1" fieldPosition="0">
        <references count="1">
          <reference field="2" count="0"/>
        </references>
      </pivotArea>
    </format>
    <format dxfId="352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351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350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349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348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347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346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345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344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343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342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341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340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339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338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337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336">
      <pivotArea type="all" dataOnly="0" outline="0" fieldPosition="0"/>
    </format>
    <format dxfId="335">
      <pivotArea outline="0" collapsedLevelsAreSubtotals="1" fieldPosition="0"/>
    </format>
    <format dxfId="334">
      <pivotArea type="origin" dataOnly="0" labelOnly="1" outline="0" fieldPosition="0"/>
    </format>
    <format dxfId="333">
      <pivotArea type="topRight" dataOnly="0" labelOnly="1" outline="0" fieldPosition="0"/>
    </format>
    <format dxfId="332">
      <pivotArea field="2" type="button" dataOnly="0" labelOnly="1" outline="0" axis="axisRow" fieldPosition="0"/>
    </format>
    <format dxfId="331">
      <pivotArea dataOnly="0" labelOnly="1" fieldPosition="0">
        <references count="1">
          <reference field="2" count="0"/>
        </references>
      </pivotArea>
    </format>
    <format dxfId="330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329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328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327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326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325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324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323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322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321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320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319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318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317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316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315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314">
      <pivotArea type="origin" dataOnly="0" labelOnly="1" outline="0" fieldPosition="0"/>
    </format>
    <format dxfId="313">
      <pivotArea field="2" type="button" dataOnly="0" labelOnly="1" outline="0" axis="axisRow" fieldPosition="0"/>
    </format>
    <format dxfId="312">
      <pivotArea dataOnly="0" labelOnly="1" fieldPosition="0">
        <references count="1">
          <reference field="2" count="0"/>
        </references>
      </pivotArea>
    </format>
    <format dxfId="311">
      <pivotArea dataOnly="0" labelOnly="1" fieldPosition="0">
        <references count="1">
          <reference field="2" count="0" defaultSubtotal="1"/>
        </references>
      </pivotArea>
    </format>
    <format dxfId="31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30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30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30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30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30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30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30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30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30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300">
      <pivotArea type="origin" dataOnly="0" labelOnly="1" outline="0" fieldPosition="0"/>
    </format>
    <format dxfId="299">
      <pivotArea field="2" type="button" dataOnly="0" labelOnly="1" outline="0" axis="axisRow" fieldPosition="0"/>
    </format>
    <format dxfId="298">
      <pivotArea dataOnly="0" labelOnly="1" fieldPosition="0">
        <references count="1">
          <reference field="2" count="0"/>
        </references>
      </pivotArea>
    </format>
    <format dxfId="297">
      <pivotArea dataOnly="0" labelOnly="1" fieldPosition="0">
        <references count="1">
          <reference field="2" count="0" defaultSubtotal="1"/>
        </references>
      </pivotArea>
    </format>
    <format dxfId="29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29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29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29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29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29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29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8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8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8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86">
      <pivotArea type="origin" dataOnly="0" labelOnly="1" outline="0" fieldPosition="0"/>
    </format>
    <format dxfId="285">
      <pivotArea field="2" type="button" dataOnly="0" labelOnly="1" outline="0" axis="axisRow" fieldPosition="0"/>
    </format>
    <format dxfId="284">
      <pivotArea dataOnly="0" labelOnly="1" fieldPosition="0">
        <references count="1">
          <reference field="2" count="0"/>
        </references>
      </pivotArea>
    </format>
    <format dxfId="283">
      <pivotArea dataOnly="0" labelOnly="1" fieldPosition="0">
        <references count="1">
          <reference field="2" count="0" defaultSubtotal="1"/>
        </references>
      </pivotArea>
    </format>
    <format dxfId="282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281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280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279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278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277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276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75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74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73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4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7:AA82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2">
        <item x="8"/>
        <item sd="0" x="0"/>
        <item sd="0" x="1"/>
        <item x="9"/>
        <item x="2"/>
        <item x="6"/>
        <item x="4"/>
        <item x="10"/>
        <item x="3"/>
        <item x="11"/>
        <item x="5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3">
        <item x="10"/>
        <item x="5"/>
        <item n="(blank)" m="1" x="12"/>
        <item x="0"/>
        <item x="1"/>
        <item x="2"/>
        <item x="3"/>
        <item x="4"/>
        <item x="6"/>
        <item x="7"/>
        <item x="8"/>
        <item x="9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5">
        <item x="0"/>
        <item x="1"/>
        <item x="2"/>
        <item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0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2">
      <x v="10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272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271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270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269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268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267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266">
      <pivotArea dataOnly="0" labelOnly="1" fieldPosition="0">
        <references count="1">
          <reference field="5" count="0"/>
        </references>
      </pivotArea>
    </format>
    <format dxfId="26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264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263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262">
      <pivotArea dataOnly="0" labelOnly="1" fieldPosition="0">
        <references count="1">
          <reference field="5" count="0"/>
        </references>
      </pivotArea>
    </format>
    <format dxfId="261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260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259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258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257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25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255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254">
      <pivotArea dataOnly="0" labelOnly="1" fieldPosition="0">
        <references count="1">
          <reference field="6" count="0"/>
        </references>
      </pivotArea>
    </format>
    <format dxfId="253">
      <pivotArea dataOnly="0" labelOnly="1" fieldPosition="0">
        <references count="1">
          <reference field="8" count="1">
            <x v="0"/>
          </reference>
        </references>
      </pivotArea>
    </format>
    <format dxfId="252">
      <pivotArea dataOnly="0" labelOnly="1" fieldPosition="0">
        <references count="1">
          <reference field="8" count="1">
            <x v="2"/>
          </reference>
        </references>
      </pivotArea>
    </format>
    <format dxfId="251">
      <pivotArea outline="0" collapsedLevelsAreSubtotals="1" fieldPosition="0"/>
    </format>
    <format dxfId="250">
      <pivotArea outline="0" collapsedLevelsAreSubtotals="1" fieldPosition="0"/>
    </format>
    <format dxfId="249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248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247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46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45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44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43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2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241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24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239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238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237">
      <pivotArea collapsedLevelsAreSubtotals="1" fieldPosition="0">
        <references count="1">
          <reference field="8" count="1">
            <x v="2"/>
          </reference>
        </references>
      </pivotArea>
    </format>
    <format dxfId="236">
      <pivotArea dataOnly="0" labelOnly="1" fieldPosition="0">
        <references count="1">
          <reference field="8" count="1">
            <x v="2"/>
          </reference>
        </references>
      </pivotArea>
    </format>
    <format dxfId="235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34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33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32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31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30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29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28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27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226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225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24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23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22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21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20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19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18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17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16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15">
      <pivotArea outline="0" collapsedLevelsAreSubtotals="1" fieldPosition="0"/>
    </format>
    <format dxfId="214">
      <pivotArea dataOnly="0" labelOnly="1" fieldPosition="0">
        <references count="1">
          <reference field="8" count="0"/>
        </references>
      </pivotArea>
    </format>
    <format dxfId="213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212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211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2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09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08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207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06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05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204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203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202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201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200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99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98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97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96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95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94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93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type="origin" dataOnly="0" labelOnly="1" outline="0" fieldPosition="0"/>
    </format>
    <format dxfId="189">
      <pivotArea field="5" type="button" dataOnly="0" labelOnly="1" outline="0" axis="axisCol" fieldPosition="0"/>
    </format>
    <format dxfId="188">
      <pivotArea field="4" type="button" dataOnly="0" labelOnly="1" outline="0" axis="axisCol" fieldPosition="1"/>
    </format>
    <format dxfId="187">
      <pivotArea field="3" type="button" dataOnly="0" labelOnly="1" outline="0" axis="axisCol" fieldPosition="2"/>
    </format>
    <format dxfId="186">
      <pivotArea type="topRight" dataOnly="0" labelOnly="1" outline="0" fieldPosition="0"/>
    </format>
    <format dxfId="185">
      <pivotArea field="8" type="button" dataOnly="0" labelOnly="1" outline="0" axis="axisRow" fieldPosition="0"/>
    </format>
    <format dxfId="184">
      <pivotArea dataOnly="0" labelOnly="1" fieldPosition="0">
        <references count="1">
          <reference field="8" count="0"/>
        </references>
      </pivotArea>
    </format>
    <format dxfId="183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182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181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8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79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78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77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76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75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74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73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72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71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70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69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68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167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66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65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64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63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162">
      <pivotArea dataOnly="0" labelOnly="1" outline="0" fieldPosition="0">
        <references count="1">
          <reference field="5" count="0"/>
        </references>
      </pivotArea>
    </format>
    <format dxfId="161">
      <pivotArea dataOnly="0" labelOnly="1" outline="0" fieldPosition="0">
        <references count="1">
          <reference field="5" count="0" sumSubtotal="1"/>
        </references>
      </pivotArea>
    </format>
    <format dxfId="160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159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158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157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156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55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54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53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52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1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50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49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48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47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46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145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144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143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142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141">
      <pivotArea dataOnly="0" labelOnly="1" fieldPosition="0">
        <references count="1">
          <reference field="8" count="1">
            <x v="0"/>
          </reference>
        </references>
      </pivotArea>
    </format>
    <format dxfId="140">
      <pivotArea dataOnly="0" labelOnly="1" fieldPosition="0">
        <references count="1">
          <reference field="8" count="1">
            <x v="0"/>
          </reference>
        </references>
      </pivotArea>
    </format>
    <format dxfId="139">
      <pivotArea collapsedLevelsAreSubtotals="1" fieldPosition="0">
        <references count="1">
          <reference field="8" count="1">
            <x v="0"/>
          </reference>
        </references>
      </pivotArea>
    </format>
    <format dxfId="138">
      <pivotArea dataOnly="0" labelOnly="1" fieldPosition="0">
        <references count="1">
          <reference field="8" count="1">
            <x v="0"/>
          </reference>
        </references>
      </pivotArea>
    </format>
    <format dxfId="137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8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nxt_reporter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5.xml><?xml version="1.0" encoding="utf-8"?>
<queryTable xmlns="http://schemas.openxmlformats.org/spreadsheetml/2006/main" name="postgres tructhuoc" connectionId="7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6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360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359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136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2"/>
  <sheetViews>
    <sheetView tabSelected="1" topLeftCell="E2" zoomScaleNormal="100" workbookViewId="0">
      <pane xSplit="3" topLeftCell="H1" activePane="topRight" state="frozen"/>
      <selection activeCell="E1" sqref="E1"/>
      <selection pane="topRight" activeCell="N20" sqref="N20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13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5.28515625" customWidth="1"/>
    <col min="18" max="18" width="12.28515625" customWidth="1"/>
    <col min="19" max="19" width="11.28515625" customWidth="1"/>
    <col min="20" max="20" width="15.5703125" customWidth="1"/>
    <col min="21" max="21" width="5.8554687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7.42578125" customWidth="1"/>
    <col min="27" max="27" width="10.42578125" customWidth="1"/>
    <col min="28" max="28" width="8.140625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ht="15.75" x14ac:dyDescent="0.25">
      <c r="C3" s="9"/>
      <c r="D3" s="9"/>
      <c r="E3" s="9"/>
      <c r="F3" s="55" t="s">
        <v>274</v>
      </c>
      <c r="G3" s="55" t="s">
        <v>273</v>
      </c>
      <c r="H3" s="55" t="str">
        <f>IF(H8="",$F$3, IF(ISNUMBER(SEARCH("Sum", H8)), "Tổng", H8))</f>
        <v>Tồn đầu kỳ</v>
      </c>
      <c r="I3" s="55"/>
      <c r="J3" s="55" t="str">
        <f t="shared" ref="J3:AA3" si="0">IF(J8="",$F$3, IF(ISNUMBER(SEARCH("Sum", J8)), "Tổng", J8))</f>
        <v>Tổng</v>
      </c>
      <c r="K3" s="55" t="str">
        <f t="shared" si="0"/>
        <v>Nhập</v>
      </c>
      <c r="L3" s="55"/>
      <c r="M3" s="55"/>
      <c r="N3" s="55"/>
      <c r="O3" s="55"/>
      <c r="P3" s="55" t="str">
        <f t="shared" si="0"/>
        <v>Tổng</v>
      </c>
      <c r="Q3" s="55" t="str">
        <f t="shared" si="0"/>
        <v>Xuất</v>
      </c>
      <c r="R3" s="55"/>
      <c r="S3" s="55"/>
      <c r="T3" s="55"/>
      <c r="U3" s="55"/>
      <c r="V3" s="55"/>
      <c r="W3" s="55"/>
      <c r="X3" s="55" t="str">
        <f t="shared" si="0"/>
        <v>Tổng</v>
      </c>
      <c r="Y3" s="55" t="str">
        <f t="shared" si="0"/>
        <v>Tồn cuối kỳ</v>
      </c>
      <c r="Z3" s="55"/>
      <c r="AA3" s="55" t="str">
        <f t="shared" si="0"/>
        <v>Tổng</v>
      </c>
    </row>
    <row r="4" spans="1:66" ht="15.75" x14ac:dyDescent="0.25">
      <c r="C4" s="9"/>
      <c r="D4" s="9"/>
      <c r="E4" s="9"/>
      <c r="F4" s="55"/>
      <c r="G4" s="55"/>
      <c r="H4" s="56" t="str">
        <f t="shared" ref="H4:Z4" si="1">IF(H9="",$F$3, IF(ISNUMBER(SEARCH("Sum", H9)), "Tổng", H9))</f>
        <v>DT cho NV đột xuất</v>
      </c>
      <c r="I4" s="55" t="str">
        <f t="shared" si="1"/>
        <v>DT SSCD</v>
      </c>
      <c r="J4" s="55"/>
      <c r="K4" s="17" t="str">
        <f t="shared" si="1"/>
        <v>Nhập khác</v>
      </c>
      <c r="L4" s="55" t="str">
        <f t="shared" si="1"/>
        <v>CXD</v>
      </c>
      <c r="M4" s="55" t="str">
        <f t="shared" si="1"/>
        <v>QC</v>
      </c>
      <c r="N4" s="55" t="str">
        <f t="shared" si="1"/>
        <v>Mua P/cấp</v>
      </c>
      <c r="O4" s="55" t="str">
        <f t="shared" si="1"/>
        <v>Khác</v>
      </c>
      <c r="P4" s="55"/>
      <c r="Q4" s="55" t="str">
        <f t="shared" si="1"/>
        <v>Xuất khác</v>
      </c>
      <c r="R4" s="55"/>
      <c r="S4" s="55" t="str">
        <f t="shared" si="1"/>
        <v>Khác</v>
      </c>
      <c r="T4" s="56" t="str">
        <f t="shared" si="1"/>
        <v>TT Xe máy</v>
      </c>
      <c r="U4" s="55" t="str">
        <f t="shared" si="1"/>
        <v>BQ</v>
      </c>
      <c r="V4" s="55" t="str">
        <f t="shared" si="1"/>
        <v>Hao hụt</v>
      </c>
      <c r="W4" s="55" t="str">
        <f t="shared" si="1"/>
        <v>Tổn thất</v>
      </c>
      <c r="X4" s="55"/>
      <c r="Y4" s="56" t="str">
        <f t="shared" si="1"/>
        <v>DT cho NV đột xuất</v>
      </c>
      <c r="Z4" s="55" t="str">
        <f t="shared" si="1"/>
        <v>DT SSCD</v>
      </c>
      <c r="AA4" s="55"/>
    </row>
    <row r="5" spans="1:66" ht="15.75" x14ac:dyDescent="0.25">
      <c r="C5" s="9"/>
      <c r="D5" s="9"/>
      <c r="E5" s="9"/>
      <c r="F5" s="55"/>
      <c r="G5" s="55"/>
      <c r="H5" s="56"/>
      <c r="I5" s="55"/>
      <c r="J5" s="55"/>
      <c r="K5" s="17" t="str">
        <f t="shared" ref="K5:R5" si="2">IF(K10="",$F$3, IF(ISNUMBER(SEARCH("Sum", K10)), "Tổng", K10))</f>
        <v>Trong QC</v>
      </c>
      <c r="L5" s="55"/>
      <c r="M5" s="55"/>
      <c r="N5" s="55"/>
      <c r="O5" s="55"/>
      <c r="P5" s="55"/>
      <c r="Q5" s="17" t="str">
        <f t="shared" si="2"/>
        <v>Ngoài QC</v>
      </c>
      <c r="R5" s="17" t="str">
        <f t="shared" si="2"/>
        <v>Trong QC</v>
      </c>
      <c r="S5" s="55"/>
      <c r="T5" s="56"/>
      <c r="U5" s="55"/>
      <c r="V5" s="55"/>
      <c r="W5" s="55"/>
      <c r="X5" s="55"/>
      <c r="Y5" s="56"/>
      <c r="Z5" s="55"/>
      <c r="AA5" s="55"/>
    </row>
    <row r="6" spans="1:66" hidden="1" x14ac:dyDescent="0.25">
      <c r="F6" s="21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6"/>
      <c r="AH6">
        <f>ROW()</f>
        <v>6</v>
      </c>
      <c r="AI6">
        <f>COLUMN(AI7)</f>
        <v>35</v>
      </c>
    </row>
    <row r="7" spans="1:66" hidden="1" x14ac:dyDescent="0.25">
      <c r="F7" s="21"/>
      <c r="G7" s="41" t="s">
        <v>273</v>
      </c>
      <c r="H7" s="41" t="s">
        <v>216</v>
      </c>
      <c r="I7" s="48"/>
      <c r="J7" s="48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48"/>
      <c r="AH7">
        <f>ROW()</f>
        <v>7</v>
      </c>
      <c r="AI7">
        <f>AK21</f>
        <v>0</v>
      </c>
      <c r="AJ7" t="str">
        <f t="shared" ref="AJ7:AV7" si="3">IF(I8="",$F$3, IF(ISNUMBER(SEARCH("Sum", I8)), "Tổng", I8))</f>
        <v>Tồn đầu kỳ</v>
      </c>
      <c r="AK7" t="str">
        <f t="shared" si="3"/>
        <v>Tổng</v>
      </c>
      <c r="AL7" t="str">
        <f t="shared" si="3"/>
        <v>Nhập</v>
      </c>
      <c r="AM7" t="str">
        <f t="shared" si="3"/>
        <v>Nhập</v>
      </c>
      <c r="AN7" t="str">
        <f t="shared" si="3"/>
        <v>Nhập</v>
      </c>
      <c r="AO7" t="str">
        <f t="shared" si="3"/>
        <v>Nhập</v>
      </c>
      <c r="AP7" t="str">
        <f t="shared" si="3"/>
        <v>Nhập</v>
      </c>
      <c r="AQ7" t="str">
        <f t="shared" si="3"/>
        <v>Tổng</v>
      </c>
      <c r="AR7" t="str">
        <f t="shared" si="3"/>
        <v>Xuất</v>
      </c>
      <c r="AS7" t="str">
        <f t="shared" si="3"/>
        <v>Xuất</v>
      </c>
      <c r="AT7" t="str">
        <f t="shared" si="3"/>
        <v>Xuất</v>
      </c>
      <c r="AU7" t="str">
        <f t="shared" si="3"/>
        <v>Xuất</v>
      </c>
      <c r="AV7" t="str">
        <f t="shared" si="3"/>
        <v>Xuất</v>
      </c>
      <c r="AW7" t="str">
        <f>IF(V8="",$F$3, IF(ISNUMBER(SEARCH("Sum", V8)), "Tổng", V8))</f>
        <v>Xuất</v>
      </c>
      <c r="AX7" t="str">
        <f t="shared" ref="AX7" si="4">IF(W8="",$F$3, IF(ISNUMBER(SEARCH("Sum", W8)), "Tổng", W8))</f>
        <v>Xuất</v>
      </c>
      <c r="AY7" t="str">
        <f t="shared" ref="AY7" si="5">IF(X8="",$F$3, IF(ISNUMBER(SEARCH("Sum", X8)), "Tổng", X8))</f>
        <v>Tổng</v>
      </c>
      <c r="AZ7" t="str">
        <f t="shared" ref="AZ7" si="6">IF(Y8="",$F$3, IF(ISNUMBER(SEARCH("Sum", Y8)), "Tổng", Y8))</f>
        <v>Tồn cuối kỳ</v>
      </c>
      <c r="BA7" t="str">
        <f t="shared" ref="BA7" si="7">IF(Z8="",$F$3, IF(ISNUMBER(SEARCH("Sum", Z8)), "Tổng", Z8))</f>
        <v>Tồn cuối kỳ</v>
      </c>
      <c r="BB7" t="str">
        <f t="shared" ref="BB7" si="8">IF(AA8="",$F$3, IF(ISNUMBER(SEARCH("Sum", AA8)), "Tổng", AA8))</f>
        <v>Tổng</v>
      </c>
      <c r="BC7" t="str">
        <f t="shared" ref="BC7" si="9">IF(AB8="",$F$3,SUBSTITUTE(AB8,"Sum",""))</f>
        <v>TT</v>
      </c>
      <c r="BD7" t="str">
        <f t="shared" ref="BD7" si="10">IF(AC8="",$F$3,SUBSTITUTE(AC8,"Sum",""))</f>
        <v>TT</v>
      </c>
    </row>
    <row r="8" spans="1:66" s="8" customFormat="1" hidden="1" x14ac:dyDescent="0.25">
      <c r="A8" s="13"/>
      <c r="B8" s="12"/>
      <c r="F8" s="22"/>
      <c r="G8" s="48"/>
      <c r="H8" s="51" t="s">
        <v>267</v>
      </c>
      <c r="I8" s="52" t="s">
        <v>267</v>
      </c>
      <c r="J8" s="53" t="s">
        <v>269</v>
      </c>
      <c r="K8" s="51" t="s">
        <v>265</v>
      </c>
      <c r="L8" s="54" t="s">
        <v>265</v>
      </c>
      <c r="M8" s="54" t="s">
        <v>265</v>
      </c>
      <c r="N8" s="54" t="s">
        <v>265</v>
      </c>
      <c r="O8" s="52" t="s">
        <v>265</v>
      </c>
      <c r="P8" s="53" t="s">
        <v>270</v>
      </c>
      <c r="Q8" s="51" t="s">
        <v>268</v>
      </c>
      <c r="R8" s="54" t="s">
        <v>268</v>
      </c>
      <c r="S8" s="54" t="s">
        <v>268</v>
      </c>
      <c r="T8" s="54" t="s">
        <v>268</v>
      </c>
      <c r="U8" s="54" t="s">
        <v>268</v>
      </c>
      <c r="V8" s="54" t="s">
        <v>268</v>
      </c>
      <c r="W8" s="52" t="s">
        <v>268</v>
      </c>
      <c r="X8" s="53" t="s">
        <v>271</v>
      </c>
      <c r="Y8" s="51" t="s">
        <v>266</v>
      </c>
      <c r="Z8" s="52" t="s">
        <v>266</v>
      </c>
      <c r="AA8" s="53" t="s">
        <v>272</v>
      </c>
      <c r="AI8" t="str">
        <f t="shared" ref="AI8:AI9" si="11">IF(H9="",$F$3, IF(ISNUMBER(SEARCH("Sum", H9)), "Tổng", H9))</f>
        <v>DT cho NV đột xuất</v>
      </c>
      <c r="AJ8" t="str">
        <f t="shared" ref="AJ8:AJ9" si="12">IF(I9="",$F$3, IF(ISNUMBER(SEARCH("Sum", I9)), "Tổng", I9))</f>
        <v>DT SSCD</v>
      </c>
      <c r="AK8" t="str">
        <f t="shared" ref="AK8:AK9" si="13">IF(J9="",$F$3, IF(ISNUMBER(SEARCH("Sum", J9)), "Tổng", J9))</f>
        <v>TT</v>
      </c>
      <c r="AL8" t="str">
        <f t="shared" ref="AL8:AL9" si="14">IF(K9="",$F$3, IF(ISNUMBER(SEARCH("Sum", K9)), "Tổng", K9))</f>
        <v>Nhập khác</v>
      </c>
      <c r="AM8" t="str">
        <f t="shared" ref="AM8:AM9" si="15">IF(L9="",$F$3, IF(ISNUMBER(SEARCH("Sum", L9)), "Tổng", L9))</f>
        <v>CXD</v>
      </c>
      <c r="AN8" t="str">
        <f t="shared" ref="AN8:AN9" si="16">IF(M9="",$F$3, IF(ISNUMBER(SEARCH("Sum", M9)), "Tổng", M9))</f>
        <v>QC</v>
      </c>
      <c r="AO8" t="str">
        <f t="shared" ref="AO8:AO9" si="17">IF(N9="",$F$3, IF(ISNUMBER(SEARCH("Sum", N9)), "Tổng", N9))</f>
        <v>Mua P/cấp</v>
      </c>
      <c r="AP8" t="str">
        <f t="shared" ref="AP8:AP9" si="18">IF(O9="",$F$3, IF(ISNUMBER(SEARCH("Sum", O9)), "Tổng", O9))</f>
        <v>Khác</v>
      </c>
      <c r="AQ8" t="str">
        <f t="shared" ref="AQ8:AQ9" si="19">IF(P9="",$F$3, IF(ISNUMBER(SEARCH("Sum", P9)), "Tổng", P9))</f>
        <v>TT</v>
      </c>
      <c r="AR8" t="str">
        <f t="shared" ref="AR8:AR9" si="20">IF(Q9="",$F$3, IF(ISNUMBER(SEARCH("Sum", Q9)), "Tổng", Q9))</f>
        <v>Xuất khác</v>
      </c>
      <c r="AS8" t="str">
        <f t="shared" ref="AS8:AS9" si="21">IF(R9="",$F$3, IF(ISNUMBER(SEARCH("Sum", R9)), "Tổng", R9))</f>
        <v>Xuất khác</v>
      </c>
      <c r="AT8" t="str">
        <f t="shared" ref="AT8:AT9" si="22">IF(S9="",$F$3, IF(ISNUMBER(SEARCH("Sum", S9)), "Tổng", S9))</f>
        <v>Khác</v>
      </c>
      <c r="AU8" t="str">
        <f t="shared" ref="AU8:AU9" si="23">IF(T9="",$F$3, IF(ISNUMBER(SEARCH("Sum", T9)), "Tổng", T9))</f>
        <v>TT Xe máy</v>
      </c>
      <c r="AV8" t="str">
        <f t="shared" ref="AV8:AV9" si="24">IF(U9="",$F$3, IF(ISNUMBER(SEARCH("Sum", U9)), "Tổng", U9))</f>
        <v>BQ</v>
      </c>
      <c r="AW8" t="str">
        <f t="shared" ref="AW8:AW9" si="25">IF(V9="",$F$3, IF(ISNUMBER(SEARCH("Sum", V9)), "Tổng", V9))</f>
        <v>Hao hụt</v>
      </c>
      <c r="AX8" t="str">
        <f t="shared" ref="AX8:AX9" si="26">IF(W9="",$F$3, IF(ISNUMBER(SEARCH("Sum", W9)), "Tổng", W9))</f>
        <v>Tổn thất</v>
      </c>
      <c r="AY8" t="str">
        <f t="shared" ref="AY8:AY9" si="27">IF(X9="",$F$3, IF(ISNUMBER(SEARCH("Sum", X9)), "Tổng", X9))</f>
        <v>TT</v>
      </c>
      <c r="AZ8" t="str">
        <f t="shared" ref="AZ8:AZ9" si="28">IF(Y9="",$F$3, IF(ISNUMBER(SEARCH("Sum", Y9)), "Tổng", Y9))</f>
        <v>DT cho NV đột xuất</v>
      </c>
      <c r="BA8" t="str">
        <f t="shared" ref="BA8:BA9" si="29">IF(Z9="",$F$3, IF(ISNUMBER(SEARCH("Sum", Z9)), "Tổng", Z9))</f>
        <v>DT SSCD</v>
      </c>
      <c r="BB8" t="str">
        <f t="shared" ref="BB8:BB9" si="30">IF(AA9="",$F$3, IF(ISNUMBER(SEARCH("Sum", AA9)), "Tổng", AA9))</f>
        <v>TT</v>
      </c>
      <c r="BC8" t="str">
        <f t="shared" ref="BC8:BC9" si="31">IF(AB9="",$F$3,SUBSTITUTE(AB9,"Sum",""))</f>
        <v>TT</v>
      </c>
      <c r="BD8" t="str">
        <f t="shared" ref="BD8:BD9" si="32">IF(AC9="",$F$3,SUBSTITUTE(AC9,"Sum",""))</f>
        <v>TT</v>
      </c>
      <c r="BE8"/>
      <c r="BF8"/>
      <c r="BG8"/>
      <c r="BH8"/>
      <c r="BI8"/>
      <c r="BJ8"/>
      <c r="BK8"/>
      <c r="BL8"/>
      <c r="BM8"/>
      <c r="BN8"/>
    </row>
    <row r="9" spans="1:66" s="8" customFormat="1" hidden="1" x14ac:dyDescent="0.25">
      <c r="A9" s="14"/>
      <c r="B9" s="12"/>
      <c r="F9" s="22"/>
      <c r="G9" s="48"/>
      <c r="H9" s="49" t="s">
        <v>247</v>
      </c>
      <c r="I9" s="47" t="s">
        <v>248</v>
      </c>
      <c r="J9" s="52"/>
      <c r="K9" s="49" t="s">
        <v>263</v>
      </c>
      <c r="L9" s="49" t="s">
        <v>246</v>
      </c>
      <c r="M9" s="49" t="s">
        <v>250</v>
      </c>
      <c r="N9" s="49" t="s">
        <v>249</v>
      </c>
      <c r="O9" s="47" t="s">
        <v>150</v>
      </c>
      <c r="P9" s="52"/>
      <c r="Q9" s="51" t="s">
        <v>264</v>
      </c>
      <c r="R9" s="54" t="s">
        <v>264</v>
      </c>
      <c r="S9" s="49" t="s">
        <v>150</v>
      </c>
      <c r="T9" s="49" t="s">
        <v>251</v>
      </c>
      <c r="U9" s="49" t="s">
        <v>245</v>
      </c>
      <c r="V9" s="49" t="s">
        <v>160</v>
      </c>
      <c r="W9" s="47" t="s">
        <v>155</v>
      </c>
      <c r="X9" s="52"/>
      <c r="Y9" s="49" t="s">
        <v>247</v>
      </c>
      <c r="Z9" s="47" t="s">
        <v>248</v>
      </c>
      <c r="AA9" s="52"/>
      <c r="AI9" t="str">
        <f t="shared" si="11"/>
        <v>DT cho NV đột xuất</v>
      </c>
      <c r="AJ9" t="str">
        <f t="shared" si="12"/>
        <v>DT SSCD</v>
      </c>
      <c r="AK9" t="str">
        <f t="shared" si="13"/>
        <v>TT</v>
      </c>
      <c r="AL9" t="str">
        <f t="shared" si="14"/>
        <v>Trong QC</v>
      </c>
      <c r="AM9" t="str">
        <f t="shared" si="15"/>
        <v>CXD</v>
      </c>
      <c r="AN9" t="str">
        <f t="shared" si="16"/>
        <v>QC</v>
      </c>
      <c r="AO9" t="str">
        <f t="shared" si="17"/>
        <v>Mua P/cấp</v>
      </c>
      <c r="AP9" t="str">
        <f t="shared" si="18"/>
        <v>Khác</v>
      </c>
      <c r="AQ9" t="str">
        <f t="shared" si="19"/>
        <v>TT</v>
      </c>
      <c r="AR9" t="str">
        <f t="shared" si="20"/>
        <v>Ngoài QC</v>
      </c>
      <c r="AS9" t="str">
        <f t="shared" si="21"/>
        <v>Trong QC</v>
      </c>
      <c r="AT9" t="str">
        <f t="shared" si="22"/>
        <v>Khác</v>
      </c>
      <c r="AU9" t="str">
        <f t="shared" si="23"/>
        <v>TT Xe máy</v>
      </c>
      <c r="AV9" t="str">
        <f t="shared" si="24"/>
        <v>BQ</v>
      </c>
      <c r="AW9" t="str">
        <f t="shared" si="25"/>
        <v>Hao hụt</v>
      </c>
      <c r="AX9" t="str">
        <f t="shared" si="26"/>
        <v>Tổn thất</v>
      </c>
      <c r="AY9" t="str">
        <f t="shared" si="27"/>
        <v>TT</v>
      </c>
      <c r="AZ9" t="str">
        <f t="shared" si="28"/>
        <v>DT cho NV đột xuất</v>
      </c>
      <c r="BA9" t="str">
        <f t="shared" si="29"/>
        <v>DT SSCD</v>
      </c>
      <c r="BB9" t="str">
        <f t="shared" si="30"/>
        <v>TT</v>
      </c>
      <c r="BC9" t="str">
        <f t="shared" si="31"/>
        <v>TT</v>
      </c>
      <c r="BD9" t="str">
        <f t="shared" si="32"/>
        <v>TT</v>
      </c>
      <c r="BE9"/>
      <c r="BF9"/>
      <c r="BG9"/>
      <c r="BH9"/>
      <c r="BI9"/>
      <c r="BJ9"/>
      <c r="BK9"/>
      <c r="BL9"/>
      <c r="BM9"/>
      <c r="BN9"/>
    </row>
    <row r="10" spans="1:66" s="8" customFormat="1" hidden="1" x14ac:dyDescent="0.25">
      <c r="A10" s="14"/>
      <c r="B10" s="12"/>
      <c r="F10" s="24"/>
      <c r="G10" s="41" t="s">
        <v>273</v>
      </c>
      <c r="H10" s="47" t="s">
        <v>247</v>
      </c>
      <c r="I10" s="47" t="s">
        <v>248</v>
      </c>
      <c r="J10" s="52"/>
      <c r="K10" s="47" t="s">
        <v>152</v>
      </c>
      <c r="L10" s="47" t="s">
        <v>246</v>
      </c>
      <c r="M10" s="47" t="s">
        <v>250</v>
      </c>
      <c r="N10" s="47" t="s">
        <v>249</v>
      </c>
      <c r="O10" s="47" t="s">
        <v>150</v>
      </c>
      <c r="P10" s="52"/>
      <c r="Q10" s="49" t="s">
        <v>154</v>
      </c>
      <c r="R10" s="47" t="s">
        <v>152</v>
      </c>
      <c r="S10" s="47" t="s">
        <v>150</v>
      </c>
      <c r="T10" s="47" t="s">
        <v>251</v>
      </c>
      <c r="U10" s="47" t="s">
        <v>245</v>
      </c>
      <c r="V10" s="47" t="s">
        <v>160</v>
      </c>
      <c r="W10" s="47" t="s">
        <v>155</v>
      </c>
      <c r="X10" s="52"/>
      <c r="Y10" s="47" t="s">
        <v>247</v>
      </c>
      <c r="Z10" s="47" t="s">
        <v>248</v>
      </c>
      <c r="AA10" s="52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66" s="20" customFormat="1" ht="14.25" x14ac:dyDescent="0.2">
      <c r="A11" s="42"/>
      <c r="B11" s="19"/>
      <c r="F11" s="23" t="s">
        <v>275</v>
      </c>
      <c r="G11" s="33" t="s">
        <v>262</v>
      </c>
      <c r="H11" s="43">
        <v>160000</v>
      </c>
      <c r="I11" s="43">
        <v>160000</v>
      </c>
      <c r="J11" s="43">
        <v>320000</v>
      </c>
      <c r="K11" s="43">
        <v>0</v>
      </c>
      <c r="L11" s="43">
        <v>0</v>
      </c>
      <c r="M11" s="43">
        <v>0</v>
      </c>
      <c r="N11" s="43">
        <v>0</v>
      </c>
      <c r="O11" s="43">
        <v>0</v>
      </c>
      <c r="P11" s="43">
        <v>0</v>
      </c>
      <c r="Q11" s="43">
        <v>0</v>
      </c>
      <c r="R11" s="43">
        <v>0</v>
      </c>
      <c r="S11" s="43">
        <v>0</v>
      </c>
      <c r="T11" s="43">
        <v>0</v>
      </c>
      <c r="U11" s="43">
        <v>0</v>
      </c>
      <c r="V11" s="43">
        <v>0</v>
      </c>
      <c r="W11" s="43">
        <v>0</v>
      </c>
      <c r="X11" s="43">
        <v>0</v>
      </c>
      <c r="Y11" s="43">
        <v>241944</v>
      </c>
      <c r="Z11" s="43">
        <v>160000</v>
      </c>
      <c r="AA11" s="44">
        <v>401944</v>
      </c>
    </row>
    <row r="12" spans="1:66" hidden="1" x14ac:dyDescent="0.25">
      <c r="F12" s="21"/>
      <c r="G12" s="34" t="s">
        <v>276</v>
      </c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8"/>
    </row>
    <row r="13" spans="1:66" s="20" customFormat="1" ht="14.25" x14ac:dyDescent="0.2">
      <c r="A13" s="18"/>
      <c r="B13" s="19"/>
      <c r="F13" s="23">
        <v>1</v>
      </c>
      <c r="G13" s="36" t="s">
        <v>276</v>
      </c>
      <c r="H13" s="29">
        <v>40000</v>
      </c>
      <c r="I13" s="29">
        <v>40000</v>
      </c>
      <c r="J13" s="29">
        <v>80000</v>
      </c>
      <c r="K13" s="29">
        <v>0</v>
      </c>
      <c r="L13" s="29">
        <v>0</v>
      </c>
      <c r="M13" s="29">
        <v>0</v>
      </c>
      <c r="N13" s="29">
        <v>0</v>
      </c>
      <c r="O13" s="29">
        <v>0</v>
      </c>
      <c r="P13" s="29">
        <v>0</v>
      </c>
      <c r="Q13" s="29">
        <v>0</v>
      </c>
      <c r="R13" s="29">
        <v>0</v>
      </c>
      <c r="S13" s="29"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80300</v>
      </c>
      <c r="Z13" s="29">
        <v>40000</v>
      </c>
      <c r="AA13" s="30">
        <v>120300</v>
      </c>
    </row>
    <row r="14" spans="1:66" x14ac:dyDescent="0.25">
      <c r="F14" s="21"/>
      <c r="G14" s="37" t="s">
        <v>45</v>
      </c>
      <c r="H14" s="27">
        <v>20000</v>
      </c>
      <c r="I14" s="27">
        <v>20000</v>
      </c>
      <c r="J14" s="27">
        <v>40000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  <c r="T14" s="27">
        <v>0</v>
      </c>
      <c r="U14" s="27">
        <v>0</v>
      </c>
      <c r="V14" s="27">
        <v>0</v>
      </c>
      <c r="W14" s="27">
        <v>0</v>
      </c>
      <c r="X14" s="27">
        <v>0</v>
      </c>
      <c r="Y14" s="27">
        <v>30300</v>
      </c>
      <c r="Z14" s="27">
        <v>20000</v>
      </c>
      <c r="AA14" s="28">
        <v>50300</v>
      </c>
    </row>
    <row r="15" spans="1:66" x14ac:dyDescent="0.25">
      <c r="F15" s="21"/>
      <c r="G15" s="38" t="s">
        <v>55</v>
      </c>
      <c r="H15" s="27">
        <v>20000</v>
      </c>
      <c r="I15" s="27">
        <v>20000</v>
      </c>
      <c r="J15" s="27">
        <v>40000</v>
      </c>
      <c r="K15" s="27">
        <v>0</v>
      </c>
      <c r="L15" s="27">
        <v>0</v>
      </c>
      <c r="M15" s="27">
        <v>0</v>
      </c>
      <c r="N15" s="27">
        <v>0</v>
      </c>
      <c r="O15" s="27">
        <v>0</v>
      </c>
      <c r="P15" s="27">
        <v>0</v>
      </c>
      <c r="Q15" s="27">
        <v>0</v>
      </c>
      <c r="R15" s="27">
        <v>0</v>
      </c>
      <c r="S15" s="27">
        <v>0</v>
      </c>
      <c r="T15" s="27">
        <v>0</v>
      </c>
      <c r="U15" s="27">
        <v>0</v>
      </c>
      <c r="V15" s="27">
        <v>0</v>
      </c>
      <c r="W15" s="27">
        <v>0</v>
      </c>
      <c r="X15" s="27">
        <v>0</v>
      </c>
      <c r="Y15" s="27">
        <v>50000</v>
      </c>
      <c r="Z15" s="27">
        <v>20000</v>
      </c>
      <c r="AA15" s="28">
        <v>70000</v>
      </c>
    </row>
    <row r="16" spans="1:66" hidden="1" x14ac:dyDescent="0.25">
      <c r="F16" s="21"/>
      <c r="G16" s="34" t="s">
        <v>277</v>
      </c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8"/>
    </row>
    <row r="17" spans="1:27" s="20" customFormat="1" ht="14.25" x14ac:dyDescent="0.2">
      <c r="A17" s="18"/>
      <c r="B17" s="19"/>
      <c r="F17" s="23">
        <v>2</v>
      </c>
      <c r="G17" s="36" t="s">
        <v>277</v>
      </c>
      <c r="H17" s="29">
        <v>20000</v>
      </c>
      <c r="I17" s="29">
        <v>20000</v>
      </c>
      <c r="J17" s="29">
        <v>40000</v>
      </c>
      <c r="K17" s="29">
        <v>0</v>
      </c>
      <c r="L17" s="29">
        <v>0</v>
      </c>
      <c r="M17" s="29">
        <v>0</v>
      </c>
      <c r="N17" s="29">
        <v>0</v>
      </c>
      <c r="O17" s="29">
        <v>0</v>
      </c>
      <c r="P17" s="29">
        <v>0</v>
      </c>
      <c r="Q17" s="29">
        <v>0</v>
      </c>
      <c r="R17" s="29">
        <v>0</v>
      </c>
      <c r="S17" s="29"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22000</v>
      </c>
      <c r="Z17" s="29">
        <v>20000</v>
      </c>
      <c r="AA17" s="30">
        <v>42000</v>
      </c>
    </row>
    <row r="18" spans="1:27" x14ac:dyDescent="0.25">
      <c r="F18" s="21"/>
      <c r="G18" s="39" t="s">
        <v>103</v>
      </c>
      <c r="H18" s="27">
        <v>20000</v>
      </c>
      <c r="I18" s="27">
        <v>20000</v>
      </c>
      <c r="J18" s="27">
        <v>40000</v>
      </c>
      <c r="K18" s="27">
        <v>0</v>
      </c>
      <c r="L18" s="27">
        <v>0</v>
      </c>
      <c r="M18" s="27">
        <v>0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  <c r="T18" s="27">
        <v>0</v>
      </c>
      <c r="U18" s="27">
        <v>0</v>
      </c>
      <c r="V18" s="27">
        <v>0</v>
      </c>
      <c r="W18" s="27">
        <v>0</v>
      </c>
      <c r="X18" s="27">
        <v>0</v>
      </c>
      <c r="Y18" s="27">
        <v>22000</v>
      </c>
      <c r="Z18" s="27">
        <v>20000</v>
      </c>
      <c r="AA18" s="28">
        <v>42000</v>
      </c>
    </row>
    <row r="19" spans="1:27" hidden="1" x14ac:dyDescent="0.25">
      <c r="F19" s="21"/>
      <c r="G19" s="34" t="s">
        <v>278</v>
      </c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8"/>
    </row>
    <row r="20" spans="1:27" s="20" customFormat="1" ht="14.25" x14ac:dyDescent="0.2">
      <c r="A20" s="18"/>
      <c r="B20" s="19"/>
      <c r="F20" s="23"/>
      <c r="G20" s="36" t="s">
        <v>278</v>
      </c>
      <c r="H20" s="29">
        <v>40000</v>
      </c>
      <c r="I20" s="29">
        <v>40000</v>
      </c>
      <c r="J20" s="29">
        <v>80000</v>
      </c>
      <c r="K20" s="29">
        <v>0</v>
      </c>
      <c r="L20" s="29">
        <v>0</v>
      </c>
      <c r="M20" s="29">
        <v>0</v>
      </c>
      <c r="N20" s="29">
        <v>0</v>
      </c>
      <c r="O20" s="29">
        <v>0</v>
      </c>
      <c r="P20" s="29">
        <v>0</v>
      </c>
      <c r="Q20" s="29">
        <v>0</v>
      </c>
      <c r="R20" s="29">
        <v>0</v>
      </c>
      <c r="S20" s="29"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75522</v>
      </c>
      <c r="Z20" s="29">
        <v>40000</v>
      </c>
      <c r="AA20" s="30">
        <v>115522</v>
      </c>
    </row>
    <row r="21" spans="1:27" x14ac:dyDescent="0.25">
      <c r="F21" s="21"/>
      <c r="G21" s="37" t="s">
        <v>116</v>
      </c>
      <c r="H21" s="27">
        <v>20000</v>
      </c>
      <c r="I21" s="27">
        <v>20000</v>
      </c>
      <c r="J21" s="27">
        <v>40000</v>
      </c>
      <c r="K21" s="27">
        <v>0</v>
      </c>
      <c r="L21" s="27">
        <v>0</v>
      </c>
      <c r="M21" s="27">
        <v>0</v>
      </c>
      <c r="N21" s="27">
        <v>0</v>
      </c>
      <c r="O21" s="27">
        <v>0</v>
      </c>
      <c r="P21" s="27">
        <v>0</v>
      </c>
      <c r="Q21" s="27">
        <v>0</v>
      </c>
      <c r="R21" s="27">
        <v>0</v>
      </c>
      <c r="S21" s="27">
        <v>0</v>
      </c>
      <c r="T21" s="27">
        <v>0</v>
      </c>
      <c r="U21" s="27">
        <v>0</v>
      </c>
      <c r="V21" s="27">
        <v>0</v>
      </c>
      <c r="W21" s="27">
        <v>0</v>
      </c>
      <c r="X21" s="27">
        <v>0</v>
      </c>
      <c r="Y21" s="27">
        <v>36000</v>
      </c>
      <c r="Z21" s="27">
        <v>20000</v>
      </c>
      <c r="AA21" s="28">
        <v>56000</v>
      </c>
    </row>
    <row r="22" spans="1:27" x14ac:dyDescent="0.25">
      <c r="F22" s="21"/>
      <c r="G22" s="38" t="s">
        <v>113</v>
      </c>
      <c r="H22" s="27">
        <v>20000</v>
      </c>
      <c r="I22" s="27">
        <v>20000</v>
      </c>
      <c r="J22" s="27">
        <v>40000</v>
      </c>
      <c r="K22" s="27">
        <v>0</v>
      </c>
      <c r="L22" s="27">
        <v>0</v>
      </c>
      <c r="M22" s="27">
        <v>0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  <c r="T22" s="27">
        <v>0</v>
      </c>
      <c r="U22" s="27">
        <v>0</v>
      </c>
      <c r="V22" s="27">
        <v>0</v>
      </c>
      <c r="W22" s="27">
        <v>0</v>
      </c>
      <c r="X22" s="27">
        <v>0</v>
      </c>
      <c r="Y22" s="27">
        <v>39522</v>
      </c>
      <c r="Z22" s="27">
        <v>20000</v>
      </c>
      <c r="AA22" s="28">
        <v>59522</v>
      </c>
    </row>
    <row r="23" spans="1:27" hidden="1" x14ac:dyDescent="0.25">
      <c r="F23" s="21"/>
      <c r="G23" s="34" t="s">
        <v>279</v>
      </c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8"/>
    </row>
    <row r="24" spans="1:27" s="20" customFormat="1" ht="14.25" x14ac:dyDescent="0.2">
      <c r="A24" s="18"/>
      <c r="B24" s="19"/>
      <c r="F24" s="23">
        <v>3</v>
      </c>
      <c r="G24" s="36" t="s">
        <v>279</v>
      </c>
      <c r="H24" s="29">
        <v>60000</v>
      </c>
      <c r="I24" s="29">
        <v>60000</v>
      </c>
      <c r="J24" s="29">
        <v>120000</v>
      </c>
      <c r="K24" s="29">
        <v>0</v>
      </c>
      <c r="L24" s="29">
        <v>0</v>
      </c>
      <c r="M24" s="29">
        <v>0</v>
      </c>
      <c r="N24" s="29">
        <v>0</v>
      </c>
      <c r="O24" s="29">
        <v>0</v>
      </c>
      <c r="P24" s="29">
        <v>0</v>
      </c>
      <c r="Q24" s="29">
        <v>0</v>
      </c>
      <c r="R24" s="29">
        <v>0</v>
      </c>
      <c r="S24" s="29"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64122</v>
      </c>
      <c r="Z24" s="29">
        <v>60000</v>
      </c>
      <c r="AA24" s="30">
        <v>124122</v>
      </c>
    </row>
    <row r="25" spans="1:27" ht="15.75" x14ac:dyDescent="0.25">
      <c r="F25" s="21"/>
      <c r="G25" s="37" t="s">
        <v>106</v>
      </c>
      <c r="H25" s="27">
        <v>20000</v>
      </c>
      <c r="I25" s="27">
        <v>20000</v>
      </c>
      <c r="J25" s="27">
        <v>40000</v>
      </c>
      <c r="K25" s="27">
        <v>0</v>
      </c>
      <c r="L25" s="27">
        <v>0</v>
      </c>
      <c r="M25" s="45">
        <v>0</v>
      </c>
      <c r="N25" s="27">
        <v>0</v>
      </c>
      <c r="O25" s="27">
        <v>0</v>
      </c>
      <c r="P25" s="27">
        <v>0</v>
      </c>
      <c r="Q25" s="27">
        <v>0</v>
      </c>
      <c r="R25" s="27">
        <v>0</v>
      </c>
      <c r="S25" s="27">
        <v>0</v>
      </c>
      <c r="T25" s="27">
        <v>0</v>
      </c>
      <c r="U25" s="27">
        <v>0</v>
      </c>
      <c r="V25" s="27">
        <v>0</v>
      </c>
      <c r="W25" s="27">
        <v>0</v>
      </c>
      <c r="X25" s="27">
        <v>0</v>
      </c>
      <c r="Y25" s="27">
        <v>23000</v>
      </c>
      <c r="Z25" s="27">
        <v>20000</v>
      </c>
      <c r="AA25" s="28">
        <v>43000</v>
      </c>
    </row>
    <row r="26" spans="1:27" x14ac:dyDescent="0.25">
      <c r="F26" s="21"/>
      <c r="G26" s="40" t="s">
        <v>116</v>
      </c>
      <c r="H26" s="27">
        <v>20000</v>
      </c>
      <c r="I26" s="27">
        <v>20000</v>
      </c>
      <c r="J26" s="27">
        <v>40000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  <c r="Y26" s="27">
        <v>20122</v>
      </c>
      <c r="Z26" s="27">
        <v>20000</v>
      </c>
      <c r="AA26" s="28">
        <v>40122</v>
      </c>
    </row>
    <row r="27" spans="1:27" x14ac:dyDescent="0.25">
      <c r="F27" s="21"/>
      <c r="G27" s="38" t="s">
        <v>113</v>
      </c>
      <c r="H27" s="27">
        <v>20000</v>
      </c>
      <c r="I27" s="27">
        <v>20000</v>
      </c>
      <c r="J27" s="27">
        <v>40000</v>
      </c>
      <c r="K27" s="27">
        <v>0</v>
      </c>
      <c r="L27" s="27">
        <v>0</v>
      </c>
      <c r="M27" s="27">
        <v>0</v>
      </c>
      <c r="N27" s="27">
        <v>0</v>
      </c>
      <c r="O27" s="27">
        <v>0</v>
      </c>
      <c r="P27" s="27">
        <v>0</v>
      </c>
      <c r="Q27" s="27">
        <v>0</v>
      </c>
      <c r="R27" s="27">
        <v>0</v>
      </c>
      <c r="S27" s="27">
        <v>0</v>
      </c>
      <c r="T27" s="27">
        <v>0</v>
      </c>
      <c r="U27" s="27">
        <v>0</v>
      </c>
      <c r="V27" s="27">
        <v>0</v>
      </c>
      <c r="W27" s="27">
        <v>0</v>
      </c>
      <c r="X27" s="27">
        <v>0</v>
      </c>
      <c r="Y27" s="27">
        <v>21000</v>
      </c>
      <c r="Z27" s="27">
        <v>20000</v>
      </c>
      <c r="AA27" s="28">
        <v>41000</v>
      </c>
    </row>
    <row r="28" spans="1:27" s="20" customFormat="1" ht="14.25" x14ac:dyDescent="0.2">
      <c r="A28" s="18"/>
      <c r="B28" s="19"/>
      <c r="F28" s="23" t="s">
        <v>281</v>
      </c>
      <c r="G28" s="33" t="s">
        <v>280</v>
      </c>
      <c r="H28" s="29">
        <v>860000</v>
      </c>
      <c r="I28" s="29">
        <v>860000</v>
      </c>
      <c r="J28" s="29">
        <v>1720000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896512</v>
      </c>
      <c r="Z28" s="29">
        <v>860000</v>
      </c>
      <c r="AA28" s="30">
        <v>1756512</v>
      </c>
    </row>
    <row r="29" spans="1:27" s="20" customFormat="1" ht="14.25" x14ac:dyDescent="0.2">
      <c r="A29" s="18"/>
      <c r="B29" s="19"/>
      <c r="F29" s="23" t="s">
        <v>282</v>
      </c>
      <c r="G29" s="35" t="s">
        <v>261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</row>
    <row r="30" spans="1:27" s="20" customFormat="1" ht="14.25" x14ac:dyDescent="0.2">
      <c r="A30" s="18"/>
      <c r="B30" s="19"/>
      <c r="F30" s="23">
        <v>1</v>
      </c>
      <c r="G30" s="36" t="s">
        <v>253</v>
      </c>
      <c r="H30" s="29">
        <v>200000</v>
      </c>
      <c r="I30" s="29">
        <v>200000</v>
      </c>
      <c r="J30" s="29">
        <v>400000</v>
      </c>
      <c r="K30" s="29">
        <v>0</v>
      </c>
      <c r="L30" s="29">
        <v>0</v>
      </c>
      <c r="M30" s="29">
        <v>0</v>
      </c>
      <c r="N30" s="29">
        <v>0</v>
      </c>
      <c r="O30" s="29">
        <v>0</v>
      </c>
      <c r="P30" s="29">
        <v>0</v>
      </c>
      <c r="Q30" s="29">
        <v>0</v>
      </c>
      <c r="R30" s="29">
        <v>0</v>
      </c>
      <c r="S30" s="29"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233512</v>
      </c>
      <c r="Z30" s="29">
        <v>200000</v>
      </c>
      <c r="AA30" s="30">
        <v>433512</v>
      </c>
    </row>
    <row r="31" spans="1:27" x14ac:dyDescent="0.25">
      <c r="F31" s="21"/>
      <c r="G31" s="37" t="s">
        <v>122</v>
      </c>
      <c r="H31" s="27">
        <v>20000</v>
      </c>
      <c r="I31" s="27">
        <v>20000</v>
      </c>
      <c r="J31" s="27">
        <v>40000</v>
      </c>
      <c r="K31" s="27">
        <v>0</v>
      </c>
      <c r="L31" s="27">
        <v>0</v>
      </c>
      <c r="M31" s="27">
        <v>0</v>
      </c>
      <c r="N31" s="27">
        <v>0</v>
      </c>
      <c r="O31" s="27">
        <v>0</v>
      </c>
      <c r="P31" s="27">
        <v>0</v>
      </c>
      <c r="Q31" s="27">
        <v>0</v>
      </c>
      <c r="R31" s="27">
        <v>0</v>
      </c>
      <c r="S31" s="27">
        <v>0</v>
      </c>
      <c r="T31" s="27">
        <v>0</v>
      </c>
      <c r="U31" s="27">
        <v>0</v>
      </c>
      <c r="V31" s="27">
        <v>0</v>
      </c>
      <c r="W31" s="27">
        <v>0</v>
      </c>
      <c r="X31" s="27">
        <v>0</v>
      </c>
      <c r="Y31" s="27">
        <v>27500</v>
      </c>
      <c r="Z31" s="27">
        <v>20000</v>
      </c>
      <c r="AA31" s="28">
        <v>47500</v>
      </c>
    </row>
    <row r="32" spans="1:27" x14ac:dyDescent="0.25">
      <c r="F32" s="21"/>
      <c r="G32" s="40" t="s">
        <v>123</v>
      </c>
      <c r="H32" s="27">
        <v>20000</v>
      </c>
      <c r="I32" s="27">
        <v>20000</v>
      </c>
      <c r="J32" s="27">
        <v>40000</v>
      </c>
      <c r="K32" s="27">
        <v>0</v>
      </c>
      <c r="L32" s="27">
        <v>0</v>
      </c>
      <c r="M32" s="27">
        <v>0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  <c r="T32" s="27">
        <v>0</v>
      </c>
      <c r="U32" s="27">
        <v>0</v>
      </c>
      <c r="V32" s="27">
        <v>0</v>
      </c>
      <c r="W32" s="27">
        <v>0</v>
      </c>
      <c r="X32" s="27">
        <v>0</v>
      </c>
      <c r="Y32" s="27">
        <v>20000</v>
      </c>
      <c r="Z32" s="27">
        <v>20000</v>
      </c>
      <c r="AA32" s="28">
        <v>40000</v>
      </c>
    </row>
    <row r="33" spans="1:27" x14ac:dyDescent="0.25">
      <c r="F33" s="21"/>
      <c r="G33" s="40" t="s">
        <v>61</v>
      </c>
      <c r="H33" s="27">
        <v>20000</v>
      </c>
      <c r="I33" s="27">
        <v>20000</v>
      </c>
      <c r="J33" s="27">
        <v>40000</v>
      </c>
      <c r="K33" s="27">
        <v>0</v>
      </c>
      <c r="L33" s="27">
        <v>0</v>
      </c>
      <c r="M33" s="27">
        <v>0</v>
      </c>
      <c r="N33" s="27">
        <v>0</v>
      </c>
      <c r="O33" s="27">
        <v>0</v>
      </c>
      <c r="P33" s="27">
        <v>0</v>
      </c>
      <c r="Q33" s="27">
        <v>0</v>
      </c>
      <c r="R33" s="27">
        <v>0</v>
      </c>
      <c r="S33" s="27">
        <v>0</v>
      </c>
      <c r="T33" s="27">
        <v>0</v>
      </c>
      <c r="U33" s="27">
        <v>0</v>
      </c>
      <c r="V33" s="27">
        <v>0</v>
      </c>
      <c r="W33" s="27">
        <v>0</v>
      </c>
      <c r="X33" s="27">
        <v>0</v>
      </c>
      <c r="Y33" s="27">
        <v>20000</v>
      </c>
      <c r="Z33" s="27">
        <v>20000</v>
      </c>
      <c r="AA33" s="28">
        <v>40000</v>
      </c>
    </row>
    <row r="34" spans="1:27" x14ac:dyDescent="0.25">
      <c r="F34" s="21"/>
      <c r="G34" s="40" t="s">
        <v>117</v>
      </c>
      <c r="H34" s="27">
        <v>20000</v>
      </c>
      <c r="I34" s="27">
        <v>20000</v>
      </c>
      <c r="J34" s="27">
        <v>40000</v>
      </c>
      <c r="K34" s="27">
        <v>0</v>
      </c>
      <c r="L34" s="27">
        <v>0</v>
      </c>
      <c r="M34" s="27">
        <v>0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  <c r="T34" s="27">
        <v>0</v>
      </c>
      <c r="U34" s="27">
        <v>0</v>
      </c>
      <c r="V34" s="27">
        <v>0</v>
      </c>
      <c r="W34" s="27">
        <v>0</v>
      </c>
      <c r="X34" s="27">
        <v>0</v>
      </c>
      <c r="Y34" s="27">
        <v>27000</v>
      </c>
      <c r="Z34" s="27">
        <v>20000</v>
      </c>
      <c r="AA34" s="28">
        <v>47000</v>
      </c>
    </row>
    <row r="35" spans="1:27" x14ac:dyDescent="0.25">
      <c r="F35" s="21"/>
      <c r="G35" s="40" t="s">
        <v>120</v>
      </c>
      <c r="H35" s="27">
        <v>20000</v>
      </c>
      <c r="I35" s="27">
        <v>20000</v>
      </c>
      <c r="J35" s="27">
        <v>40000</v>
      </c>
      <c r="K35" s="27">
        <v>0</v>
      </c>
      <c r="L35" s="27">
        <v>0</v>
      </c>
      <c r="M35" s="27">
        <v>0</v>
      </c>
      <c r="N35" s="27">
        <v>0</v>
      </c>
      <c r="O35" s="27">
        <v>0</v>
      </c>
      <c r="P35" s="27">
        <v>0</v>
      </c>
      <c r="Q35" s="27">
        <v>0</v>
      </c>
      <c r="R35" s="27">
        <v>0</v>
      </c>
      <c r="S35" s="27">
        <v>0</v>
      </c>
      <c r="T35" s="27">
        <v>0</v>
      </c>
      <c r="U35" s="27">
        <v>0</v>
      </c>
      <c r="V35" s="27">
        <v>0</v>
      </c>
      <c r="W35" s="27">
        <v>0</v>
      </c>
      <c r="X35" s="27">
        <v>0</v>
      </c>
      <c r="Y35" s="27">
        <v>20012</v>
      </c>
      <c r="Z35" s="27">
        <v>20000</v>
      </c>
      <c r="AA35" s="28">
        <v>40012</v>
      </c>
    </row>
    <row r="36" spans="1:27" x14ac:dyDescent="0.25">
      <c r="F36" s="21"/>
      <c r="G36" s="40" t="s">
        <v>121</v>
      </c>
      <c r="H36" s="27">
        <v>20000</v>
      </c>
      <c r="I36" s="27">
        <v>20000</v>
      </c>
      <c r="J36" s="27">
        <v>40000</v>
      </c>
      <c r="K36" s="27">
        <v>0</v>
      </c>
      <c r="L36" s="27">
        <v>0</v>
      </c>
      <c r="M36" s="27">
        <v>0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  <c r="T36" s="27">
        <v>0</v>
      </c>
      <c r="U36" s="27">
        <v>0</v>
      </c>
      <c r="V36" s="27">
        <v>0</v>
      </c>
      <c r="W36" s="27">
        <v>0</v>
      </c>
      <c r="X36" s="27">
        <v>0</v>
      </c>
      <c r="Y36" s="27">
        <v>24000</v>
      </c>
      <c r="Z36" s="27">
        <v>20000</v>
      </c>
      <c r="AA36" s="28">
        <v>44000</v>
      </c>
    </row>
    <row r="37" spans="1:27" x14ac:dyDescent="0.25">
      <c r="F37" s="21"/>
      <c r="G37" s="40" t="s">
        <v>125</v>
      </c>
      <c r="H37" s="27">
        <v>20000</v>
      </c>
      <c r="I37" s="27">
        <v>20000</v>
      </c>
      <c r="J37" s="27">
        <v>40000</v>
      </c>
      <c r="K37" s="27">
        <v>0</v>
      </c>
      <c r="L37" s="27">
        <v>0</v>
      </c>
      <c r="M37" s="27">
        <v>0</v>
      </c>
      <c r="N37" s="27">
        <v>0</v>
      </c>
      <c r="O37" s="27">
        <v>0</v>
      </c>
      <c r="P37" s="27">
        <v>0</v>
      </c>
      <c r="Q37" s="27">
        <v>0</v>
      </c>
      <c r="R37" s="27">
        <v>0</v>
      </c>
      <c r="S37" s="27">
        <v>0</v>
      </c>
      <c r="T37" s="27">
        <v>0</v>
      </c>
      <c r="U37" s="27">
        <v>0</v>
      </c>
      <c r="V37" s="27">
        <v>0</v>
      </c>
      <c r="W37" s="27">
        <v>0</v>
      </c>
      <c r="X37" s="27">
        <v>0</v>
      </c>
      <c r="Y37" s="27">
        <v>25000</v>
      </c>
      <c r="Z37" s="27">
        <v>20000</v>
      </c>
      <c r="AA37" s="28">
        <v>45000</v>
      </c>
    </row>
    <row r="38" spans="1:27" x14ac:dyDescent="0.25">
      <c r="F38" s="21"/>
      <c r="G38" s="40" t="s">
        <v>127</v>
      </c>
      <c r="H38" s="27">
        <v>20000</v>
      </c>
      <c r="I38" s="27">
        <v>20000</v>
      </c>
      <c r="J38" s="27">
        <v>40000</v>
      </c>
      <c r="K38" s="27">
        <v>0</v>
      </c>
      <c r="L38" s="27">
        <v>0</v>
      </c>
      <c r="M38" s="27">
        <v>0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  <c r="T38" s="27">
        <v>0</v>
      </c>
      <c r="U38" s="27">
        <v>0</v>
      </c>
      <c r="V38" s="27">
        <v>0</v>
      </c>
      <c r="W38" s="27">
        <v>0</v>
      </c>
      <c r="X38" s="27">
        <v>0</v>
      </c>
      <c r="Y38" s="27">
        <v>26000</v>
      </c>
      <c r="Z38" s="27">
        <v>20000</v>
      </c>
      <c r="AA38" s="28">
        <v>46000</v>
      </c>
    </row>
    <row r="39" spans="1:27" x14ac:dyDescent="0.25">
      <c r="F39" s="21"/>
      <c r="G39" s="40" t="s">
        <v>126</v>
      </c>
      <c r="H39" s="27">
        <v>20000</v>
      </c>
      <c r="I39" s="27">
        <v>20000</v>
      </c>
      <c r="J39" s="27">
        <v>40000</v>
      </c>
      <c r="K39" s="27">
        <v>0</v>
      </c>
      <c r="L39" s="27">
        <v>0</v>
      </c>
      <c r="M39" s="27">
        <v>0</v>
      </c>
      <c r="N39" s="27">
        <v>0</v>
      </c>
      <c r="O39" s="27">
        <v>0</v>
      </c>
      <c r="P39" s="27">
        <v>0</v>
      </c>
      <c r="Q39" s="27">
        <v>0</v>
      </c>
      <c r="R39" s="27">
        <v>0</v>
      </c>
      <c r="S39" s="27">
        <v>0</v>
      </c>
      <c r="T39" s="27">
        <v>0</v>
      </c>
      <c r="U39" s="27">
        <v>0</v>
      </c>
      <c r="V39" s="27">
        <v>0</v>
      </c>
      <c r="W39" s="27">
        <v>0</v>
      </c>
      <c r="X39" s="27">
        <v>0</v>
      </c>
      <c r="Y39" s="27">
        <v>24000</v>
      </c>
      <c r="Z39" s="27">
        <v>20000</v>
      </c>
      <c r="AA39" s="28">
        <v>44000</v>
      </c>
    </row>
    <row r="40" spans="1:27" x14ac:dyDescent="0.25">
      <c r="F40" s="21"/>
      <c r="G40" s="38" t="s">
        <v>124</v>
      </c>
      <c r="H40" s="27">
        <v>20000</v>
      </c>
      <c r="I40" s="27">
        <v>20000</v>
      </c>
      <c r="J40" s="27">
        <v>40000</v>
      </c>
      <c r="K40" s="27">
        <v>0</v>
      </c>
      <c r="L40" s="27">
        <v>0</v>
      </c>
      <c r="M40" s="27">
        <v>0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  <c r="T40" s="27">
        <v>0</v>
      </c>
      <c r="U40" s="27">
        <v>0</v>
      </c>
      <c r="V40" s="27">
        <v>0</v>
      </c>
      <c r="W40" s="27">
        <v>0</v>
      </c>
      <c r="X40" s="27">
        <v>0</v>
      </c>
      <c r="Y40" s="27">
        <v>20000</v>
      </c>
      <c r="Z40" s="27">
        <v>20000</v>
      </c>
      <c r="AA40" s="28">
        <v>40000</v>
      </c>
    </row>
    <row r="41" spans="1:27" s="20" customFormat="1" ht="14.25" x14ac:dyDescent="0.2">
      <c r="A41" s="18"/>
      <c r="B41" s="19"/>
      <c r="F41" s="23">
        <v>2</v>
      </c>
      <c r="G41" s="36" t="s">
        <v>252</v>
      </c>
      <c r="H41" s="29">
        <v>40000</v>
      </c>
      <c r="I41" s="29">
        <v>40000</v>
      </c>
      <c r="J41" s="29">
        <v>80000</v>
      </c>
      <c r="K41" s="29">
        <v>0</v>
      </c>
      <c r="L41" s="29">
        <v>0</v>
      </c>
      <c r="M41" s="29">
        <v>0</v>
      </c>
      <c r="N41" s="29">
        <v>0</v>
      </c>
      <c r="O41" s="29">
        <v>0</v>
      </c>
      <c r="P41" s="29">
        <v>0</v>
      </c>
      <c r="Q41" s="29">
        <v>0</v>
      </c>
      <c r="R41" s="29">
        <v>0</v>
      </c>
      <c r="S41" s="29"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40000</v>
      </c>
      <c r="Z41" s="29">
        <v>40000</v>
      </c>
      <c r="AA41" s="30">
        <v>80000</v>
      </c>
    </row>
    <row r="42" spans="1:27" x14ac:dyDescent="0.25">
      <c r="F42" s="21"/>
      <c r="G42" s="37" t="s">
        <v>136</v>
      </c>
      <c r="H42" s="27">
        <v>20000</v>
      </c>
      <c r="I42" s="27">
        <v>20000</v>
      </c>
      <c r="J42" s="27">
        <v>40000</v>
      </c>
      <c r="K42" s="27">
        <v>0</v>
      </c>
      <c r="L42" s="27">
        <v>0</v>
      </c>
      <c r="M42" s="27">
        <v>0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  <c r="T42" s="27">
        <v>0</v>
      </c>
      <c r="U42" s="27">
        <v>0</v>
      </c>
      <c r="V42" s="27">
        <v>0</v>
      </c>
      <c r="W42" s="27">
        <v>0</v>
      </c>
      <c r="X42" s="27">
        <v>0</v>
      </c>
      <c r="Y42" s="27">
        <v>20000</v>
      </c>
      <c r="Z42" s="27">
        <v>20000</v>
      </c>
      <c r="AA42" s="28">
        <v>40000</v>
      </c>
    </row>
    <row r="43" spans="1:27" x14ac:dyDescent="0.25">
      <c r="F43" s="21"/>
      <c r="G43" s="38" t="s">
        <v>134</v>
      </c>
      <c r="H43" s="27">
        <v>20000</v>
      </c>
      <c r="I43" s="27">
        <v>20000</v>
      </c>
      <c r="J43" s="27">
        <v>40000</v>
      </c>
      <c r="K43" s="27">
        <v>0</v>
      </c>
      <c r="L43" s="27">
        <v>0</v>
      </c>
      <c r="M43" s="27">
        <v>0</v>
      </c>
      <c r="N43" s="27">
        <v>0</v>
      </c>
      <c r="O43" s="27">
        <v>0</v>
      </c>
      <c r="P43" s="27">
        <v>0</v>
      </c>
      <c r="Q43" s="27">
        <v>0</v>
      </c>
      <c r="R43" s="27">
        <v>0</v>
      </c>
      <c r="S43" s="27">
        <v>0</v>
      </c>
      <c r="T43" s="27">
        <v>0</v>
      </c>
      <c r="U43" s="27">
        <v>0</v>
      </c>
      <c r="V43" s="27">
        <v>0</v>
      </c>
      <c r="W43" s="27">
        <v>0</v>
      </c>
      <c r="X43" s="27">
        <v>0</v>
      </c>
      <c r="Y43" s="27">
        <v>20000</v>
      </c>
      <c r="Z43" s="27">
        <v>20000</v>
      </c>
      <c r="AA43" s="28">
        <v>40000</v>
      </c>
    </row>
    <row r="44" spans="1:27" s="20" customFormat="1" ht="14.25" x14ac:dyDescent="0.2">
      <c r="A44" s="18"/>
      <c r="B44" s="19"/>
      <c r="F44" s="23">
        <v>3</v>
      </c>
      <c r="G44" s="36" t="s">
        <v>257</v>
      </c>
      <c r="H44" s="29">
        <v>100000</v>
      </c>
      <c r="I44" s="29">
        <v>100000</v>
      </c>
      <c r="J44" s="29">
        <v>200000</v>
      </c>
      <c r="K44" s="29">
        <v>0</v>
      </c>
      <c r="L44" s="29">
        <v>0</v>
      </c>
      <c r="M44" s="29">
        <v>0</v>
      </c>
      <c r="N44" s="29">
        <v>0</v>
      </c>
      <c r="O44" s="29">
        <v>0</v>
      </c>
      <c r="P44" s="29">
        <v>0</v>
      </c>
      <c r="Q44" s="29">
        <v>0</v>
      </c>
      <c r="R44" s="29">
        <v>0</v>
      </c>
      <c r="S44" s="29"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103000</v>
      </c>
      <c r="Z44" s="29">
        <v>100000</v>
      </c>
      <c r="AA44" s="30">
        <v>203000</v>
      </c>
    </row>
    <row r="45" spans="1:27" x14ac:dyDescent="0.25">
      <c r="F45" s="21"/>
      <c r="G45" s="37" t="s">
        <v>128</v>
      </c>
      <c r="H45" s="27">
        <v>20000</v>
      </c>
      <c r="I45" s="27">
        <v>20000</v>
      </c>
      <c r="J45" s="27">
        <v>40000</v>
      </c>
      <c r="K45" s="27">
        <v>0</v>
      </c>
      <c r="L45" s="27">
        <v>0</v>
      </c>
      <c r="M45" s="27">
        <v>0</v>
      </c>
      <c r="N45" s="27">
        <v>0</v>
      </c>
      <c r="O45" s="27">
        <v>0</v>
      </c>
      <c r="P45" s="27">
        <v>0</v>
      </c>
      <c r="Q45" s="27">
        <v>0</v>
      </c>
      <c r="R45" s="27">
        <v>0</v>
      </c>
      <c r="S45" s="27">
        <v>0</v>
      </c>
      <c r="T45" s="27">
        <v>0</v>
      </c>
      <c r="U45" s="27">
        <v>0</v>
      </c>
      <c r="V45" s="27">
        <v>0</v>
      </c>
      <c r="W45" s="27">
        <v>0</v>
      </c>
      <c r="X45" s="27">
        <v>0</v>
      </c>
      <c r="Y45" s="27">
        <v>23000</v>
      </c>
      <c r="Z45" s="27">
        <v>20000</v>
      </c>
      <c r="AA45" s="28">
        <v>43000</v>
      </c>
    </row>
    <row r="46" spans="1:27" x14ac:dyDescent="0.25">
      <c r="F46" s="21"/>
      <c r="G46" s="40" t="s">
        <v>132</v>
      </c>
      <c r="H46" s="27">
        <v>20000</v>
      </c>
      <c r="I46" s="27">
        <v>20000</v>
      </c>
      <c r="J46" s="27">
        <v>40000</v>
      </c>
      <c r="K46" s="27">
        <v>0</v>
      </c>
      <c r="L46" s="27">
        <v>0</v>
      </c>
      <c r="M46" s="27">
        <v>0</v>
      </c>
      <c r="N46" s="27">
        <v>0</v>
      </c>
      <c r="O46" s="27">
        <v>0</v>
      </c>
      <c r="P46" s="27">
        <v>0</v>
      </c>
      <c r="Q46" s="27">
        <v>0</v>
      </c>
      <c r="R46" s="27">
        <v>0</v>
      </c>
      <c r="S46" s="27">
        <v>0</v>
      </c>
      <c r="T46" s="27">
        <v>0</v>
      </c>
      <c r="U46" s="27">
        <v>0</v>
      </c>
      <c r="V46" s="27">
        <v>0</v>
      </c>
      <c r="W46" s="27">
        <v>0</v>
      </c>
      <c r="X46" s="27">
        <v>0</v>
      </c>
      <c r="Y46" s="27">
        <v>20000</v>
      </c>
      <c r="Z46" s="27">
        <v>20000</v>
      </c>
      <c r="AA46" s="28">
        <v>40000</v>
      </c>
    </row>
    <row r="47" spans="1:27" x14ac:dyDescent="0.25">
      <c r="F47" s="21"/>
      <c r="G47" s="40" t="s">
        <v>130</v>
      </c>
      <c r="H47" s="27">
        <v>20000</v>
      </c>
      <c r="I47" s="27">
        <v>20000</v>
      </c>
      <c r="J47" s="27">
        <v>40000</v>
      </c>
      <c r="K47" s="27">
        <v>0</v>
      </c>
      <c r="L47" s="27">
        <v>0</v>
      </c>
      <c r="M47" s="27">
        <v>0</v>
      </c>
      <c r="N47" s="27">
        <v>0</v>
      </c>
      <c r="O47" s="27">
        <v>0</v>
      </c>
      <c r="P47" s="27">
        <v>0</v>
      </c>
      <c r="Q47" s="27">
        <v>0</v>
      </c>
      <c r="R47" s="27">
        <v>0</v>
      </c>
      <c r="S47" s="27">
        <v>0</v>
      </c>
      <c r="T47" s="27">
        <v>0</v>
      </c>
      <c r="U47" s="27">
        <v>0</v>
      </c>
      <c r="V47" s="27">
        <v>0</v>
      </c>
      <c r="W47" s="27">
        <v>0</v>
      </c>
      <c r="X47" s="27">
        <v>0</v>
      </c>
      <c r="Y47" s="27">
        <v>20000</v>
      </c>
      <c r="Z47" s="27">
        <v>20000</v>
      </c>
      <c r="AA47" s="28">
        <v>40000</v>
      </c>
    </row>
    <row r="48" spans="1:27" x14ac:dyDescent="0.25">
      <c r="F48" s="21"/>
      <c r="G48" s="40" t="s">
        <v>131</v>
      </c>
      <c r="H48" s="27">
        <v>20000</v>
      </c>
      <c r="I48" s="27">
        <v>20000</v>
      </c>
      <c r="J48" s="27">
        <v>40000</v>
      </c>
      <c r="K48" s="27">
        <v>0</v>
      </c>
      <c r="L48" s="27">
        <v>0</v>
      </c>
      <c r="M48" s="27">
        <v>0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  <c r="T48" s="27">
        <v>0</v>
      </c>
      <c r="U48" s="27">
        <v>0</v>
      </c>
      <c r="V48" s="27">
        <v>0</v>
      </c>
      <c r="W48" s="27">
        <v>0</v>
      </c>
      <c r="X48" s="27">
        <v>0</v>
      </c>
      <c r="Y48" s="27">
        <v>20000</v>
      </c>
      <c r="Z48" s="27">
        <v>20000</v>
      </c>
      <c r="AA48" s="28">
        <v>40000</v>
      </c>
    </row>
    <row r="49" spans="1:27" x14ac:dyDescent="0.25">
      <c r="F49" s="21"/>
      <c r="G49" s="38" t="s">
        <v>133</v>
      </c>
      <c r="H49" s="27">
        <v>20000</v>
      </c>
      <c r="I49" s="27">
        <v>20000</v>
      </c>
      <c r="J49" s="27">
        <v>40000</v>
      </c>
      <c r="K49" s="27">
        <v>0</v>
      </c>
      <c r="L49" s="27">
        <v>0</v>
      </c>
      <c r="M49" s="27">
        <v>0</v>
      </c>
      <c r="N49" s="27">
        <v>0</v>
      </c>
      <c r="O49" s="27">
        <v>0</v>
      </c>
      <c r="P49" s="27">
        <v>0</v>
      </c>
      <c r="Q49" s="27">
        <v>0</v>
      </c>
      <c r="R49" s="27">
        <v>0</v>
      </c>
      <c r="S49" s="27">
        <v>0</v>
      </c>
      <c r="T49" s="27">
        <v>0</v>
      </c>
      <c r="U49" s="27">
        <v>0</v>
      </c>
      <c r="V49" s="27">
        <v>0</v>
      </c>
      <c r="W49" s="27">
        <v>0</v>
      </c>
      <c r="X49" s="27">
        <v>0</v>
      </c>
      <c r="Y49" s="27">
        <v>20000</v>
      </c>
      <c r="Z49" s="27">
        <v>20000</v>
      </c>
      <c r="AA49" s="28">
        <v>40000</v>
      </c>
    </row>
    <row r="50" spans="1:27" s="20" customFormat="1" ht="14.25" x14ac:dyDescent="0.2">
      <c r="A50" s="18"/>
      <c r="B50" s="19"/>
      <c r="F50" s="23">
        <v>4</v>
      </c>
      <c r="G50" s="36" t="s">
        <v>254</v>
      </c>
      <c r="H50" s="29">
        <v>120000</v>
      </c>
      <c r="I50" s="29">
        <v>120000</v>
      </c>
      <c r="J50" s="29">
        <v>240000</v>
      </c>
      <c r="K50" s="29">
        <v>0</v>
      </c>
      <c r="L50" s="29">
        <v>0</v>
      </c>
      <c r="M50" s="29">
        <v>0</v>
      </c>
      <c r="N50" s="29">
        <v>0</v>
      </c>
      <c r="O50" s="29">
        <v>0</v>
      </c>
      <c r="P50" s="29">
        <v>0</v>
      </c>
      <c r="Q50" s="29">
        <v>0</v>
      </c>
      <c r="R50" s="29">
        <v>0</v>
      </c>
      <c r="S50" s="29"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120000</v>
      </c>
      <c r="Z50" s="29">
        <v>120000</v>
      </c>
      <c r="AA50" s="30">
        <v>240000</v>
      </c>
    </row>
    <row r="51" spans="1:27" x14ac:dyDescent="0.25">
      <c r="F51" s="21"/>
      <c r="G51" s="37" t="s">
        <v>140</v>
      </c>
      <c r="H51" s="27">
        <v>20000</v>
      </c>
      <c r="I51" s="27">
        <v>20000</v>
      </c>
      <c r="J51" s="27">
        <v>40000</v>
      </c>
      <c r="K51" s="27">
        <v>0</v>
      </c>
      <c r="L51" s="27">
        <v>0</v>
      </c>
      <c r="M51" s="27">
        <v>0</v>
      </c>
      <c r="N51" s="27">
        <v>0</v>
      </c>
      <c r="O51" s="27">
        <v>0</v>
      </c>
      <c r="P51" s="27">
        <v>0</v>
      </c>
      <c r="Q51" s="27">
        <v>0</v>
      </c>
      <c r="R51" s="27">
        <v>0</v>
      </c>
      <c r="S51" s="27">
        <v>0</v>
      </c>
      <c r="T51" s="27">
        <v>0</v>
      </c>
      <c r="U51" s="27">
        <v>0</v>
      </c>
      <c r="V51" s="27">
        <v>0</v>
      </c>
      <c r="W51" s="27">
        <v>0</v>
      </c>
      <c r="X51" s="27">
        <v>0</v>
      </c>
      <c r="Y51" s="27">
        <v>20000</v>
      </c>
      <c r="Z51" s="27">
        <v>20000</v>
      </c>
      <c r="AA51" s="28">
        <v>40000</v>
      </c>
    </row>
    <row r="52" spans="1:27" x14ac:dyDescent="0.25">
      <c r="F52" s="21"/>
      <c r="G52" s="40" t="s">
        <v>137</v>
      </c>
      <c r="H52" s="27">
        <v>20000</v>
      </c>
      <c r="I52" s="27">
        <v>20000</v>
      </c>
      <c r="J52" s="27">
        <v>40000</v>
      </c>
      <c r="K52" s="27">
        <v>0</v>
      </c>
      <c r="L52" s="27">
        <v>0</v>
      </c>
      <c r="M52" s="27">
        <v>0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  <c r="T52" s="27">
        <v>0</v>
      </c>
      <c r="U52" s="27">
        <v>0</v>
      </c>
      <c r="V52" s="27">
        <v>0</v>
      </c>
      <c r="W52" s="27">
        <v>0</v>
      </c>
      <c r="X52" s="27">
        <v>0</v>
      </c>
      <c r="Y52" s="27">
        <v>20000</v>
      </c>
      <c r="Z52" s="27">
        <v>20000</v>
      </c>
      <c r="AA52" s="28">
        <v>40000</v>
      </c>
    </row>
    <row r="53" spans="1:27" x14ac:dyDescent="0.25">
      <c r="F53" s="21"/>
      <c r="G53" s="40" t="s">
        <v>141</v>
      </c>
      <c r="H53" s="27">
        <v>20000</v>
      </c>
      <c r="I53" s="27">
        <v>20000</v>
      </c>
      <c r="J53" s="27">
        <v>40000</v>
      </c>
      <c r="K53" s="27">
        <v>0</v>
      </c>
      <c r="L53" s="27">
        <v>0</v>
      </c>
      <c r="M53" s="27">
        <v>0</v>
      </c>
      <c r="N53" s="27">
        <v>0</v>
      </c>
      <c r="O53" s="27">
        <v>0</v>
      </c>
      <c r="P53" s="27">
        <v>0</v>
      </c>
      <c r="Q53" s="27">
        <v>0</v>
      </c>
      <c r="R53" s="27">
        <v>0</v>
      </c>
      <c r="S53" s="27">
        <v>0</v>
      </c>
      <c r="T53" s="27">
        <v>0</v>
      </c>
      <c r="U53" s="27">
        <v>0</v>
      </c>
      <c r="V53" s="27">
        <v>0</v>
      </c>
      <c r="W53" s="27">
        <v>0</v>
      </c>
      <c r="X53" s="27">
        <v>0</v>
      </c>
      <c r="Y53" s="27">
        <v>20000</v>
      </c>
      <c r="Z53" s="27">
        <v>20000</v>
      </c>
      <c r="AA53" s="28">
        <v>40000</v>
      </c>
    </row>
    <row r="54" spans="1:27" x14ac:dyDescent="0.25">
      <c r="F54" s="21"/>
      <c r="G54" s="40" t="s">
        <v>142</v>
      </c>
      <c r="H54" s="27">
        <v>20000</v>
      </c>
      <c r="I54" s="27">
        <v>20000</v>
      </c>
      <c r="J54" s="27">
        <v>40000</v>
      </c>
      <c r="K54" s="27">
        <v>0</v>
      </c>
      <c r="L54" s="27">
        <v>0</v>
      </c>
      <c r="M54" s="27">
        <v>0</v>
      </c>
      <c r="N54" s="27">
        <v>0</v>
      </c>
      <c r="O54" s="27">
        <v>0</v>
      </c>
      <c r="P54" s="27">
        <v>0</v>
      </c>
      <c r="Q54" s="27">
        <v>0</v>
      </c>
      <c r="R54" s="27">
        <v>0</v>
      </c>
      <c r="S54" s="27">
        <v>0</v>
      </c>
      <c r="T54" s="27">
        <v>0</v>
      </c>
      <c r="U54" s="27">
        <v>0</v>
      </c>
      <c r="V54" s="27">
        <v>0</v>
      </c>
      <c r="W54" s="27">
        <v>0</v>
      </c>
      <c r="X54" s="27">
        <v>0</v>
      </c>
      <c r="Y54" s="27">
        <v>20000</v>
      </c>
      <c r="Z54" s="27">
        <v>20000</v>
      </c>
      <c r="AA54" s="28">
        <v>40000</v>
      </c>
    </row>
    <row r="55" spans="1:27" x14ac:dyDescent="0.25">
      <c r="F55" s="21"/>
      <c r="G55" s="40" t="s">
        <v>139</v>
      </c>
      <c r="H55" s="27">
        <v>20000</v>
      </c>
      <c r="I55" s="27">
        <v>20000</v>
      </c>
      <c r="J55" s="27">
        <v>40000</v>
      </c>
      <c r="K55" s="27">
        <v>0</v>
      </c>
      <c r="L55" s="27">
        <v>0</v>
      </c>
      <c r="M55" s="27">
        <v>0</v>
      </c>
      <c r="N55" s="27">
        <v>0</v>
      </c>
      <c r="O55" s="27">
        <v>0</v>
      </c>
      <c r="P55" s="27">
        <v>0</v>
      </c>
      <c r="Q55" s="27">
        <v>0</v>
      </c>
      <c r="R55" s="27">
        <v>0</v>
      </c>
      <c r="S55" s="27">
        <v>0</v>
      </c>
      <c r="T55" s="27">
        <v>0</v>
      </c>
      <c r="U55" s="27">
        <v>0</v>
      </c>
      <c r="V55" s="27">
        <v>0</v>
      </c>
      <c r="W55" s="27">
        <v>0</v>
      </c>
      <c r="X55" s="27">
        <v>0</v>
      </c>
      <c r="Y55" s="27">
        <v>20000</v>
      </c>
      <c r="Z55" s="27">
        <v>20000</v>
      </c>
      <c r="AA55" s="28">
        <v>40000</v>
      </c>
    </row>
    <row r="56" spans="1:27" x14ac:dyDescent="0.25">
      <c r="F56" s="21"/>
      <c r="G56" s="38" t="s">
        <v>143</v>
      </c>
      <c r="H56" s="27">
        <v>20000</v>
      </c>
      <c r="I56" s="27">
        <v>20000</v>
      </c>
      <c r="J56" s="27">
        <v>40000</v>
      </c>
      <c r="K56" s="27">
        <v>0</v>
      </c>
      <c r="L56" s="27">
        <v>0</v>
      </c>
      <c r="M56" s="27">
        <v>0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  <c r="T56" s="27">
        <v>0</v>
      </c>
      <c r="U56" s="27">
        <v>0</v>
      </c>
      <c r="V56" s="27">
        <v>0</v>
      </c>
      <c r="W56" s="27">
        <v>0</v>
      </c>
      <c r="X56" s="27">
        <v>0</v>
      </c>
      <c r="Y56" s="27">
        <v>20000</v>
      </c>
      <c r="Z56" s="27">
        <v>20000</v>
      </c>
      <c r="AA56" s="28">
        <v>40000</v>
      </c>
    </row>
    <row r="57" spans="1:27" s="20" customFormat="1" ht="14.25" x14ac:dyDescent="0.2">
      <c r="A57" s="18"/>
      <c r="B57" s="19"/>
      <c r="F57" s="23" t="s">
        <v>283</v>
      </c>
      <c r="G57" s="35" t="s">
        <v>260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30"/>
    </row>
    <row r="58" spans="1:27" s="20" customFormat="1" ht="14.25" x14ac:dyDescent="0.2">
      <c r="A58" s="18"/>
      <c r="B58" s="19"/>
      <c r="F58" s="23">
        <v>1</v>
      </c>
      <c r="G58" s="36" t="s">
        <v>256</v>
      </c>
      <c r="H58" s="29">
        <v>100000</v>
      </c>
      <c r="I58" s="29">
        <v>100000</v>
      </c>
      <c r="J58" s="29">
        <v>200000</v>
      </c>
      <c r="K58" s="29">
        <v>0</v>
      </c>
      <c r="L58" s="29">
        <v>0</v>
      </c>
      <c r="M58" s="29">
        <v>0</v>
      </c>
      <c r="N58" s="29">
        <v>0</v>
      </c>
      <c r="O58" s="29">
        <v>0</v>
      </c>
      <c r="P58" s="29">
        <v>0</v>
      </c>
      <c r="Q58" s="29">
        <v>0</v>
      </c>
      <c r="R58" s="29">
        <v>0</v>
      </c>
      <c r="S58" s="29"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100000</v>
      </c>
      <c r="Z58" s="29">
        <v>100000</v>
      </c>
      <c r="AA58" s="30">
        <v>200000</v>
      </c>
    </row>
    <row r="59" spans="1:27" x14ac:dyDescent="0.25">
      <c r="F59" s="21"/>
      <c r="G59" s="37" t="s">
        <v>77</v>
      </c>
      <c r="H59" s="27">
        <v>20000</v>
      </c>
      <c r="I59" s="27">
        <v>20000</v>
      </c>
      <c r="J59" s="27">
        <v>40000</v>
      </c>
      <c r="K59" s="27">
        <v>0</v>
      </c>
      <c r="L59" s="27">
        <v>0</v>
      </c>
      <c r="M59" s="27">
        <v>0</v>
      </c>
      <c r="N59" s="27">
        <v>0</v>
      </c>
      <c r="O59" s="27">
        <v>0</v>
      </c>
      <c r="P59" s="27">
        <v>0</v>
      </c>
      <c r="Q59" s="27">
        <v>0</v>
      </c>
      <c r="R59" s="27">
        <v>0</v>
      </c>
      <c r="S59" s="27">
        <v>0</v>
      </c>
      <c r="T59" s="27">
        <v>0</v>
      </c>
      <c r="U59" s="27">
        <v>0</v>
      </c>
      <c r="V59" s="27">
        <v>0</v>
      </c>
      <c r="W59" s="27">
        <v>0</v>
      </c>
      <c r="X59" s="27">
        <v>0</v>
      </c>
      <c r="Y59" s="27">
        <v>20000</v>
      </c>
      <c r="Z59" s="27">
        <v>20000</v>
      </c>
      <c r="AA59" s="28">
        <v>40000</v>
      </c>
    </row>
    <row r="60" spans="1:27" x14ac:dyDescent="0.25">
      <c r="F60" s="21"/>
      <c r="G60" s="40" t="s">
        <v>78</v>
      </c>
      <c r="H60" s="27">
        <v>20000</v>
      </c>
      <c r="I60" s="27">
        <v>20000</v>
      </c>
      <c r="J60" s="27">
        <v>40000</v>
      </c>
      <c r="K60" s="27">
        <v>0</v>
      </c>
      <c r="L60" s="27">
        <v>0</v>
      </c>
      <c r="M60" s="27">
        <v>0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  <c r="T60" s="27">
        <v>0</v>
      </c>
      <c r="U60" s="27">
        <v>0</v>
      </c>
      <c r="V60" s="27">
        <v>0</v>
      </c>
      <c r="W60" s="27">
        <v>0</v>
      </c>
      <c r="X60" s="27">
        <v>0</v>
      </c>
      <c r="Y60" s="27">
        <v>20000</v>
      </c>
      <c r="Z60" s="27">
        <v>20000</v>
      </c>
      <c r="AA60" s="28">
        <v>40000</v>
      </c>
    </row>
    <row r="61" spans="1:27" x14ac:dyDescent="0.25">
      <c r="F61" s="21"/>
      <c r="G61" s="40" t="s">
        <v>62</v>
      </c>
      <c r="H61" s="27">
        <v>20000</v>
      </c>
      <c r="I61" s="27">
        <v>20000</v>
      </c>
      <c r="J61" s="27">
        <v>40000</v>
      </c>
      <c r="K61" s="27">
        <v>0</v>
      </c>
      <c r="L61" s="27">
        <v>0</v>
      </c>
      <c r="M61" s="27">
        <v>0</v>
      </c>
      <c r="N61" s="27">
        <v>0</v>
      </c>
      <c r="O61" s="27">
        <v>0</v>
      </c>
      <c r="P61" s="27">
        <v>0</v>
      </c>
      <c r="Q61" s="27">
        <v>0</v>
      </c>
      <c r="R61" s="27">
        <v>0</v>
      </c>
      <c r="S61" s="27">
        <v>0</v>
      </c>
      <c r="T61" s="27">
        <v>0</v>
      </c>
      <c r="U61" s="27">
        <v>0</v>
      </c>
      <c r="V61" s="27">
        <v>0</v>
      </c>
      <c r="W61" s="27">
        <v>0</v>
      </c>
      <c r="X61" s="27">
        <v>0</v>
      </c>
      <c r="Y61" s="27">
        <v>20000</v>
      </c>
      <c r="Z61" s="27">
        <v>20000</v>
      </c>
      <c r="AA61" s="28">
        <v>40000</v>
      </c>
    </row>
    <row r="62" spans="1:27" x14ac:dyDescent="0.25">
      <c r="F62" s="21"/>
      <c r="G62" s="40" t="s">
        <v>73</v>
      </c>
      <c r="H62" s="27">
        <v>20000</v>
      </c>
      <c r="I62" s="27">
        <v>20000</v>
      </c>
      <c r="J62" s="27">
        <v>40000</v>
      </c>
      <c r="K62" s="27">
        <v>0</v>
      </c>
      <c r="L62" s="27">
        <v>0</v>
      </c>
      <c r="M62" s="27">
        <v>0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  <c r="T62" s="27">
        <v>0</v>
      </c>
      <c r="U62" s="27">
        <v>0</v>
      </c>
      <c r="V62" s="27">
        <v>0</v>
      </c>
      <c r="W62" s="27">
        <v>0</v>
      </c>
      <c r="X62" s="27">
        <v>0</v>
      </c>
      <c r="Y62" s="27">
        <v>20000</v>
      </c>
      <c r="Z62" s="27">
        <v>20000</v>
      </c>
      <c r="AA62" s="28">
        <v>40000</v>
      </c>
    </row>
    <row r="63" spans="1:27" x14ac:dyDescent="0.25">
      <c r="F63" s="21"/>
      <c r="G63" s="38" t="s">
        <v>79</v>
      </c>
      <c r="H63" s="27">
        <v>20000</v>
      </c>
      <c r="I63" s="27">
        <v>20000</v>
      </c>
      <c r="J63" s="27">
        <v>40000</v>
      </c>
      <c r="K63" s="27">
        <v>0</v>
      </c>
      <c r="L63" s="27">
        <v>0</v>
      </c>
      <c r="M63" s="27">
        <v>0</v>
      </c>
      <c r="N63" s="27">
        <v>0</v>
      </c>
      <c r="O63" s="27">
        <v>0</v>
      </c>
      <c r="P63" s="27">
        <v>0</v>
      </c>
      <c r="Q63" s="27">
        <v>0</v>
      </c>
      <c r="R63" s="27">
        <v>0</v>
      </c>
      <c r="S63" s="27">
        <v>0</v>
      </c>
      <c r="T63" s="27">
        <v>0</v>
      </c>
      <c r="U63" s="27">
        <v>0</v>
      </c>
      <c r="V63" s="27">
        <v>0</v>
      </c>
      <c r="W63" s="27">
        <v>0</v>
      </c>
      <c r="X63" s="27">
        <v>0</v>
      </c>
      <c r="Y63" s="27">
        <v>20000</v>
      </c>
      <c r="Z63" s="27">
        <v>20000</v>
      </c>
      <c r="AA63" s="28">
        <v>40000</v>
      </c>
    </row>
    <row r="64" spans="1:27" s="20" customFormat="1" ht="14.25" x14ac:dyDescent="0.2">
      <c r="A64" s="18"/>
      <c r="B64" s="19"/>
      <c r="F64" s="23">
        <v>2</v>
      </c>
      <c r="G64" s="36" t="s">
        <v>252</v>
      </c>
      <c r="H64" s="29">
        <v>180000</v>
      </c>
      <c r="I64" s="29">
        <v>180000</v>
      </c>
      <c r="J64" s="29">
        <v>360000</v>
      </c>
      <c r="K64" s="29">
        <v>0</v>
      </c>
      <c r="L64" s="29">
        <v>0</v>
      </c>
      <c r="M64" s="29">
        <v>0</v>
      </c>
      <c r="N64" s="29">
        <v>0</v>
      </c>
      <c r="O64" s="29">
        <v>0</v>
      </c>
      <c r="P64" s="29">
        <v>0</v>
      </c>
      <c r="Q64" s="29">
        <v>0</v>
      </c>
      <c r="R64" s="29">
        <v>0</v>
      </c>
      <c r="S64" s="29"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180000</v>
      </c>
      <c r="Z64" s="29">
        <v>180000</v>
      </c>
      <c r="AA64" s="30">
        <v>360000</v>
      </c>
    </row>
    <row r="65" spans="1:27" x14ac:dyDescent="0.25">
      <c r="F65" s="21"/>
      <c r="G65" s="37" t="s">
        <v>84</v>
      </c>
      <c r="H65" s="27">
        <v>20000</v>
      </c>
      <c r="I65" s="27">
        <v>20000</v>
      </c>
      <c r="J65" s="27">
        <v>40000</v>
      </c>
      <c r="K65" s="27">
        <v>0</v>
      </c>
      <c r="L65" s="27">
        <v>0</v>
      </c>
      <c r="M65" s="27">
        <v>0</v>
      </c>
      <c r="N65" s="27">
        <v>0</v>
      </c>
      <c r="O65" s="27">
        <v>0</v>
      </c>
      <c r="P65" s="27">
        <v>0</v>
      </c>
      <c r="Q65" s="27">
        <v>0</v>
      </c>
      <c r="R65" s="27">
        <v>0</v>
      </c>
      <c r="S65" s="27">
        <v>0</v>
      </c>
      <c r="T65" s="27">
        <v>0</v>
      </c>
      <c r="U65" s="27">
        <v>0</v>
      </c>
      <c r="V65" s="27">
        <v>0</v>
      </c>
      <c r="W65" s="27">
        <v>0</v>
      </c>
      <c r="X65" s="27">
        <v>0</v>
      </c>
      <c r="Y65" s="27">
        <v>20000</v>
      </c>
      <c r="Z65" s="27">
        <v>20000</v>
      </c>
      <c r="AA65" s="28">
        <v>40000</v>
      </c>
    </row>
    <row r="66" spans="1:27" x14ac:dyDescent="0.25">
      <c r="F66" s="21"/>
      <c r="G66" s="40" t="s">
        <v>87</v>
      </c>
      <c r="H66" s="27">
        <v>20000</v>
      </c>
      <c r="I66" s="27">
        <v>20000</v>
      </c>
      <c r="J66" s="27">
        <v>40000</v>
      </c>
      <c r="K66" s="27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20000</v>
      </c>
      <c r="Z66" s="27">
        <v>20000</v>
      </c>
      <c r="AA66" s="28">
        <v>40000</v>
      </c>
    </row>
    <row r="67" spans="1:27" x14ac:dyDescent="0.25">
      <c r="F67" s="21"/>
      <c r="G67" s="40" t="s">
        <v>90</v>
      </c>
      <c r="H67" s="27">
        <v>20000</v>
      </c>
      <c r="I67" s="27">
        <v>20000</v>
      </c>
      <c r="J67" s="27">
        <v>40000</v>
      </c>
      <c r="K67" s="27">
        <v>0</v>
      </c>
      <c r="L67" s="27">
        <v>0</v>
      </c>
      <c r="M67" s="27">
        <v>0</v>
      </c>
      <c r="N67" s="27">
        <v>0</v>
      </c>
      <c r="O67" s="27">
        <v>0</v>
      </c>
      <c r="P67" s="27">
        <v>0</v>
      </c>
      <c r="Q67" s="27">
        <v>0</v>
      </c>
      <c r="R67" s="27">
        <v>0</v>
      </c>
      <c r="S67" s="27">
        <v>0</v>
      </c>
      <c r="T67" s="27">
        <v>0</v>
      </c>
      <c r="U67" s="27">
        <v>0</v>
      </c>
      <c r="V67" s="27">
        <v>0</v>
      </c>
      <c r="W67" s="27">
        <v>0</v>
      </c>
      <c r="X67" s="27">
        <v>0</v>
      </c>
      <c r="Y67" s="27">
        <v>20000</v>
      </c>
      <c r="Z67" s="27">
        <v>20000</v>
      </c>
      <c r="AA67" s="28">
        <v>40000</v>
      </c>
    </row>
    <row r="68" spans="1:27" x14ac:dyDescent="0.25">
      <c r="F68" s="21"/>
      <c r="G68" s="40" t="s">
        <v>88</v>
      </c>
      <c r="H68" s="27">
        <v>20000</v>
      </c>
      <c r="I68" s="27">
        <v>20000</v>
      </c>
      <c r="J68" s="27">
        <v>40000</v>
      </c>
      <c r="K68" s="27">
        <v>0</v>
      </c>
      <c r="L68" s="27">
        <v>0</v>
      </c>
      <c r="M68" s="27">
        <v>0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  <c r="T68" s="27">
        <v>0</v>
      </c>
      <c r="U68" s="27">
        <v>0</v>
      </c>
      <c r="V68" s="27">
        <v>0</v>
      </c>
      <c r="W68" s="27">
        <v>0</v>
      </c>
      <c r="X68" s="27">
        <v>0</v>
      </c>
      <c r="Y68" s="27">
        <v>20000</v>
      </c>
      <c r="Z68" s="27">
        <v>20000</v>
      </c>
      <c r="AA68" s="28">
        <v>40000</v>
      </c>
    </row>
    <row r="69" spans="1:27" x14ac:dyDescent="0.25">
      <c r="F69" s="21"/>
      <c r="G69" s="40" t="s">
        <v>89</v>
      </c>
      <c r="H69" s="27">
        <v>20000</v>
      </c>
      <c r="I69" s="27">
        <v>20000</v>
      </c>
      <c r="J69" s="27">
        <v>40000</v>
      </c>
      <c r="K69" s="27">
        <v>0</v>
      </c>
      <c r="L69" s="27">
        <v>0</v>
      </c>
      <c r="M69" s="27">
        <v>0</v>
      </c>
      <c r="N69" s="27">
        <v>0</v>
      </c>
      <c r="O69" s="27">
        <v>0</v>
      </c>
      <c r="P69" s="27">
        <v>0</v>
      </c>
      <c r="Q69" s="27">
        <v>0</v>
      </c>
      <c r="R69" s="27">
        <v>0</v>
      </c>
      <c r="S69" s="27">
        <v>0</v>
      </c>
      <c r="T69" s="27">
        <v>0</v>
      </c>
      <c r="U69" s="27">
        <v>0</v>
      </c>
      <c r="V69" s="27">
        <v>0</v>
      </c>
      <c r="W69" s="27">
        <v>0</v>
      </c>
      <c r="X69" s="27">
        <v>0</v>
      </c>
      <c r="Y69" s="27">
        <v>20000</v>
      </c>
      <c r="Z69" s="27">
        <v>20000</v>
      </c>
      <c r="AA69" s="28">
        <v>40000</v>
      </c>
    </row>
    <row r="70" spans="1:27" x14ac:dyDescent="0.25">
      <c r="F70" s="21"/>
      <c r="G70" s="40" t="s">
        <v>91</v>
      </c>
      <c r="H70" s="27">
        <v>20000</v>
      </c>
      <c r="I70" s="27">
        <v>20000</v>
      </c>
      <c r="J70" s="27">
        <v>40000</v>
      </c>
      <c r="K70" s="27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20000</v>
      </c>
      <c r="Z70" s="27">
        <v>20000</v>
      </c>
      <c r="AA70" s="28">
        <v>40000</v>
      </c>
    </row>
    <row r="71" spans="1:27" x14ac:dyDescent="0.25">
      <c r="F71" s="21"/>
      <c r="G71" s="40" t="s">
        <v>85</v>
      </c>
      <c r="H71" s="27">
        <v>20000</v>
      </c>
      <c r="I71" s="27">
        <v>20000</v>
      </c>
      <c r="J71" s="27">
        <v>40000</v>
      </c>
      <c r="K71" s="27">
        <v>0</v>
      </c>
      <c r="L71" s="27">
        <v>0</v>
      </c>
      <c r="M71" s="27">
        <v>0</v>
      </c>
      <c r="N71" s="27">
        <v>0</v>
      </c>
      <c r="O71" s="27">
        <v>0</v>
      </c>
      <c r="P71" s="27">
        <v>0</v>
      </c>
      <c r="Q71" s="27">
        <v>0</v>
      </c>
      <c r="R71" s="27">
        <v>0</v>
      </c>
      <c r="S71" s="27">
        <v>0</v>
      </c>
      <c r="T71" s="27">
        <v>0</v>
      </c>
      <c r="U71" s="27">
        <v>0</v>
      </c>
      <c r="V71" s="27">
        <v>0</v>
      </c>
      <c r="W71" s="27">
        <v>0</v>
      </c>
      <c r="X71" s="27">
        <v>0</v>
      </c>
      <c r="Y71" s="27">
        <v>20000</v>
      </c>
      <c r="Z71" s="27">
        <v>20000</v>
      </c>
      <c r="AA71" s="28">
        <v>40000</v>
      </c>
    </row>
    <row r="72" spans="1:27" x14ac:dyDescent="0.25">
      <c r="F72" s="21"/>
      <c r="G72" s="40" t="s">
        <v>86</v>
      </c>
      <c r="H72" s="27">
        <v>20000</v>
      </c>
      <c r="I72" s="27">
        <v>20000</v>
      </c>
      <c r="J72" s="27">
        <v>40000</v>
      </c>
      <c r="K72" s="27">
        <v>0</v>
      </c>
      <c r="L72" s="27">
        <v>0</v>
      </c>
      <c r="M72" s="27">
        <v>0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  <c r="T72" s="27">
        <v>0</v>
      </c>
      <c r="U72" s="27">
        <v>0</v>
      </c>
      <c r="V72" s="27">
        <v>0</v>
      </c>
      <c r="W72" s="27">
        <v>0</v>
      </c>
      <c r="X72" s="27">
        <v>0</v>
      </c>
      <c r="Y72" s="27">
        <v>20000</v>
      </c>
      <c r="Z72" s="27">
        <v>20000</v>
      </c>
      <c r="AA72" s="28">
        <v>40000</v>
      </c>
    </row>
    <row r="73" spans="1:27" x14ac:dyDescent="0.25">
      <c r="F73" s="21"/>
      <c r="G73" s="38" t="s">
        <v>82</v>
      </c>
      <c r="H73" s="27">
        <v>20000</v>
      </c>
      <c r="I73" s="27">
        <v>20000</v>
      </c>
      <c r="J73" s="27">
        <v>40000</v>
      </c>
      <c r="K73" s="27">
        <v>0</v>
      </c>
      <c r="L73" s="27">
        <v>0</v>
      </c>
      <c r="M73" s="27">
        <v>0</v>
      </c>
      <c r="N73" s="27">
        <v>0</v>
      </c>
      <c r="O73" s="27">
        <v>0</v>
      </c>
      <c r="P73" s="27">
        <v>0</v>
      </c>
      <c r="Q73" s="27">
        <v>0</v>
      </c>
      <c r="R73" s="27">
        <v>0</v>
      </c>
      <c r="S73" s="27">
        <v>0</v>
      </c>
      <c r="T73" s="27">
        <v>0</v>
      </c>
      <c r="U73" s="27">
        <v>0</v>
      </c>
      <c r="V73" s="27">
        <v>0</v>
      </c>
      <c r="W73" s="27">
        <v>0</v>
      </c>
      <c r="X73" s="27">
        <v>0</v>
      </c>
      <c r="Y73" s="27">
        <v>20000</v>
      </c>
      <c r="Z73" s="27">
        <v>20000</v>
      </c>
      <c r="AA73" s="28">
        <v>40000</v>
      </c>
    </row>
    <row r="74" spans="1:27" s="20" customFormat="1" ht="14.25" x14ac:dyDescent="0.2">
      <c r="A74" s="18"/>
      <c r="B74" s="19"/>
      <c r="F74" s="23">
        <v>3</v>
      </c>
      <c r="G74" s="36" t="s">
        <v>255</v>
      </c>
      <c r="H74" s="29">
        <v>20000</v>
      </c>
      <c r="I74" s="29">
        <v>20000</v>
      </c>
      <c r="J74" s="29">
        <v>40000</v>
      </c>
      <c r="K74" s="29">
        <v>0</v>
      </c>
      <c r="L74" s="29">
        <v>0</v>
      </c>
      <c r="M74" s="29">
        <v>0</v>
      </c>
      <c r="N74" s="29">
        <v>0</v>
      </c>
      <c r="O74" s="29">
        <v>0</v>
      </c>
      <c r="P74" s="29">
        <v>0</v>
      </c>
      <c r="Q74" s="29">
        <v>0</v>
      </c>
      <c r="R74" s="29">
        <v>0</v>
      </c>
      <c r="S74" s="29"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20000</v>
      </c>
      <c r="Z74" s="29">
        <v>20000</v>
      </c>
      <c r="AA74" s="30">
        <v>40000</v>
      </c>
    </row>
    <row r="75" spans="1:27" x14ac:dyDescent="0.25">
      <c r="F75" s="21"/>
      <c r="G75" s="39" t="s">
        <v>80</v>
      </c>
      <c r="H75" s="27">
        <v>20000</v>
      </c>
      <c r="I75" s="27">
        <v>20000</v>
      </c>
      <c r="J75" s="27">
        <v>40000</v>
      </c>
      <c r="K75" s="27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0</v>
      </c>
      <c r="R75" s="27">
        <v>0</v>
      </c>
      <c r="S75" s="27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20000</v>
      </c>
      <c r="Z75" s="27">
        <v>20000</v>
      </c>
      <c r="AA75" s="28">
        <v>40000</v>
      </c>
    </row>
    <row r="76" spans="1:27" s="20" customFormat="1" ht="14.25" x14ac:dyDescent="0.2">
      <c r="A76" s="18"/>
      <c r="B76" s="19"/>
      <c r="F76" s="23">
        <v>4</v>
      </c>
      <c r="G76" s="36" t="s">
        <v>259</v>
      </c>
      <c r="H76" s="29">
        <v>20000</v>
      </c>
      <c r="I76" s="29">
        <v>20000</v>
      </c>
      <c r="J76" s="29">
        <v>40000</v>
      </c>
      <c r="K76" s="29">
        <v>0</v>
      </c>
      <c r="L76" s="29">
        <v>0</v>
      </c>
      <c r="M76" s="29">
        <v>0</v>
      </c>
      <c r="N76" s="29">
        <v>0</v>
      </c>
      <c r="O76" s="29">
        <v>0</v>
      </c>
      <c r="P76" s="29">
        <v>0</v>
      </c>
      <c r="Q76" s="29">
        <v>0</v>
      </c>
      <c r="R76" s="29">
        <v>0</v>
      </c>
      <c r="S76" s="29"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20000</v>
      </c>
      <c r="Z76" s="29">
        <v>20000</v>
      </c>
      <c r="AA76" s="30">
        <v>40000</v>
      </c>
    </row>
    <row r="77" spans="1:27" x14ac:dyDescent="0.25">
      <c r="F77" s="21"/>
      <c r="G77" s="39" t="s">
        <v>97</v>
      </c>
      <c r="H77" s="27">
        <v>20000</v>
      </c>
      <c r="I77" s="27">
        <v>20000</v>
      </c>
      <c r="J77" s="27">
        <v>40000</v>
      </c>
      <c r="K77" s="27">
        <v>0</v>
      </c>
      <c r="L77" s="27">
        <v>0</v>
      </c>
      <c r="M77" s="27">
        <v>0</v>
      </c>
      <c r="N77" s="27">
        <v>0</v>
      </c>
      <c r="O77" s="27">
        <v>0</v>
      </c>
      <c r="P77" s="27">
        <v>0</v>
      </c>
      <c r="Q77" s="27">
        <v>0</v>
      </c>
      <c r="R77" s="27">
        <v>0</v>
      </c>
      <c r="S77" s="27">
        <v>0</v>
      </c>
      <c r="T77" s="27">
        <v>0</v>
      </c>
      <c r="U77" s="27">
        <v>0</v>
      </c>
      <c r="V77" s="27">
        <v>0</v>
      </c>
      <c r="W77" s="27">
        <v>0</v>
      </c>
      <c r="X77" s="27">
        <v>0</v>
      </c>
      <c r="Y77" s="27">
        <v>20000</v>
      </c>
      <c r="Z77" s="27">
        <v>20000</v>
      </c>
      <c r="AA77" s="28">
        <v>40000</v>
      </c>
    </row>
    <row r="78" spans="1:27" s="20" customFormat="1" ht="14.25" x14ac:dyDescent="0.2">
      <c r="A78" s="18"/>
      <c r="B78" s="19"/>
      <c r="F78" s="23">
        <v>5</v>
      </c>
      <c r="G78" s="36" t="s">
        <v>258</v>
      </c>
      <c r="H78" s="29">
        <v>80000</v>
      </c>
      <c r="I78" s="29">
        <v>80000</v>
      </c>
      <c r="J78" s="29">
        <v>160000</v>
      </c>
      <c r="K78" s="29">
        <v>0</v>
      </c>
      <c r="L78" s="29">
        <v>0</v>
      </c>
      <c r="M78" s="29">
        <v>0</v>
      </c>
      <c r="N78" s="29">
        <v>0</v>
      </c>
      <c r="O78" s="29">
        <v>0</v>
      </c>
      <c r="P78" s="29">
        <v>0</v>
      </c>
      <c r="Q78" s="29">
        <v>0</v>
      </c>
      <c r="R78" s="29">
        <v>0</v>
      </c>
      <c r="S78" s="29"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80000</v>
      </c>
      <c r="Z78" s="29">
        <v>80000</v>
      </c>
      <c r="AA78" s="30">
        <v>160000</v>
      </c>
    </row>
    <row r="79" spans="1:27" x14ac:dyDescent="0.25">
      <c r="F79" s="21"/>
      <c r="G79" s="37" t="s">
        <v>92</v>
      </c>
      <c r="H79" s="27">
        <v>20000</v>
      </c>
      <c r="I79" s="27">
        <v>20000</v>
      </c>
      <c r="J79" s="27">
        <v>40000</v>
      </c>
      <c r="K79" s="27">
        <v>0</v>
      </c>
      <c r="L79" s="27">
        <v>0</v>
      </c>
      <c r="M79" s="27">
        <v>0</v>
      </c>
      <c r="N79" s="27">
        <v>0</v>
      </c>
      <c r="O79" s="27">
        <v>0</v>
      </c>
      <c r="P79" s="27">
        <v>0</v>
      </c>
      <c r="Q79" s="27">
        <v>0</v>
      </c>
      <c r="R79" s="27">
        <v>0</v>
      </c>
      <c r="S79" s="27">
        <v>0</v>
      </c>
      <c r="T79" s="27">
        <v>0</v>
      </c>
      <c r="U79" s="27">
        <v>0</v>
      </c>
      <c r="V79" s="27">
        <v>0</v>
      </c>
      <c r="W79" s="27">
        <v>0</v>
      </c>
      <c r="X79" s="27">
        <v>0</v>
      </c>
      <c r="Y79" s="27">
        <v>20000</v>
      </c>
      <c r="Z79" s="27">
        <v>20000</v>
      </c>
      <c r="AA79" s="28">
        <v>40000</v>
      </c>
    </row>
    <row r="80" spans="1:27" x14ac:dyDescent="0.25">
      <c r="F80" s="21"/>
      <c r="G80" s="40" t="s">
        <v>94</v>
      </c>
      <c r="H80" s="27">
        <v>20000</v>
      </c>
      <c r="I80" s="27">
        <v>20000</v>
      </c>
      <c r="J80" s="27">
        <v>40000</v>
      </c>
      <c r="K80" s="27">
        <v>0</v>
      </c>
      <c r="L80" s="27">
        <v>0</v>
      </c>
      <c r="M80" s="27">
        <v>0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  <c r="T80" s="27">
        <v>0</v>
      </c>
      <c r="U80" s="27">
        <v>0</v>
      </c>
      <c r="V80" s="27">
        <v>0</v>
      </c>
      <c r="W80" s="27">
        <v>0</v>
      </c>
      <c r="X80" s="27">
        <v>0</v>
      </c>
      <c r="Y80" s="27">
        <v>20000</v>
      </c>
      <c r="Z80" s="27">
        <v>20000</v>
      </c>
      <c r="AA80" s="28">
        <v>40000</v>
      </c>
    </row>
    <row r="81" spans="6:27" x14ac:dyDescent="0.25">
      <c r="F81" s="21"/>
      <c r="G81" s="40" t="s">
        <v>95</v>
      </c>
      <c r="H81" s="27">
        <v>20000</v>
      </c>
      <c r="I81" s="27">
        <v>20000</v>
      </c>
      <c r="J81" s="27">
        <v>40000</v>
      </c>
      <c r="K81" s="27">
        <v>0</v>
      </c>
      <c r="L81" s="27">
        <v>0</v>
      </c>
      <c r="M81" s="27">
        <v>0</v>
      </c>
      <c r="N81" s="27">
        <v>0</v>
      </c>
      <c r="O81" s="27">
        <v>0</v>
      </c>
      <c r="P81" s="27">
        <v>0</v>
      </c>
      <c r="Q81" s="27">
        <v>0</v>
      </c>
      <c r="R81" s="27">
        <v>0</v>
      </c>
      <c r="S81" s="27">
        <v>0</v>
      </c>
      <c r="T81" s="27">
        <v>0</v>
      </c>
      <c r="U81" s="27">
        <v>0</v>
      </c>
      <c r="V81" s="27">
        <v>0</v>
      </c>
      <c r="W81" s="27">
        <v>0</v>
      </c>
      <c r="X81" s="27">
        <v>0</v>
      </c>
      <c r="Y81" s="27">
        <v>20000</v>
      </c>
      <c r="Z81" s="27">
        <v>20000</v>
      </c>
      <c r="AA81" s="28">
        <v>40000</v>
      </c>
    </row>
    <row r="82" spans="6:27" x14ac:dyDescent="0.25">
      <c r="F82" s="21"/>
      <c r="G82" s="38" t="s">
        <v>96</v>
      </c>
      <c r="H82" s="31">
        <v>20000</v>
      </c>
      <c r="I82" s="31">
        <v>20000</v>
      </c>
      <c r="J82" s="31">
        <v>40000</v>
      </c>
      <c r="K82" s="31">
        <v>0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20000</v>
      </c>
      <c r="Z82" s="31">
        <v>20000</v>
      </c>
      <c r="AA82" s="32">
        <v>40000</v>
      </c>
    </row>
  </sheetData>
  <mergeCells count="33">
    <mergeCell ref="F3:F5"/>
    <mergeCell ref="G3:G5"/>
    <mergeCell ref="W4:W5"/>
    <mergeCell ref="X3:X5"/>
    <mergeCell ref="Y3:Z3"/>
    <mergeCell ref="H3:I3"/>
    <mergeCell ref="J3:J5"/>
    <mergeCell ref="K3:O3"/>
    <mergeCell ref="L4:L5"/>
    <mergeCell ref="M4:M5"/>
    <mergeCell ref="H4:H5"/>
    <mergeCell ref="I4:I5"/>
    <mergeCell ref="P3:P5"/>
    <mergeCell ref="Q4:R4"/>
    <mergeCell ref="N4:N5"/>
    <mergeCell ref="O4:O5"/>
    <mergeCell ref="U4:U5"/>
    <mergeCell ref="V4:V5"/>
    <mergeCell ref="Q3:W3"/>
    <mergeCell ref="S4:S5"/>
    <mergeCell ref="T4:T5"/>
    <mergeCell ref="AA3:AA5"/>
    <mergeCell ref="Y4:Y5"/>
    <mergeCell ref="Z4:Z5"/>
    <mergeCell ref="X8:X10"/>
    <mergeCell ref="Y8:Z8"/>
    <mergeCell ref="AA8:AA10"/>
    <mergeCell ref="H8:I8"/>
    <mergeCell ref="J8:J10"/>
    <mergeCell ref="K8:O8"/>
    <mergeCell ref="P8:P10"/>
    <mergeCell ref="Q8:W8"/>
    <mergeCell ref="Q9:R9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IF(Sheet1!J8="",$F$7, IF(ISNUMBER(SEARCH("Sum", Sheet1!J8)), "Tổng", Sheet1!J8))</f>
        <v>Tổng</v>
      </c>
      <c r="D1" s="10" t="str">
        <f>IF(Sheet1!K8="",$F$7, IF(ISNUMBER(SEARCH("Sum", Sheet1!K8)), "Tổng", Sheet1!K8))</f>
        <v>Nhập</v>
      </c>
      <c r="E1" s="10" t="str">
        <f>IF(Sheet1!L8="",$F$7, IF(ISNUMBER(SEARCH("Sum", Sheet1!L8)), "Tổng", Sheet1!L8))</f>
        <v>Nhập</v>
      </c>
      <c r="F1" s="10" t="str">
        <f>IF(Sheet1!M8="",$F$7, IF(ISNUMBER(SEARCH("Sum", Sheet1!M8)), "Tổng", Sheet1!M8))</f>
        <v>Nhập</v>
      </c>
      <c r="G1" s="10" t="str">
        <f>IF(Sheet1!N8="",$F$7, IF(ISNUMBER(SEARCH("Sum", Sheet1!N8)), "Tổng", Sheet1!N8))</f>
        <v>Nhập</v>
      </c>
      <c r="H1" s="10" t="str">
        <f>IF(Sheet1!O8="",$F$7, IF(ISNUMBER(SEARCH("Sum", Sheet1!O8)), "Tổng", Sheet1!O8))</f>
        <v>Nhập</v>
      </c>
      <c r="I1" s="10" t="str">
        <f>IF(Sheet1!P8="",$F$7, IF(ISNUMBER(SEARCH("Sum", Sheet1!P8)), "Tổng", Sheet1!P8))</f>
        <v>Tổng</v>
      </c>
      <c r="J1" s="46"/>
      <c r="K1" s="10" t="str">
        <f>IF(Sheet1!Q8="",$F$7, IF(ISNUMBER(SEARCH("Sum", Sheet1!Q8)), "Tổng", Sheet1!Q8))</f>
        <v>Xuất</v>
      </c>
      <c r="L1" s="10" t="str">
        <f>IF(Sheet1!R8="",$F$7, IF(ISNUMBER(SEARCH("Sum", Sheet1!R8)), "Tổng", Sheet1!R8))</f>
        <v>Xuất</v>
      </c>
      <c r="M1" s="10" t="str">
        <f>IF(Sheet1!S8="",$F$7, IF(ISNUMBER(SEARCH("Sum", Sheet1!S8)), "Tổng", Sheet1!S8))</f>
        <v>Xuất</v>
      </c>
      <c r="N1" s="10" t="str">
        <f>IF(Sheet1!T8="",$F$7, IF(ISNUMBER(SEARCH("Sum", Sheet1!T8)), "Tổng", Sheet1!T8))</f>
        <v>Xuất</v>
      </c>
      <c r="O1" s="10" t="str">
        <f>IF(Sheet1!U8="",$F$7, IF(ISNUMBER(SEARCH("Sum", Sheet1!U8)), "Tổng", Sheet1!U8))</f>
        <v>Xuất</v>
      </c>
      <c r="P1" s="10" t="str">
        <f>IF(Sheet1!V8="",$F$7, IF(ISNUMBER(SEARCH("Sum", Sheet1!V8)), "Tổng", Sheet1!V8))</f>
        <v>Xuất</v>
      </c>
      <c r="Q1" s="10" t="str">
        <f>IF(Sheet1!W8="",$F$7, IF(ISNUMBER(SEARCH("Sum", Sheet1!W8)), "Tổng", Sheet1!W8))</f>
        <v>Xuất</v>
      </c>
      <c r="R1" s="10" t="str">
        <f>IF(Sheet1!X8="",$F$7, IF(ISNUMBER(SEARCH("Sum", Sheet1!X8)), "Tổng", Sheet1!X8))</f>
        <v>Tổng</v>
      </c>
      <c r="S1" s="10" t="str">
        <f>IF(Sheet1!Y8="",$F$7, IF(ISNUMBER(SEARCH("Sum", Sheet1!Y8)), "Tổng", Sheet1!Y8))</f>
        <v>Tồn cuối kỳ</v>
      </c>
      <c r="T1" s="10" t="str">
        <f>IF(Sheet1!Z8="",$F$7, IF(ISNUMBER(SEARCH("Sum", Sheet1!Z8)), "Tổng", Sheet1!Z8))</f>
        <v>Tồn cuối kỳ</v>
      </c>
      <c r="U1" s="10" t="str">
        <f>IF(Sheet1!AA8="",$F$7, IF(ISNUMBER(SEARCH("Sum", Sheet1!AA8)), "Tổng", Sheet1!AA8))</f>
        <v>Tổng</v>
      </c>
      <c r="V1" s="10"/>
      <c r="W1" s="10"/>
    </row>
    <row r="2" spans="1:23" x14ac:dyDescent="0.25">
      <c r="A2" s="10" t="str">
        <f>IF(Sheet1!H9="",$F$7, IF(ISNUMBER(SEARCH("Sum", Sheet1!H9)), "Tổng", Sheet1!H9))</f>
        <v>DT cho NV đột xuất</v>
      </c>
      <c r="B2" s="11" t="str">
        <f>IF(Sheet1!I9="",$F$7, IF(ISNUMBER(SEARCH("Sum", Sheet1!I9)), "Tổng", Sheet1!I9))</f>
        <v>DT SSCD</v>
      </c>
      <c r="C2" s="57">
        <f>IF(Sheet1!J9="",$F$7, IF(ISNUMBER(SEARCH("Sum", Sheet1!J9)), "Tổng", Sheet1!J9))</f>
        <v>0</v>
      </c>
      <c r="D2" s="10" t="str">
        <f>IF(Sheet1!K9="",$F$7, IF(ISNUMBER(SEARCH("Sum", Sheet1!K9)), "Tổng", Sheet1!K9))</f>
        <v>Nhập khác</v>
      </c>
      <c r="E2" s="10" t="str">
        <f>IF(Sheet1!L9="",$F$7, IF(ISNUMBER(SEARCH("Sum", Sheet1!L9)), "Tổng", Sheet1!L9))</f>
        <v>CXD</v>
      </c>
      <c r="F2" s="10" t="str">
        <f>IF(Sheet1!M9="",$F$7, IF(ISNUMBER(SEARCH("Sum", Sheet1!M9)), "Tổng", Sheet1!M9))</f>
        <v>QC</v>
      </c>
      <c r="G2" s="10" t="str">
        <f>IF(Sheet1!N9="",$F$7, IF(ISNUMBER(SEARCH("Sum", Sheet1!N9)), "Tổng", Sheet1!N9))</f>
        <v>Mua P/cấp</v>
      </c>
      <c r="H2" s="10" t="str">
        <f>IF(Sheet1!O9="",$F$7, IF(ISNUMBER(SEARCH("Sum", Sheet1!O9)), "Tổng", Sheet1!O9))</f>
        <v>Khác</v>
      </c>
      <c r="I2" s="57">
        <f>IF(Sheet1!P9="",$F$7, IF(ISNUMBER(SEARCH("Sum", Sheet1!P9)), "Tổng", Sheet1!P9))</f>
        <v>0</v>
      </c>
      <c r="J2" s="46"/>
      <c r="K2" s="10" t="str">
        <f>IF(Sheet1!Q9="",$F$7, IF(ISNUMBER(SEARCH("Sum", Sheet1!Q9)), "Tổng", Sheet1!Q9))</f>
        <v>Xuất khác</v>
      </c>
      <c r="L2" s="10"/>
      <c r="M2" s="10" t="str">
        <f>IF(Sheet1!S9="",$F$7, IF(ISNUMBER(SEARCH("Sum", Sheet1!S9)), "Tổng", Sheet1!S9))</f>
        <v>Khác</v>
      </c>
      <c r="N2" s="10" t="str">
        <f>IF(Sheet1!T9="",$F$7, IF(ISNUMBER(SEARCH("Sum", Sheet1!T9)), "Tổng", Sheet1!T9))</f>
        <v>TT Xe máy</v>
      </c>
      <c r="O2" s="10" t="str">
        <f>IF(Sheet1!U9="",$F$7, IF(ISNUMBER(SEARCH("Sum", Sheet1!U9)), "Tổng", Sheet1!U9))</f>
        <v>BQ</v>
      </c>
      <c r="P2" s="10" t="str">
        <f>IF(Sheet1!V9="",$F$7, IF(ISNUMBER(SEARCH("Sum", Sheet1!V9)), "Tổng", Sheet1!V9))</f>
        <v>Hao hụt</v>
      </c>
      <c r="Q2" s="10" t="str">
        <f>IF(Sheet1!W9="",$F$7, IF(ISNUMBER(SEARCH("Sum", Sheet1!W9)), "Tổng", Sheet1!W9))</f>
        <v>Tổn thất</v>
      </c>
      <c r="R2" s="57">
        <f>IF(Sheet1!X9="",$F$7, IF(ISNUMBER(SEARCH("Sum", Sheet1!X9)), "Tổng", Sheet1!X9))</f>
        <v>0</v>
      </c>
      <c r="S2" s="10" t="str">
        <f>IF(Sheet1!Y9="",$F$7, IF(ISNUMBER(SEARCH("Sum", Sheet1!Y9)), "Tổng", Sheet1!Y9))</f>
        <v>DT cho NV đột xuất</v>
      </c>
      <c r="T2" s="10" t="str">
        <f>IF(Sheet1!Z9="",$F$7, IF(ISNUMBER(SEARCH("Sum", Sheet1!Z9)), "Tổng", Sheet1!Z9))</f>
        <v>DT SSCD</v>
      </c>
      <c r="U2" s="57">
        <f>IF(Sheet1!AA9="",$F$7, IF(ISNUMBER(SEARCH("Sum", Sheet1!AA9)), "Tổng", Sheet1!AA9))</f>
        <v>0</v>
      </c>
      <c r="V2" s="9"/>
    </row>
    <row r="3" spans="1:23" x14ac:dyDescent="0.25">
      <c r="A3" s="57"/>
      <c r="B3" s="58"/>
      <c r="C3" s="57"/>
      <c r="D3" s="10" t="str">
        <f>IF(Sheet1!K10="",$F$7, IF(ISNUMBER(SEARCH("Sum", Sheet1!K10)), "Tổng", Sheet1!K10))</f>
        <v>Trong QC</v>
      </c>
      <c r="E3" s="57"/>
      <c r="F3" s="57"/>
      <c r="G3" s="57"/>
      <c r="H3" s="57"/>
      <c r="I3" s="57"/>
      <c r="J3" s="46"/>
      <c r="K3" s="10" t="str">
        <f>IF(Sheet1!Q10="",$F$7, IF(ISNUMBER(SEARCH("Sum", Sheet1!Q10)), "Tổng", Sheet1!Q10))</f>
        <v>Ngoài QC</v>
      </c>
      <c r="L3" s="10" t="str">
        <f>IF(Sheet1!R10="",$F$7, IF(ISNUMBER(SEARCH("Sum", Sheet1!R10)), "Tổng", Sheet1!R10))</f>
        <v>Trong QC</v>
      </c>
      <c r="M3" s="57"/>
      <c r="N3" s="57"/>
      <c r="O3" s="57"/>
      <c r="P3" s="57"/>
      <c r="Q3" s="57"/>
      <c r="R3" s="57"/>
      <c r="S3" s="57"/>
      <c r="T3" s="57"/>
      <c r="U3" s="57"/>
      <c r="V3" s="9"/>
    </row>
    <row r="4" spans="1:23" x14ac:dyDescent="0.25">
      <c r="A4" s="57"/>
      <c r="B4" s="58"/>
      <c r="C4" s="57"/>
      <c r="D4" s="57"/>
      <c r="E4" s="57"/>
      <c r="F4" s="57"/>
      <c r="G4" s="57"/>
      <c r="H4" s="57"/>
      <c r="I4" s="57"/>
      <c r="J4" s="46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</row>
    <row r="5" spans="1:23" x14ac:dyDescent="0.25">
      <c r="A5" s="57"/>
      <c r="B5" s="58"/>
      <c r="C5" s="57"/>
      <c r="D5" s="57"/>
      <c r="E5" s="57"/>
      <c r="F5" s="57"/>
      <c r="G5" s="57"/>
      <c r="H5" s="57"/>
      <c r="I5" s="57"/>
      <c r="J5" s="46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</row>
    <row r="6" spans="1:23" x14ac:dyDescent="0.25">
      <c r="A6" s="57"/>
      <c r="B6" s="58"/>
      <c r="C6" s="57"/>
      <c r="D6" s="57"/>
      <c r="E6" s="57"/>
      <c r="F6" s="57"/>
      <c r="G6" s="57"/>
      <c r="H6" s="57"/>
      <c r="I6" s="57"/>
      <c r="J6" s="46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</row>
    <row r="7" spans="1:23" x14ac:dyDescent="0.25">
      <c r="A7" s="57"/>
      <c r="B7" s="58"/>
      <c r="C7" s="9">
        <f>ROW()</f>
        <v>7</v>
      </c>
      <c r="D7" s="57"/>
      <c r="E7" s="57"/>
      <c r="F7" s="57"/>
      <c r="G7" s="57"/>
      <c r="H7" s="57"/>
      <c r="I7" s="57"/>
      <c r="J7" s="46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</row>
    <row r="8" spans="1:23" x14ac:dyDescent="0.25">
      <c r="A8" s="57"/>
      <c r="B8" s="11">
        <f>COLUMN()</f>
        <v>2</v>
      </c>
      <c r="C8" s="9" t="str">
        <f>IF(Sheet1!H8="",$F$7, IF(ISNUMBER(SEARCH("Sum", Sheet1!H8)), "Tổng", Sheet1!H8))</f>
        <v>Tồn đầu kỳ</v>
      </c>
      <c r="D8" s="9" t="str">
        <f>IF(Sheet1!I8="",$F$7, IF(ISNUMBER(SEARCH("Sum", Sheet1!I8)), "Tổng", Sheet1!I8))</f>
        <v>Tồn đầu kỳ</v>
      </c>
      <c r="E8" s="9" t="str">
        <f>IF(Sheet1!J8="",$F$7, IF(ISNUMBER(SEARCH("Sum", Sheet1!J8)), "Tổng", Sheet1!J8))</f>
        <v>Tổng</v>
      </c>
      <c r="F8" s="9" t="str">
        <f>IF(Sheet1!K8="",$F$7, IF(ISNUMBER(SEARCH("Sum", Sheet1!K8)), "Tổng", Sheet1!K8))</f>
        <v>Nhập</v>
      </c>
      <c r="G8" s="9" t="str">
        <f>IF(Sheet1!L8="",$F$7, IF(ISNUMBER(SEARCH("Sum", Sheet1!L8)), "Tổng", Sheet1!L8))</f>
        <v>Nhập</v>
      </c>
      <c r="H8" s="9" t="str">
        <f>IF(Sheet1!M8="",$F$7, IF(ISNUMBER(SEARCH("Sum", Sheet1!M8)), "Tổng", Sheet1!M8))</f>
        <v>Nhập</v>
      </c>
      <c r="I8" s="9" t="str">
        <f>IF(Sheet1!N8="",$F$7, IF(ISNUMBER(SEARCH("Sum", Sheet1!N8)), "Tổng", Sheet1!N8))</f>
        <v>Nhập</v>
      </c>
      <c r="J8" s="9"/>
      <c r="K8" s="9" t="str">
        <f>IF(Sheet1!O8="",$F$7, IF(ISNUMBER(SEARCH("Sum", Sheet1!O8)), "Tổng", Sheet1!O8))</f>
        <v>Nhập</v>
      </c>
      <c r="L8" s="9" t="str">
        <f>IF(Sheet1!P8="",$F$7, IF(ISNUMBER(SEARCH("Sum", Sheet1!P8)), "Tổng", Sheet1!P8))</f>
        <v>Tổng</v>
      </c>
      <c r="M8" s="9" t="str">
        <f>IF(Sheet1!Q8="",$F$7, IF(ISNUMBER(SEARCH("Sum", Sheet1!Q8)), "Tổng", Sheet1!Q8))</f>
        <v>Xuất</v>
      </c>
      <c r="N8" s="9" t="str">
        <f>IF(Sheet1!R8="",$F$7, IF(ISNUMBER(SEARCH("Sum", Sheet1!R8)), "Tổng", Sheet1!R8))</f>
        <v>Xuất</v>
      </c>
      <c r="O8" s="9" t="str">
        <f>IF(Sheet1!S8="",$F$7, IF(ISNUMBER(SEARCH("Sum", Sheet1!S8)), "Tổng", Sheet1!S8))</f>
        <v>Xuất</v>
      </c>
      <c r="P8" s="9" t="str">
        <f>IF(Sheet1!T8="",$F$7, IF(ISNUMBER(SEARCH("Sum", Sheet1!T8)), "Tổng", Sheet1!T8))</f>
        <v>Xuất</v>
      </c>
      <c r="Q8" s="9" t="str">
        <f>IF(Sheet1!U8="",$F$7, IF(ISNUMBER(SEARCH("Sum", Sheet1!U8)), "Tổng", Sheet1!U8))</f>
        <v>Xuất</v>
      </c>
      <c r="R8" s="9" t="str">
        <f>IF(Sheet1!V8="",$F$7, IF(ISNUMBER(SEARCH("Sum", Sheet1!V8)), "Tổng", Sheet1!V8))</f>
        <v>Xuất</v>
      </c>
      <c r="S8" s="9" t="str">
        <f>IF(Sheet1!W8="",$F$7, IF(ISNUMBER(SEARCH("Sum", Sheet1!W8)), "Tổng", Sheet1!W8))</f>
        <v>Xuất</v>
      </c>
      <c r="T8" s="9" t="str">
        <f>IF(Sheet1!X8="",$F$7, IF(ISNUMBER(SEARCH("Sum", Sheet1!X8)), "Tổng", Sheet1!X8))</f>
        <v>Tổng</v>
      </c>
      <c r="U8" s="9" t="str">
        <f>IF(Sheet1!Y8="",$F$7, IF(ISNUMBER(SEARCH("Sum", Sheet1!Y8)), "Tổng", Sheet1!Y8))</f>
        <v>Tồn cuối kỳ</v>
      </c>
      <c r="V8" s="9" t="str">
        <f>IF(Sheet1!Z8="",$F$7, IF(ISNUMBER(SEARCH("Sum", Sheet1!Z8)), "Tổng", Sheet1!Z8))</f>
        <v>Tồn cuối kỳ</v>
      </c>
      <c r="W8" s="9" t="str">
        <f>IF(Sheet1!AA8="",$F$7, IF(ISNUMBER(SEARCH("Sum", Sheet1!AA8)), "Tổng", Sheet1!AA8))</f>
        <v>Tổng</v>
      </c>
    </row>
    <row r="9" spans="1:23" x14ac:dyDescent="0.25">
      <c r="A9" s="57"/>
      <c r="B9" s="58"/>
      <c r="C9" s="9" t="str">
        <f>IF(Sheet1!H9="",$F$7, IF(ISNUMBER(SEARCH("Sum", Sheet1!H9)), "Tổng", Sheet1!H9))</f>
        <v>DT cho NV đột xuất</v>
      </c>
      <c r="D9" s="9" t="str">
        <f>IF(Sheet1!I9="",$F$7, IF(ISNUMBER(SEARCH("Sum", Sheet1!I9)), "Tổng", Sheet1!I9))</f>
        <v>DT SSCD</v>
      </c>
      <c r="E9" s="9">
        <f>IF(Sheet1!J9="",$F$7, IF(ISNUMBER(SEARCH("Sum", Sheet1!J9)), "Tổng", Sheet1!J9))</f>
        <v>0</v>
      </c>
      <c r="F9" s="9" t="str">
        <f>IF(Sheet1!K9="",$F$7, IF(ISNUMBER(SEARCH("Sum", Sheet1!K9)), "Tổng", Sheet1!K9))</f>
        <v>Nhập khác</v>
      </c>
      <c r="G9" s="9" t="str">
        <f>IF(Sheet1!L9="",$F$7, IF(ISNUMBER(SEARCH("Sum", Sheet1!L9)), "Tổng", Sheet1!L9))</f>
        <v>CXD</v>
      </c>
      <c r="H9" s="9" t="str">
        <f>IF(Sheet1!M9="",$F$7, IF(ISNUMBER(SEARCH("Sum", Sheet1!M9)), "Tổng", Sheet1!M9))</f>
        <v>QC</v>
      </c>
      <c r="I9" s="9" t="str">
        <f>IF(Sheet1!N9="",$F$7, IF(ISNUMBER(SEARCH("Sum", Sheet1!N9)), "Tổng", Sheet1!N9))</f>
        <v>Mua P/cấp</v>
      </c>
      <c r="J9" s="9"/>
      <c r="K9" s="9" t="str">
        <f>IF(Sheet1!O9="",$F$7, IF(ISNUMBER(SEARCH("Sum", Sheet1!O9)), "Tổng", Sheet1!O9))</f>
        <v>Khác</v>
      </c>
      <c r="L9" s="9">
        <f>IF(Sheet1!P9="",$F$7, IF(ISNUMBER(SEARCH("Sum", Sheet1!P9)), "Tổng", Sheet1!P9))</f>
        <v>0</v>
      </c>
      <c r="M9" s="9" t="str">
        <f>IF(Sheet1!Q9="",$F$7, IF(ISNUMBER(SEARCH("Sum", Sheet1!Q9)), "Tổng", Sheet1!Q9))</f>
        <v>Xuất khác</v>
      </c>
      <c r="N9" s="9" t="str">
        <f>IF(Sheet1!R9="",$F$7, IF(ISNUMBER(SEARCH("Sum", Sheet1!R9)), "Tổng", Sheet1!R9))</f>
        <v>Xuất khác</v>
      </c>
      <c r="O9" s="9" t="str">
        <f>IF(Sheet1!S9="",$F$7, IF(ISNUMBER(SEARCH("Sum", Sheet1!S9)), "Tổng", Sheet1!S9))</f>
        <v>Khác</v>
      </c>
      <c r="P9" s="9" t="str">
        <f>IF(Sheet1!T9="",$F$7, IF(ISNUMBER(SEARCH("Sum", Sheet1!T9)), "Tổng", Sheet1!T9))</f>
        <v>TT Xe máy</v>
      </c>
      <c r="Q9" s="9" t="str">
        <f>IF(Sheet1!U9="",$F$7, IF(ISNUMBER(SEARCH("Sum", Sheet1!U9)), "Tổng", Sheet1!U9))</f>
        <v>BQ</v>
      </c>
      <c r="R9" s="9" t="str">
        <f>IF(Sheet1!V9="",$F$7, IF(ISNUMBER(SEARCH("Sum", Sheet1!V9)), "Tổng", Sheet1!V9))</f>
        <v>Hao hụt</v>
      </c>
      <c r="S9" s="9" t="str">
        <f>IF(Sheet1!W9="",$F$7, IF(ISNUMBER(SEARCH("Sum", Sheet1!W9)), "Tổng", Sheet1!W9))</f>
        <v>Tổn thất</v>
      </c>
      <c r="T9" s="9">
        <f>IF(Sheet1!X9="",$F$7, IF(ISNUMBER(SEARCH("Sum", Sheet1!X9)), "Tổng", Sheet1!X9))</f>
        <v>0</v>
      </c>
      <c r="U9" s="9" t="str">
        <f>IF(Sheet1!Y9="",$F$7, IF(ISNUMBER(SEARCH("Sum", Sheet1!Y9)), "Tổng", Sheet1!Y9))</f>
        <v>DT cho NV đột xuất</v>
      </c>
      <c r="V9" s="9" t="str">
        <f>IF(Sheet1!Z9="",$F$7, IF(ISNUMBER(SEARCH("Sum", Sheet1!Z9)), "Tổng", Sheet1!Z9))</f>
        <v>DT SSCD</v>
      </c>
      <c r="W9" s="9">
        <f>IF(Sheet1!AA9="",$F$7, IF(ISNUMBER(SEARCH("Sum", Sheet1!AA9)), "Tổng", Sheet1!AA9))</f>
        <v>0</v>
      </c>
    </row>
    <row r="10" spans="1:23" x14ac:dyDescent="0.25">
      <c r="A10" s="57"/>
      <c r="B10" s="58"/>
      <c r="C10" s="9" t="str">
        <f>IF(Sheet1!H10="",$F$7, IF(ISNUMBER(SEARCH("Sum", Sheet1!H10)), "Tổng", Sheet1!H10))</f>
        <v>DT cho NV đột xuất</v>
      </c>
      <c r="D10" s="9" t="str">
        <f>IF(Sheet1!I10="",$F$7, IF(ISNUMBER(SEARCH("Sum", Sheet1!I10)), "Tổng", Sheet1!I10))</f>
        <v>DT SSCD</v>
      </c>
      <c r="E10" s="9">
        <f>IF(Sheet1!J10="",$F$7, IF(ISNUMBER(SEARCH("Sum", Sheet1!J10)), "Tổng", Sheet1!J10))</f>
        <v>0</v>
      </c>
      <c r="F10" s="9" t="str">
        <f>IF(Sheet1!K10="",$F$7, IF(ISNUMBER(SEARCH("Sum", Sheet1!K10)), "Tổng", Sheet1!K10))</f>
        <v>Trong QC</v>
      </c>
      <c r="G10" s="9" t="str">
        <f>IF(Sheet1!L10="",$F$7, IF(ISNUMBER(SEARCH("Sum", Sheet1!L10)), "Tổng", Sheet1!L10))</f>
        <v>CXD</v>
      </c>
      <c r="H10" s="9" t="str">
        <f>IF(Sheet1!M10="",$F$7, IF(ISNUMBER(SEARCH("Sum", Sheet1!M10)), "Tổng", Sheet1!M10))</f>
        <v>QC</v>
      </c>
      <c r="I10" s="9" t="str">
        <f>IF(Sheet1!N10="",$F$7, IF(ISNUMBER(SEARCH("Sum", Sheet1!N10)), "Tổng", Sheet1!N10))</f>
        <v>Mua P/cấp</v>
      </c>
      <c r="J10" s="9"/>
      <c r="K10" s="9" t="str">
        <f>IF(Sheet1!O10="",$F$7, IF(ISNUMBER(SEARCH("Sum", Sheet1!O10)), "Tổng", Sheet1!O10))</f>
        <v>Khác</v>
      </c>
      <c r="L10" s="9">
        <f>IF(Sheet1!P10="",$F$7, IF(ISNUMBER(SEARCH("Sum", Sheet1!P10)), "Tổng", Sheet1!P10))</f>
        <v>0</v>
      </c>
      <c r="M10" s="9" t="str">
        <f>IF(Sheet1!Q10="",$F$7, IF(ISNUMBER(SEARCH("Sum", Sheet1!Q10)), "Tổng", Sheet1!Q10))</f>
        <v>Ngoài QC</v>
      </c>
      <c r="N10" s="9" t="str">
        <f>IF(Sheet1!R10="",$F$7, IF(ISNUMBER(SEARCH("Sum", Sheet1!R10)), "Tổng", Sheet1!R10))</f>
        <v>Trong QC</v>
      </c>
      <c r="O10" s="9" t="str">
        <f>IF(Sheet1!S10="",$F$7, IF(ISNUMBER(SEARCH("Sum", Sheet1!S10)), "Tổng", Sheet1!S10))</f>
        <v>Khác</v>
      </c>
      <c r="P10" s="9" t="str">
        <f>IF(Sheet1!T10="",$F$7, IF(ISNUMBER(SEARCH("Sum", Sheet1!T10)), "Tổng", Sheet1!T10))</f>
        <v>TT Xe máy</v>
      </c>
      <c r="Q10" s="9" t="str">
        <f>IF(Sheet1!U10="",$F$7, IF(ISNUMBER(SEARCH("Sum", Sheet1!U10)), "Tổng", Sheet1!U10))</f>
        <v>BQ</v>
      </c>
      <c r="R10" s="9" t="str">
        <f>IF(Sheet1!V10="",$F$7, IF(ISNUMBER(SEARCH("Sum", Sheet1!V10)), "Tổng", Sheet1!V10))</f>
        <v>Hao hụt</v>
      </c>
      <c r="S10" s="9" t="str">
        <f>IF(Sheet1!W10="",$F$7, IF(ISNUMBER(SEARCH("Sum", Sheet1!W10)), "Tổng", Sheet1!W10))</f>
        <v>Tổn thất</v>
      </c>
      <c r="T10" s="9">
        <f>IF(Sheet1!X10="",$F$7, IF(ISNUMBER(SEARCH("Sum", Sheet1!X10)), "Tổng", Sheet1!X10))</f>
        <v>0</v>
      </c>
      <c r="U10" s="9" t="str">
        <f>IF(Sheet1!Y10="",$F$7, IF(ISNUMBER(SEARCH("Sum", Sheet1!Y10)), "Tổng", Sheet1!Y10))</f>
        <v>DT cho NV đột xuất</v>
      </c>
      <c r="V10" s="9" t="str">
        <f>IF(Sheet1!Z10="",$F$7, IF(ISNUMBER(SEARCH("Sum", Sheet1!Z10)), "Tổng", Sheet1!Z10))</f>
        <v>DT SSCD</v>
      </c>
      <c r="W10" s="9">
        <f>IF(Sheet1!AA10="",$F$7, IF(ISNUMBER(SEARCH("Sum", Sheet1!AA10)), "Tổng", Sheet1!AA10))</f>
        <v>0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P3:P7"/>
    <mergeCell ref="O3:O7"/>
    <mergeCell ref="M3:M7"/>
    <mergeCell ref="N3:N7"/>
    <mergeCell ref="K4:K7"/>
    <mergeCell ref="L4:L7"/>
    <mergeCell ref="U2:U7"/>
    <mergeCell ref="T3:T7"/>
    <mergeCell ref="S3:S7"/>
    <mergeCell ref="R2:R7"/>
    <mergeCell ref="Q3:Q7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Sheet1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2024-10-28T10:20:00Z</dcterms:modified>
</cp:coreProperties>
</file>