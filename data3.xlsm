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pivotTables/pivotTable4.xml" ContentType="application/vnd.openxmlformats-officedocument.spreadsheetml.pivot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tga\Downloads\xd_mn-main\"/>
    </mc:Choice>
  </mc:AlternateContent>
  <bookViews>
    <workbookView xWindow="0" yWindow="0" windowWidth="23040" windowHeight="9210" tabRatio="770" activeTab="10"/>
  </bookViews>
  <sheets>
    <sheet name="bc_nl_kh" sheetId="21" r:id="rId1"/>
    <sheet name="loaixd" sheetId="2" r:id="rId2"/>
    <sheet name="nguon_nx" sheetId="3" r:id="rId3"/>
    <sheet name="Sheet2" sheetId="19" state="hidden" r:id="rId4"/>
    <sheet name="socai" sheetId="1" r:id="rId5"/>
    <sheet name="nhiem_vu" sheetId="14" r:id="rId6"/>
    <sheet name="bc_nxt" sheetId="10" r:id="rId7"/>
    <sheet name="Sheet6" sheetId="29" r:id="rId8"/>
    <sheet name="Sheet7" sheetId="34" r:id="rId9"/>
    <sheet name="phantich_nhiemvu" sheetId="24" r:id="rId10"/>
    <sheet name="Sheet3" sheetId="38" r:id="rId11"/>
    <sheet name="Sheet9" sheetId="36" r:id="rId12"/>
  </sheets>
  <definedNames>
    <definedName name="_xlcn.WorksheetConnection_data3.xlsmctnv_tb1" hidden="1">ctnv_tb[]</definedName>
    <definedName name="_xlcn.WorksheetConnection_data3.xlsmnv_tb1" hidden="1">nv_tb[]</definedName>
    <definedName name="_xlcn.WorksheetConnection_data3.xlsmtb_loaixd21" hidden="1">tb_loaixd2[]</definedName>
    <definedName name="_xlcn.WorksheetConnection_data3.xlsmtb_nguon_nx1" hidden="1">tb_nguon_nx[]</definedName>
    <definedName name="_xlcn.WorksheetConnection_data3.xlsmteam_tb1" hidden="1">team_tb[]</definedName>
    <definedName name="ExternalData_1" localSheetId="11" hidden="1">Sheet9!$A$1:$R$91</definedName>
    <definedName name="ExternalData_2" localSheetId="9" hidden="1">phantich_nhiemvu!$Q$2:$AG$92</definedName>
    <definedName name="ExternalData_3" localSheetId="9" hidden="1">phantich_nhiemvu!$A$3:$M$11</definedName>
    <definedName name="postgres" localSheetId="4" hidden="1">socai!#REF!</definedName>
    <definedName name="postgres_assignment_type" localSheetId="1" hidden="1">loaixd!$P$8:$Q$10</definedName>
    <definedName name="postgres_chitiet_nhiemvu" localSheetId="5" hidden="1">nhiem_vu!$S$11:$U$60</definedName>
    <definedName name="postgres_hanmuc_nhiemvu" localSheetId="5" hidden="1">nhiem_vu!$X$11:$AE$101</definedName>
    <definedName name="postgres_ledger_details_1" localSheetId="4" hidden="1">socai!$B$3:$AY$17</definedName>
    <definedName name="postgres_ledgers" localSheetId="4" hidden="1">socai!$BD$3:$BK$17</definedName>
    <definedName name="postgres_loaixd2" localSheetId="1" hidden="1">loaixd!$B$2:$L$53</definedName>
    <definedName name="postgres_nguon_nx" localSheetId="2" hidden="1">nguon_nx!$A$1:$C$37</definedName>
    <definedName name="postgres_nhiemvu" localSheetId="5" hidden="1">nhiem_vu!$I$11:$Q$52</definedName>
    <definedName name="postgres_petroleum_type" localSheetId="1" hidden="1">loaixd!$S$8:$V$21</definedName>
    <definedName name="postgres_team" localSheetId="5" hidden="1">nhiem_vu!$D$11:$F$16</definedName>
    <definedName name="postgres_tructhuoc" localSheetId="2" hidden="1">nguon_nx!$F$4:$I$18</definedName>
  </definedNames>
  <calcPr calcId="162913"/>
  <pivotCaches>
    <pivotCache cacheId="0" r:id="rId13"/>
    <pivotCache cacheId="1" r:id="rId14"/>
    <pivotCache cacheId="85" r:id="rId15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eam_tb" name="team_tb" connection="WorksheetConnection_data3.xlsm!team_tb"/>
          <x15:modelTable id="tb_nguon_nx" name="tb_nguon_nx" connection="WorksheetConnection_data3.xlsm!tb_nguon_nx"/>
          <x15:modelTable id="tb_loaixd2" name="tb_loaixd2" connection="WorksheetConnection_data3.xlsm!tb_loaixd2"/>
          <x15:modelTable id="nv_tb" name="nv_tb" connection="WorksheetConnection_data3.xlsm!nv_tb"/>
          <x15:modelTable id="ctnv_tb" name="ctnv_tb" connection="WorksheetConnection_data3.xlsm!ctnv_tb"/>
        </x15:modelTables>
        <x15:modelRelationships>
          <x15:modelRelationship fromTable="nv_tb" fromColumn="team_id" toTable="team_tb" toColumn="id"/>
          <x15:modelRelationship fromTable="ctnv_tb" fromColumn="nhiemvu_id" toTable="nv_tb" toColumn="id"/>
        </x15:modelRelationships>
      </x15:dataModel>
    </ext>
  </extLst>
</workbook>
</file>

<file path=xl/calcChain.xml><?xml version="1.0" encoding="utf-8"?>
<calcChain xmlns="http://schemas.openxmlformats.org/spreadsheetml/2006/main">
  <c r="C38" i="21" l="1"/>
  <c r="C39" i="21"/>
  <c r="C40" i="21"/>
  <c r="C41" i="21"/>
  <c r="C42" i="21"/>
  <c r="C43" i="21"/>
  <c r="C44" i="21"/>
  <c r="C28" i="21"/>
  <c r="C29" i="21"/>
  <c r="C30" i="21"/>
  <c r="C31" i="21"/>
  <c r="C32" i="21"/>
  <c r="C33" i="21"/>
  <c r="C34" i="21"/>
  <c r="C35" i="21"/>
  <c r="C36" i="21"/>
  <c r="C37" i="21"/>
  <c r="C27" i="21"/>
  <c r="H7" i="10" l="1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H8" i="10"/>
  <c r="I8" i="10"/>
  <c r="J8" i="10"/>
  <c r="K8" i="10"/>
  <c r="L8" i="10"/>
  <c r="M8" i="10"/>
  <c r="N8" i="10"/>
  <c r="O8" i="10"/>
  <c r="P8" i="10"/>
  <c r="Q8" i="10"/>
  <c r="R8" i="10"/>
  <c r="S8" i="10"/>
  <c r="T8" i="10"/>
  <c r="U8" i="10"/>
  <c r="V8" i="10"/>
  <c r="W8" i="10"/>
  <c r="X8" i="10"/>
  <c r="Y8" i="10"/>
  <c r="Z8" i="10"/>
  <c r="AA8" i="10"/>
  <c r="AB8" i="10"/>
  <c r="AC8" i="10"/>
  <c r="AD8" i="10"/>
  <c r="AE8" i="10"/>
  <c r="I6" i="10"/>
  <c r="J6" i="10"/>
  <c r="K6" i="10"/>
  <c r="L6" i="10"/>
  <c r="M6" i="10"/>
  <c r="N6" i="10"/>
  <c r="O6" i="10"/>
  <c r="P6" i="10"/>
  <c r="Q6" i="10"/>
  <c r="R6" i="10"/>
  <c r="S6" i="10"/>
  <c r="T6" i="10"/>
  <c r="U6" i="10"/>
  <c r="V6" i="10"/>
  <c r="W6" i="10"/>
  <c r="X6" i="10"/>
  <c r="Y6" i="10"/>
  <c r="Z6" i="10"/>
  <c r="AA6" i="10"/>
  <c r="AB6" i="10"/>
  <c r="AC6" i="10"/>
  <c r="AD6" i="10"/>
  <c r="AE6" i="10"/>
  <c r="H6" i="10" l="1"/>
  <c r="AI9" i="10" l="1"/>
  <c r="AH9" i="10"/>
  <c r="AI10" i="10"/>
  <c r="AJ10" i="10"/>
  <c r="AK10" i="10"/>
  <c r="AL10" i="10"/>
  <c r="AM10" i="10"/>
  <c r="AN10" i="10"/>
  <c r="AO10" i="10"/>
  <c r="AP10" i="10"/>
  <c r="AQ10" i="10"/>
  <c r="AR10" i="10"/>
  <c r="AS10" i="10"/>
  <c r="AT10" i="10"/>
  <c r="AU10" i="10"/>
  <c r="AV10" i="10"/>
  <c r="AW10" i="10"/>
  <c r="AX10" i="10"/>
  <c r="AY10" i="10"/>
  <c r="AZ10" i="10"/>
  <c r="BA10" i="10"/>
  <c r="BB10" i="10"/>
  <c r="AI11" i="10"/>
  <c r="AJ11" i="10"/>
  <c r="AK11" i="10"/>
  <c r="AL11" i="10"/>
  <c r="AM11" i="10"/>
  <c r="AN11" i="10"/>
  <c r="AO11" i="10"/>
  <c r="AP11" i="10"/>
  <c r="AQ11" i="10"/>
  <c r="AR11" i="10"/>
  <c r="AS11" i="10"/>
  <c r="AT11" i="10"/>
  <c r="AU11" i="10"/>
  <c r="AV11" i="10"/>
  <c r="AW11" i="10"/>
  <c r="AX11" i="10"/>
  <c r="AY11" i="10"/>
  <c r="AZ11" i="10"/>
  <c r="BA11" i="10"/>
  <c r="BB11" i="10"/>
  <c r="AW9" i="10"/>
  <c r="AX9" i="10"/>
  <c r="AY9" i="10"/>
  <c r="AZ9" i="10"/>
  <c r="BA9" i="10"/>
  <c r="BB9" i="10"/>
  <c r="AJ9" i="10"/>
  <c r="AK9" i="10"/>
  <c r="AL9" i="10"/>
  <c r="AM9" i="10"/>
  <c r="AN9" i="10"/>
  <c r="AO9" i="10"/>
  <c r="AP9" i="10"/>
  <c r="AQ9" i="10"/>
  <c r="AR9" i="10"/>
  <c r="AS9" i="10"/>
  <c r="AT9" i="10"/>
  <c r="AU9" i="10"/>
  <c r="AV9" i="10"/>
  <c r="BC10" i="10"/>
  <c r="BD10" i="10"/>
  <c r="BC11" i="10"/>
  <c r="BD11" i="10"/>
  <c r="BC9" i="10"/>
  <c r="BD9" i="10"/>
</calcChain>
</file>

<file path=xl/connections.xml><?xml version="1.0" encoding="utf-8"?>
<connections xmlns="http://schemas.openxmlformats.org/spreadsheetml/2006/main">
  <connection id="1" odcFile="C:\Users\tga\Documents\My Data Sources\postgres assignment_type.odc" name="postgres assignment_type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assignment_type&quot;"/>
  </connection>
  <connection id="2" odcFile="C:\Users\tga\Documents\My Data Sources\postgres category.odc" name="postgres category" type="1" refreshedVersion="6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category&quot;"/>
  </connection>
  <connection id="3" odcFile="C:\Users\tga\Documents\My Data Sources\postgres chitiet_nhiemvu.odc" name="postgres chitiet_nhiemvu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chitiet_nhiemvu&quot;"/>
  </connection>
  <connection id="4" odcFile="C:\Users\tga\Documents\My Data Sources\postgres hanmuc_nhiemvu.odc" name="postgres hanmuc_nhiemvu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hanmuc_nhiemvu&quot;"/>
  </connection>
  <connection id="5" odcFile="C:\Users\tga\Documents\My Data Sources\postgres inv_report_detail.odc" name="postgres inv_report_detail" type="1" refreshedVersion="6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inv_report_detail&quot;"/>
  </connection>
  <connection id="6" odcFile="C:\Users\tga\Documents\My Data Sources\postgres ledger_details.odc" name="postgres ledger_details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ledger_details&quot;"/>
  </connection>
  <connection id="7" odcFile="C:\Users\tga\Documents\My Data Sources\postgres ledgers.odc" name="postgres ledgers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ledgers&quot;"/>
  </connection>
  <connection id="8" odcFile="C:\Users\tga\Documents\My Data Sources\postgres loaixd2.odc" name="postgres loaixd2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loaixd2&quot;"/>
  </connection>
  <connection id="9" odcFile="C:\Users\tga\Documents\My Data Sources\postgres nguon_nx.odc" name="postgres nguon_nx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nguon_nx&quot;"/>
  </connection>
  <connection id="10" odcFile="C:\Users\tga\Documents\My Data Sources\postgres nhiemvu.odc" name="postgres nhiemvu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nhiemvu&quot;"/>
  </connection>
  <connection id="11" odcFile="C:\Users\tga\Documents\My Data Sources\postgres nhiemvu_reporter.odc" name="postgres nhiemvu_reporter" type="1" refreshedVersion="6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nhiemvu_reporter&quot;"/>
  </connection>
  <connection id="12" odcFile="C:\Users\tga\Documents\My Data Sources\postgres petroleum_type.odc" name="postgres petroleum_type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petroleum_type&quot;"/>
  </connection>
  <connection id="13" odcFile="C:\Users\tga\Documents\My Data Sources\postgres team.odc" name="postgres team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team&quot;"/>
  </connection>
  <connection id="14" odcFile="C:\Users\tga\Documents\My Data Sources\postgres tructhuoc.odc" name="postgres tructhuoc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tructhuoc&quot;"/>
  </connection>
  <connection id="15" keepAlive="1" name="Query - giobay_tonghop" description="Connection to the 'giobay_tonghop' query in the workbook." type="5" refreshedVersion="0" background="1">
    <dbPr connection="Provider=Microsoft.Mashup.OleDb.1;Data Source=$Workbook$;Location=giobay_tonghop" command="SELECT * FROM [giobay_tonghop]"/>
  </connection>
  <connection id="16" keepAlive="1" name="Query - hanmuc_nhiemvu" description="Connection to the 'hanmuc_nhiemvu' query in the workbook." type="5" refreshedVersion="6" background="1" saveData="1">
    <dbPr connection="Provider=Microsoft.Mashup.OleDb.1;Data Source=$Workbook$;Location=hanmuc_nhiemvu" command="SELECT * FROM [hanmuc_nhiemvu]"/>
  </connection>
  <connection id="17" keepAlive="1" name="Query - hanmuc_nhiemvu (3)" description="Connection to the 'hanmuc_nhiemvu (3)' query in the workbook." type="5" refreshedVersion="6" background="1" saveData="1">
    <dbPr connection="Provider=Microsoft.Mashup.OleDb.1;Data Source=$Workbook$;Location=hanmuc_nhiemvu (3);Extended Properties=&quot;&quot;" command="SELECT * FROM [hanmuc_nhiemvu (3)]"/>
  </connection>
  <connection id="18" keepAlive="1" name="Query - ledger_detail (2)" description="Connection to the 'ledger_detail (2)' query in the workbook." type="5" refreshedVersion="0" background="1">
    <dbPr connection="Provider=Microsoft.Mashup.OleDb.1;Data Source=$Workbook$;Location=&quot;ledger_detail (2)&quot;" command="SELECT * FROM [ledger_detail (2)]"/>
  </connection>
  <connection id="19" keepAlive="1" name="Query - ledger_detail (3)" description="Connection to the 'ledger_detail (3)' query in the workbook." type="5" refreshedVersion="6" background="1" saveData="1">
    <dbPr connection="Provider=Microsoft.Mashup.OleDb.1;Data Source=$Workbook$;Location=&quot;ledger_detail (3)&quot;" command="SELECT * FROM [ledger_detail (3)]"/>
  </connection>
  <connection id="20" keepAlive="1" name="Query - nv_tb" description="Connection to the 'nv_tb' query in the workbook." type="5" refreshedVersion="0" background="1">
    <dbPr connection="Provider=Microsoft.Mashup.OleDb.1;Data Source=$Workbook$;Location=nv_tb" command="SELECT * FROM [nv_tb]"/>
  </connection>
  <connection id="21" keepAlive="1" name="Query - tb_nguon_nx" description="Connection to the 'tb_nguon_nx' query in the workbook." type="5" refreshedVersion="0" background="1">
    <dbPr connection="Provider=Microsoft.Mashup.OleDb.1;Data Source=$Workbook$;Location=tb_nguon_nx" command="SELECT * FROM [tb_nguon_nx]"/>
  </connection>
  <connection id="22" keepAlive="1" name="Query - team_tb" description="Connection to the 'team_tb' query in the workbook." type="5" refreshedVersion="0" background="1">
    <dbPr connection="Provider=Microsoft.Mashup.OleDb.1;Data Source=$Workbook$;Location=team_tb" command="SELECT * FROM [team_tb]"/>
  </connection>
  <connection id="23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4" name="WorksheetConnection_data3.xlsm!ctnv_tb" type="102" refreshedVersion="6" minRefreshableVersion="5">
    <extLst>
      <ext xmlns:x15="http://schemas.microsoft.com/office/spreadsheetml/2010/11/main" uri="{DE250136-89BD-433C-8126-D09CA5730AF9}">
        <x15:connection id="ctnv_tb">
          <x15:rangePr sourceName="_xlcn.WorksheetConnection_data3.xlsmctnv_tb1"/>
        </x15:connection>
      </ext>
    </extLst>
  </connection>
  <connection id="25" name="WorksheetConnection_data3.xlsm!nv_tb" type="102" refreshedVersion="6" minRefreshableVersion="5">
    <extLst>
      <ext xmlns:x15="http://schemas.microsoft.com/office/spreadsheetml/2010/11/main" uri="{DE250136-89BD-433C-8126-D09CA5730AF9}">
        <x15:connection id="nv_tb">
          <x15:rangePr sourceName="_xlcn.WorksheetConnection_data3.xlsmnv_tb1"/>
        </x15:connection>
      </ext>
    </extLst>
  </connection>
  <connection id="26" name="WorksheetConnection_data3.xlsm!tb_loaixd2" type="102" refreshedVersion="6" minRefreshableVersion="5">
    <extLst>
      <ext xmlns:x15="http://schemas.microsoft.com/office/spreadsheetml/2010/11/main" uri="{DE250136-89BD-433C-8126-D09CA5730AF9}">
        <x15:connection id="tb_loaixd2">
          <x15:rangePr sourceName="_xlcn.WorksheetConnection_data3.xlsmtb_loaixd21"/>
        </x15:connection>
      </ext>
    </extLst>
  </connection>
  <connection id="27" name="WorksheetConnection_data3.xlsm!tb_nguon_nx" type="102" refreshedVersion="6" minRefreshableVersion="5">
    <extLst>
      <ext xmlns:x15="http://schemas.microsoft.com/office/spreadsheetml/2010/11/main" uri="{DE250136-89BD-433C-8126-D09CA5730AF9}">
        <x15:connection id="tb_nguon_nx">
          <x15:rangePr sourceName="_xlcn.WorksheetConnection_data3.xlsmtb_nguon_nx1"/>
        </x15:connection>
      </ext>
    </extLst>
  </connection>
  <connection id="28" name="WorksheetConnection_data3.xlsm!team_tb" type="102" refreshedVersion="6" minRefreshableVersion="5">
    <extLst>
      <ext xmlns:x15="http://schemas.microsoft.com/office/spreadsheetml/2010/11/main" uri="{DE250136-89BD-433C-8126-D09CA5730AF9}">
        <x15:connection id="team_tb">
          <x15:rangePr sourceName="_xlcn.WorksheetConnection_data3.xlsmteam_tb1"/>
        </x15:connection>
      </ext>
    </extLst>
  </connection>
</connections>
</file>

<file path=xl/sharedStrings.xml><?xml version="1.0" encoding="utf-8"?>
<sst xmlns="http://schemas.openxmlformats.org/spreadsheetml/2006/main" count="3102" uniqueCount="465">
  <si>
    <t>dvi</t>
  </si>
  <si>
    <t>ngay</t>
  </si>
  <si>
    <t>ma_xd</t>
  </si>
  <si>
    <t>ten_xd</t>
  </si>
  <si>
    <t>chung_loai</t>
  </si>
  <si>
    <t>loai_phieu</t>
  </si>
  <si>
    <t>so</t>
  </si>
  <si>
    <t>theo_lenh_so</t>
  </si>
  <si>
    <t>nhiem_vu</t>
  </si>
  <si>
    <t>nguoi_nhan_hang</t>
  </si>
  <si>
    <t>so_xe</t>
  </si>
  <si>
    <t>chat_luong</t>
  </si>
  <si>
    <t>phai_xuat</t>
  </si>
  <si>
    <t>nhiet_do_tt</t>
  </si>
  <si>
    <t>ty_trong</t>
  </si>
  <si>
    <t>he_so_vcf</t>
  </si>
  <si>
    <t>thuc_xuat</t>
  </si>
  <si>
    <t>don_gia</t>
  </si>
  <si>
    <t>thanh_tien</t>
  </si>
  <si>
    <t>so_km</t>
  </si>
  <si>
    <t>so_gio</t>
  </si>
  <si>
    <t>dvvc</t>
  </si>
  <si>
    <t>id</t>
  </si>
  <si>
    <t>loaixd_id</t>
  </si>
  <si>
    <t>nguonnx_id</t>
  </si>
  <si>
    <t>cmt</t>
  </si>
  <si>
    <t>nguonnx_dvvc_id</t>
  </si>
  <si>
    <t>sscd</t>
  </si>
  <si>
    <t>denngay</t>
  </si>
  <si>
    <t>quarter_id</t>
  </si>
  <si>
    <t>timestamp</t>
  </si>
  <si>
    <t>tcn_id</t>
  </si>
  <si>
    <t>nhiemvu_id</t>
  </si>
  <si>
    <t>nvu_tcn_id</t>
  </si>
  <si>
    <t>nvu_tructhuoc</t>
  </si>
  <si>
    <t>phuongtien_id</t>
  </si>
  <si>
    <t>phuongtien_nvu_id</t>
  </si>
  <si>
    <t>so_phut</t>
  </si>
  <si>
    <t>tonkhotong_id</t>
  </si>
  <si>
    <t>tonkho_id</t>
  </si>
  <si>
    <t>f Bộ</t>
  </si>
  <si>
    <t>XANG E5 RON92</t>
  </si>
  <si>
    <t>0</t>
  </si>
  <si>
    <t>Kho 190</t>
  </si>
  <si>
    <t>Xăng A80</t>
  </si>
  <si>
    <t>Kho 671</t>
  </si>
  <si>
    <t>Lukoi 15W-40</t>
  </si>
  <si>
    <t>Dầu MC-20</t>
  </si>
  <si>
    <t/>
  </si>
  <si>
    <t>Kho K99</t>
  </si>
  <si>
    <t>maxd</t>
  </si>
  <si>
    <t>tenxd</t>
  </si>
  <si>
    <t>chungloai</t>
  </si>
  <si>
    <t>status</t>
  </si>
  <si>
    <t>ut</t>
  </si>
  <si>
    <t>type</t>
  </si>
  <si>
    <t>Dầu MC-8P</t>
  </si>
  <si>
    <t>DMN-HK-DDC</t>
  </si>
  <si>
    <t>ACTIVE</t>
  </si>
  <si>
    <t>DMN-HK</t>
  </si>
  <si>
    <t>Dầu B-3V</t>
  </si>
  <si>
    <t>Dầu IPM-10</t>
  </si>
  <si>
    <t>Hypôit (TC Gip)</t>
  </si>
  <si>
    <t>Dầu AMG-10</t>
  </si>
  <si>
    <t>DMN-HK-DTL</t>
  </si>
  <si>
    <t>Turbonicoil210A(IPM-10)</t>
  </si>
  <si>
    <t>DMN-HK-DK</t>
  </si>
  <si>
    <t>Aeroshell Fluid41(AMG-10)</t>
  </si>
  <si>
    <t>Turbonicoil 321(MC8P)</t>
  </si>
  <si>
    <t>Turbonicoil 35M (B3V)</t>
  </si>
  <si>
    <t>Dầu 132-25</t>
  </si>
  <si>
    <t>Grease28 (Mỡ 221)</t>
  </si>
  <si>
    <t>Grease33 (OKB)</t>
  </si>
  <si>
    <t>Grease22</t>
  </si>
  <si>
    <t>OKB122-7-5</t>
  </si>
  <si>
    <t>Mỡ 201</t>
  </si>
  <si>
    <t>DMN-HK-MN</t>
  </si>
  <si>
    <t>Mỡ 221</t>
  </si>
  <si>
    <t>Mỡ HK-50</t>
  </si>
  <si>
    <t>Mỡ số 9</t>
  </si>
  <si>
    <t>Xăng CN</t>
  </si>
  <si>
    <t>DMN-HK-DM</t>
  </si>
  <si>
    <t>E5-RON92</t>
  </si>
  <si>
    <t>NL-XANG-OTO</t>
  </si>
  <si>
    <t>NL</t>
  </si>
  <si>
    <t>A80</t>
  </si>
  <si>
    <t>DO 0,05% S</t>
  </si>
  <si>
    <t>JETA-01</t>
  </si>
  <si>
    <t>Dầu JETA-01</t>
  </si>
  <si>
    <t>DAUBAY</t>
  </si>
  <si>
    <t>TC-01</t>
  </si>
  <si>
    <t>Dầu TC-1</t>
  </si>
  <si>
    <t>JETA-1K</t>
  </si>
  <si>
    <t>Dầu JETA-1K</t>
  </si>
  <si>
    <t>TC-1</t>
  </si>
  <si>
    <t>DầU TC-1</t>
  </si>
  <si>
    <t>DAUHACAP</t>
  </si>
  <si>
    <t>JetA-1K</t>
  </si>
  <si>
    <t>DầU JetA-1K</t>
  </si>
  <si>
    <t>MILPCO1-SAE40</t>
  </si>
  <si>
    <t>DMN-MD-DCOTO</t>
  </si>
  <si>
    <t>DMN-MD</t>
  </si>
  <si>
    <t>MILPCO1-S-SAE40</t>
  </si>
  <si>
    <t>MT-16P</t>
  </si>
  <si>
    <t>CastrolCRB200W-50</t>
  </si>
  <si>
    <t>HelixHX-3</t>
  </si>
  <si>
    <t>Rimula R4X</t>
  </si>
  <si>
    <t>Niwanano ios32-HG32</t>
  </si>
  <si>
    <t>QUATVNM 20W50</t>
  </si>
  <si>
    <t>QUAT9000-0W20</t>
  </si>
  <si>
    <t>Galube90eps</t>
  </si>
  <si>
    <t>DMN-MD-DTD</t>
  </si>
  <si>
    <t>MILPC02-SAE90</t>
  </si>
  <si>
    <t>MILPC03-SAE90</t>
  </si>
  <si>
    <t>GearGL4 W90</t>
  </si>
  <si>
    <t>Morrisong 140ef90</t>
  </si>
  <si>
    <t>Phanh BCK</t>
  </si>
  <si>
    <t>DMN-MD-DK</t>
  </si>
  <si>
    <t>MIL PC06</t>
  </si>
  <si>
    <t>Mỡ 1-13</t>
  </si>
  <si>
    <t>DMN-MD-MGMS</t>
  </si>
  <si>
    <t>Mỡ SOLE DON</t>
  </si>
  <si>
    <t>Caxilium No2</t>
  </si>
  <si>
    <t>Mỡ Gzeose GL2</t>
  </si>
  <si>
    <t>Mỡ Gzeose GL3</t>
  </si>
  <si>
    <t>Opalgrease No3</t>
  </si>
  <si>
    <t>name</t>
  </si>
  <si>
    <t>Tiêu thụ cho xe, máy</t>
  </si>
  <si>
    <t>tt_xm</t>
  </si>
  <si>
    <t>XUAT</t>
  </si>
  <si>
    <t>Khác</t>
  </si>
  <si>
    <t>Trong QC</t>
  </si>
  <si>
    <t>DV_Khac</t>
  </si>
  <si>
    <t>Ngoài QC</t>
  </si>
  <si>
    <t>Tổn thất</t>
  </si>
  <si>
    <t>Quân chủng</t>
  </si>
  <si>
    <t>Phân cấp</t>
  </si>
  <si>
    <t>Cục xăng dầu</t>
  </si>
  <si>
    <t>QK2</t>
  </si>
  <si>
    <t>Hao hụt</t>
  </si>
  <si>
    <t>Bảo quản</t>
  </si>
  <si>
    <t>ten</t>
  </si>
  <si>
    <t>createtime</t>
  </si>
  <si>
    <t>2024-08-29</t>
  </si>
  <si>
    <t>Kho 661</t>
  </si>
  <si>
    <t>09-09-2024</t>
  </si>
  <si>
    <t>Kho K14 cap</t>
  </si>
  <si>
    <t>f370</t>
  </si>
  <si>
    <t>f372</t>
  </si>
  <si>
    <t>Trường SQKQ</t>
  </si>
  <si>
    <t>Bộ tham mưu</t>
  </si>
  <si>
    <t>Lữ đoàn 918</t>
  </si>
  <si>
    <t>Công ty XDQD</t>
  </si>
  <si>
    <t>Cty XD PVOil HP</t>
  </si>
  <si>
    <t>Viettel S125VT</t>
  </si>
  <si>
    <t>Đổi hàng DT</t>
  </si>
  <si>
    <t>Cty XD Minh Đức</t>
  </si>
  <si>
    <t>Mua công tác lẻ</t>
  </si>
  <si>
    <t>Cty XD Lưu Nga</t>
  </si>
  <si>
    <t>Hạch toán(NM)</t>
  </si>
  <si>
    <t>QPQT-22</t>
  </si>
  <si>
    <t>Nhà máy A32</t>
  </si>
  <si>
    <t>e921</t>
  </si>
  <si>
    <t>e916</t>
  </si>
  <si>
    <t>e923</t>
  </si>
  <si>
    <t>e927</t>
  </si>
  <si>
    <t>d Kiến An</t>
  </si>
  <si>
    <t>d Vinh</t>
  </si>
  <si>
    <t>d Nà Sản</t>
  </si>
  <si>
    <t>d Nội Bài</t>
  </si>
  <si>
    <t>Hạ cấp</t>
  </si>
  <si>
    <t>Viettel</t>
  </si>
  <si>
    <t>Dự trữ Quốc Gia</t>
  </si>
  <si>
    <t>Column Labels</t>
  </si>
  <si>
    <t>BQ</t>
  </si>
  <si>
    <t>CXD</t>
  </si>
  <si>
    <t>DT cho NV đột xuất</t>
  </si>
  <si>
    <t>DT SSCD</t>
  </si>
  <si>
    <t>Mua P/cấp</t>
  </si>
  <si>
    <t>QC</t>
  </si>
  <si>
    <t>TT Xe máy</t>
  </si>
  <si>
    <t>Dầu khác</t>
  </si>
  <si>
    <t>Dầu đ.cơ ô tô</t>
  </si>
  <si>
    <t>Mỡ giảm ma sát</t>
  </si>
  <si>
    <t>Dầu thủy lực</t>
  </si>
  <si>
    <t>Dầu động cơ</t>
  </si>
  <si>
    <t>Dầu truyền động</t>
  </si>
  <si>
    <t>Mỡ nhờn</t>
  </si>
  <si>
    <t>Dung môi</t>
  </si>
  <si>
    <t>DMN nhờn HK</t>
  </si>
  <si>
    <t>DMN nhờn MĐ</t>
  </si>
  <si>
    <t>Nhiên liệu</t>
  </si>
  <si>
    <t>Nhập khác</t>
  </si>
  <si>
    <t>Xuất khác</t>
  </si>
  <si>
    <t>Nhập</t>
  </si>
  <si>
    <t>Tồn cuối kỳ</t>
  </si>
  <si>
    <t>Tồn đầu kỳ</t>
  </si>
  <si>
    <t>Xuất</t>
  </si>
  <si>
    <t>Tồn đầu kỳ Sum</t>
  </si>
  <si>
    <t>Nhập Sum</t>
  </si>
  <si>
    <t>Xuất Sum</t>
  </si>
  <si>
    <t>Tồn cuối kỳ Sum</t>
  </si>
  <si>
    <t>Tên Xăng Dầu</t>
  </si>
  <si>
    <t>TT</t>
  </si>
  <si>
    <t>I</t>
  </si>
  <si>
    <t>Xăng ô tô</t>
  </si>
  <si>
    <t>Diezel</t>
  </si>
  <si>
    <t>Dầu hạ cấp</t>
  </si>
  <si>
    <t>Dầu bay</t>
  </si>
  <si>
    <t>DM nhờn2</t>
  </si>
  <si>
    <t>II</t>
  </si>
  <si>
    <t>a</t>
  </si>
  <si>
    <t>b</t>
  </si>
  <si>
    <t>f nội bộ</t>
  </si>
  <si>
    <t>F nội bộ</t>
  </si>
  <si>
    <t>team_code</t>
  </si>
  <si>
    <t>KHỐI KỸ THUẬT</t>
  </si>
  <si>
    <t>KHOI_KY_THUAT</t>
  </si>
  <si>
    <t>KHỐI CHÍNH TRỊ</t>
  </si>
  <si>
    <t>KHOI_CHINH_TRI</t>
  </si>
  <si>
    <t>KHỐI THAM MƯU</t>
  </si>
  <si>
    <t>KHOI_THAM_MUU</t>
  </si>
  <si>
    <t>KHỐI HẬU CẦN</t>
  </si>
  <si>
    <t>KHOI_HAU_CAN</t>
  </si>
  <si>
    <t>HAO HỤT</t>
  </si>
  <si>
    <t>HAO_HUT</t>
  </si>
  <si>
    <t>ten_nv</t>
  </si>
  <si>
    <t>chitiet</t>
  </si>
  <si>
    <t>hm_trenkhong</t>
  </si>
  <si>
    <t>hm_matdat</t>
  </si>
  <si>
    <t>team_id</t>
  </si>
  <si>
    <t>assignment_type_id</t>
  </si>
  <si>
    <t>Ô tô trạm nguồn</t>
  </si>
  <si>
    <t>Vũ khí đạn, VKHK</t>
  </si>
  <si>
    <t>Kỹ thuật thông tin</t>
  </si>
  <si>
    <t>Kỹ thuật công binh</t>
  </si>
  <si>
    <t>Tăng thiết giáp</t>
  </si>
  <si>
    <t>Đo lường</t>
  </si>
  <si>
    <t>KT Ra đa, tên lửa</t>
  </si>
  <si>
    <t>KT hàng không</t>
  </si>
  <si>
    <t>Kỹ thuạt khác</t>
  </si>
  <si>
    <t>Tác chiến, A2..</t>
  </si>
  <si>
    <t>Tác chiến cho bay</t>
  </si>
  <si>
    <t>Cứu hộ cứu nạn</t>
  </si>
  <si>
    <t>Khai thác thông tin</t>
  </si>
  <si>
    <t>Cơ yếu</t>
  </si>
  <si>
    <t>Huấn luyện chiến đấu</t>
  </si>
  <si>
    <t>HL bay</t>
  </si>
  <si>
    <t>Tác chiến điện tử</t>
  </si>
  <si>
    <t>Công nghệ thông tin</t>
  </si>
  <si>
    <t>HL nhà trường</t>
  </si>
  <si>
    <t>Công tác Quân báo</t>
  </si>
  <si>
    <t>Quân ra, vào, phép</t>
  </si>
  <si>
    <t>Đào tạo thợ</t>
  </si>
  <si>
    <t>Đ. viên thời chiến</t>
  </si>
  <si>
    <t>N.vụ khác (T tra bay)</t>
  </si>
  <si>
    <t>Công tác Đảng, CTCT</t>
  </si>
  <si>
    <t>Kiểm tra đảng</t>
  </si>
  <si>
    <t>Công tác chính sách</t>
  </si>
  <si>
    <t>Ăn dưỡng</t>
  </si>
  <si>
    <t>Nghiệp vụ cán bộ</t>
  </si>
  <si>
    <t>Hậu cần đời sống</t>
  </si>
  <si>
    <t>Công tác xăng dầu</t>
  </si>
  <si>
    <t>VC Xăng dầu</t>
  </si>
  <si>
    <t>Công tác vật tư</t>
  </si>
  <si>
    <t>Đảo hạt HC</t>
  </si>
  <si>
    <t>Hậu cần khác</t>
  </si>
  <si>
    <t>Tác chiến</t>
  </si>
  <si>
    <t>Bay nhiệm vụ</t>
  </si>
  <si>
    <t>Huấn luyện CĐ</t>
  </si>
  <si>
    <t>Bay đề cao</t>
  </si>
  <si>
    <t>Huấn luyện NT</t>
  </si>
  <si>
    <t>Nổ máy KTHK</t>
  </si>
  <si>
    <t>Bù hao hụt</t>
  </si>
  <si>
    <t>HH DTCĐ</t>
  </si>
  <si>
    <t>C.gia bay</t>
  </si>
  <si>
    <t>nhiemvu</t>
  </si>
  <si>
    <t>HH T.Xuyên</t>
  </si>
  <si>
    <t>VN bay</t>
  </si>
  <si>
    <t>Tác chiến còn lại</t>
  </si>
  <si>
    <t>Nổ máy sscđ</t>
  </si>
  <si>
    <t>HL NV còn lại</t>
  </si>
  <si>
    <t>HL NV PO 6</t>
  </si>
  <si>
    <t>CT Đảng, CTCT</t>
  </si>
  <si>
    <t>Chiếu phim</t>
  </si>
  <si>
    <t>KT Hàng không</t>
  </si>
  <si>
    <t>Cắt cỏ sân bay</t>
  </si>
  <si>
    <t>Trực thăng</t>
  </si>
  <si>
    <t>M.Đất</t>
  </si>
  <si>
    <t>MĐ</t>
  </si>
  <si>
    <t>T.không</t>
  </si>
  <si>
    <t>TK</t>
  </si>
  <si>
    <t>Calculated Field</t>
  </si>
  <si>
    <t>Solve Order</t>
  </si>
  <si>
    <t>Field</t>
  </si>
  <si>
    <t>Formula</t>
  </si>
  <si>
    <t>Calculated Item</t>
  </si>
  <si>
    <t>Item</t>
  </si>
  <si>
    <t>Note:</t>
  </si>
  <si>
    <t>When a cell is updated by more than one formula,</t>
  </si>
  <si>
    <t>the value is set by the formula with the last solve order.</t>
  </si>
  <si>
    <t>To change the solve order for multiple calculated items or fields,</t>
  </si>
  <si>
    <t>on the Options tab, in the Calculations group, click Fields, Items, &amp; Sets, and then click Solve Order.</t>
  </si>
  <si>
    <t>Cộng</t>
  </si>
  <si>
    <t>ledger_id</t>
  </si>
  <si>
    <t>import_unit_id</t>
  </si>
  <si>
    <t>export_unit_id</t>
  </si>
  <si>
    <t>loaigiobay</t>
  </si>
  <si>
    <t>09-11-2024</t>
  </si>
  <si>
    <t>07-11-2024</t>
  </si>
  <si>
    <t>08-11-2024</t>
  </si>
  <si>
    <t>Tác chiến - Bay nhiệm vụ</t>
  </si>
  <si>
    <t>13-11-2024</t>
  </si>
  <si>
    <t>15-11-2024</t>
  </si>
  <si>
    <t>MD</t>
  </si>
  <si>
    <t>Đơn vị, NV Bay</t>
  </si>
  <si>
    <t>Chỉ tiêu giờ bay, HM dầu bay</t>
  </si>
  <si>
    <t>Giờ bay</t>
  </si>
  <si>
    <t>Giờ hoạt động của đ/cơ</t>
  </si>
  <si>
    <t>T.Không</t>
  </si>
  <si>
    <t>Nhiên liệu tiêu thụ</t>
  </si>
  <si>
    <t>H.hụt</t>
  </si>
  <si>
    <t>Tổng cộng</t>
  </si>
  <si>
    <t>So sánh với KH giờ bay và HM</t>
  </si>
  <si>
    <t>N.liệu</t>
  </si>
  <si>
    <t>Còn</t>
  </si>
  <si>
    <t>Quá</t>
  </si>
  <si>
    <t>T.tế T.thụ</t>
  </si>
  <si>
    <t>Theo ĐM</t>
  </si>
  <si>
    <t>So sánh</t>
  </si>
  <si>
    <t>Rút</t>
  </si>
  <si>
    <t>T.lệ MĐ/TK</t>
  </si>
  <si>
    <t>QC PHÒNG KHÔNG - KHÔNG QUÂN 
SƯ ĐOÀN 371</t>
  </si>
  <si>
    <t>BÁO CÁO THANH TOÁN NHIÊN LIỆU BAY THEO KẾ HOẠCH
(Từ ngày 01/01 đến 31/12/2023)</t>
  </si>
  <si>
    <t>Số 1-06/XD-14</t>
  </si>
  <si>
    <t>A</t>
  </si>
  <si>
    <t>Cho Máy bay</t>
  </si>
  <si>
    <t>Su 30MK-2</t>
  </si>
  <si>
    <t>200:20</t>
  </si>
  <si>
    <t>400:40</t>
  </si>
  <si>
    <t>Su 22M3+4</t>
  </si>
  <si>
    <t>B</t>
  </si>
  <si>
    <t>Cộng nhiệm vụ</t>
  </si>
  <si>
    <t>Bù Hao hụt</t>
  </si>
  <si>
    <t>HH T.xuyên</t>
  </si>
  <si>
    <t>C</t>
  </si>
  <si>
    <t>Các đơn vị</t>
  </si>
  <si>
    <t>III</t>
  </si>
  <si>
    <t>-</t>
  </si>
  <si>
    <t>r_type</t>
  </si>
  <si>
    <t>ut2</t>
  </si>
  <si>
    <t>petroleum_type_id</t>
  </si>
  <si>
    <t>DMN</t>
  </si>
  <si>
    <t>XANG-OTO</t>
  </si>
  <si>
    <t>DIEZEL</t>
  </si>
  <si>
    <t>Đơn vị A38</t>
  </si>
  <si>
    <t>Nội bộ f</t>
  </si>
  <si>
    <t>DT cho NVDX</t>
  </si>
  <si>
    <t>SSCD</t>
  </si>
  <si>
    <t>NVDX</t>
  </si>
  <si>
    <t>unit_id</t>
  </si>
  <si>
    <t>ct_tk</t>
  </si>
  <si>
    <t>ct_md</t>
  </si>
  <si>
    <t>sum_ct</t>
  </si>
  <si>
    <t>consumpt</t>
  </si>
  <si>
    <t>bill_id</t>
  </si>
  <si>
    <t>amount</t>
  </si>
  <si>
    <t>from_date</t>
  </si>
  <si>
    <t>end_date</t>
  </si>
  <si>
    <t>bill_type_id</t>
  </si>
  <si>
    <t>So_cai</t>
  </si>
  <si>
    <t>Chi_tiet_so_cai</t>
  </si>
  <si>
    <t>05-11-2024</t>
  </si>
  <si>
    <t>16-11-2024</t>
  </si>
  <si>
    <t>Xuất hạn mức</t>
  </si>
  <si>
    <t>Bay đề cao - Bay đề cao</t>
  </si>
  <si>
    <t>dur</t>
  </si>
  <si>
    <t>1234</t>
  </si>
  <si>
    <t>Xuất báo nợ</t>
  </si>
  <si>
    <t>Bay đề cao - C.gia bay</t>
  </si>
  <si>
    <t>12-11-2024</t>
  </si>
  <si>
    <t>11-11-2024</t>
  </si>
  <si>
    <t>Bay đề cao - VN bay</t>
  </si>
  <si>
    <t>NewColumn.nhiemvu</t>
  </si>
  <si>
    <t>06-11-2024</t>
  </si>
  <si>
    <t>NewColumn.ten</t>
  </si>
  <si>
    <t>NewColumn.nhiemvu_id</t>
  </si>
  <si>
    <t>NewColumn.ten_nv</t>
  </si>
  <si>
    <t>NewColumn.team_id</t>
  </si>
  <si>
    <t>NewColumn.name</t>
  </si>
  <si>
    <t>NewColumn.team_code</t>
  </si>
  <si>
    <t>ct_tk - Copy</t>
  </si>
  <si>
    <t>dur_text</t>
  </si>
  <si>
    <t>3242</t>
  </si>
  <si>
    <t>21-11-2024</t>
  </si>
  <si>
    <t>Custom</t>
  </si>
  <si>
    <t>thuc_xuat_tk</t>
  </si>
  <si>
    <t>dur_text_tk</t>
  </si>
  <si>
    <t>0.00:00:00</t>
  </si>
  <si>
    <t>02:11:00</t>
  </si>
  <si>
    <t>0.02:11:00</t>
  </si>
  <si>
    <t>02:03:00</t>
  </si>
  <si>
    <t>0.2:03:00</t>
  </si>
  <si>
    <t>03:23:00</t>
  </si>
  <si>
    <t>0.03:23:00</t>
  </si>
  <si>
    <t>nhiemvu_hanmuc_id</t>
  </si>
  <si>
    <t>01-11-2024</t>
  </si>
  <si>
    <t>19-11-2024</t>
  </si>
  <si>
    <t>so_luong</t>
  </si>
  <si>
    <t>2938</t>
  </si>
  <si>
    <t>2939</t>
  </si>
  <si>
    <t>2993</t>
  </si>
  <si>
    <t>2002</t>
  </si>
  <si>
    <t>1</t>
  </si>
  <si>
    <t>02:21:00</t>
  </si>
  <si>
    <t>0.02:21:00</t>
  </si>
  <si>
    <t>1290</t>
  </si>
  <si>
    <t>22:23:00</t>
  </si>
  <si>
    <t>0.22:23:00</t>
  </si>
  <si>
    <t>1255</t>
  </si>
  <si>
    <t>22:22:00</t>
  </si>
  <si>
    <t>0.22:22:00</t>
  </si>
  <si>
    <t>3423</t>
  </si>
  <si>
    <t>11:22:00</t>
  </si>
  <si>
    <t>0.11:22:00</t>
  </si>
  <si>
    <t>5232</t>
  </si>
  <si>
    <t>7744</t>
  </si>
  <si>
    <t>18-11-2024</t>
  </si>
  <si>
    <t>02:12:00</t>
  </si>
  <si>
    <t>0.02:12:00</t>
  </si>
  <si>
    <t>1243</t>
  </si>
  <si>
    <t>21:02:00</t>
  </si>
  <si>
    <t>0.21:02:00</t>
  </si>
  <si>
    <t>5322</t>
  </si>
  <si>
    <t>23:33:00</t>
  </si>
  <si>
    <t>0.23:33:00</t>
  </si>
  <si>
    <t>12:22:00</t>
  </si>
  <si>
    <t>0.12:22:00</t>
  </si>
  <si>
    <t>9839</t>
  </si>
  <si>
    <t>21</t>
  </si>
  <si>
    <t>2989</t>
  </si>
  <si>
    <t>12:11:00</t>
  </si>
  <si>
    <t>0.12:11:00</t>
  </si>
  <si>
    <t>NewColumn.NewColumn.ten</t>
  </si>
  <si>
    <t>NewColumn.NewColumn.ten_nv</t>
  </si>
  <si>
    <t>NewColumn.NewColumn.nhiemvu</t>
  </si>
  <si>
    <t>NewColumn.ct_tk</t>
  </si>
  <si>
    <t>NewColumn.ct_md</t>
  </si>
  <si>
    <t>NewColumn.consumpt</t>
  </si>
  <si>
    <t>hd_sum_md</t>
  </si>
  <si>
    <t>hd_sum_tk</t>
  </si>
  <si>
    <t>giohd_md</t>
  </si>
  <si>
    <t>giohd_tk</t>
  </si>
  <si>
    <t>tong_hanmuc</t>
  </si>
  <si>
    <t>tong_nl_tieuthu</t>
  </si>
  <si>
    <t>tong_giobay</t>
  </si>
  <si>
    <t>Grand Total</t>
  </si>
  <si>
    <t>nl_matdat</t>
  </si>
  <si>
    <t>nl_trenkhong</t>
  </si>
  <si>
    <t>gio_hd_md</t>
  </si>
  <si>
    <t>gio_hd_trenkhong</t>
  </si>
  <si>
    <t>Column1</t>
  </si>
  <si>
    <t>Column2</t>
  </si>
  <si>
    <t>Column3</t>
  </si>
  <si>
    <t>Column4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</si>
</sst>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mm/dd/yy;@"/>
    <numFmt numFmtId="165" formatCode="[h]:mm"/>
    <numFmt numFmtId="166" formatCode="d\.hh:mm:ss"/>
  </numFmts>
  <fonts count="6" x14ac:knownFonts="1">
    <font>
      <sz val="11"/>
      <color theme="1"/>
      <name val="Times New Roman"/>
      <family val="2"/>
    </font>
    <font>
      <b/>
      <sz val="11"/>
      <color theme="1"/>
      <name val="Times New Roman"/>
      <family val="2"/>
    </font>
    <font>
      <b/>
      <sz val="12"/>
      <color theme="1"/>
      <name val="Times New Roman"/>
      <family val="1"/>
    </font>
    <font>
      <b/>
      <sz val="11"/>
      <color theme="1"/>
      <name val="Times New Roman"/>
      <family val="1"/>
    </font>
    <font>
      <sz val="12"/>
      <color theme="1"/>
      <name val="Times New Roman"/>
      <family val="2"/>
    </font>
    <font>
      <b/>
      <i/>
      <sz val="11"/>
      <color theme="1"/>
      <name val="Times New Roman"/>
      <family val="2"/>
    </font>
  </fonts>
  <fills count="2">
    <fill>
      <patternFill patternType="none"/>
    </fill>
    <fill>
      <patternFill patternType="gray125"/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indexed="8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9">
    <xf numFmtId="0" fontId="0" fillId="0" borderId="0" xfId="0"/>
    <xf numFmtId="22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wrapText="1"/>
    </xf>
    <xf numFmtId="0" fontId="0" fillId="0" borderId="0" xfId="0" applyAlignment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vertical="center"/>
    </xf>
    <xf numFmtId="164" fontId="0" fillId="0" borderId="0" xfId="0" applyNumberFormat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3" fillId="0" borderId="0" xfId="0" applyNumberFormat="1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2" xfId="0" applyBorder="1" applyAlignment="1">
      <alignment horizontal="center" wrapText="1"/>
    </xf>
    <xf numFmtId="0" fontId="0" fillId="0" borderId="0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0" fontId="1" fillId="0" borderId="0" xfId="0" applyNumberFormat="1" applyFont="1" applyBorder="1" applyAlignment="1">
      <alignment horizontal="center" vertical="center"/>
    </xf>
    <xf numFmtId="0" fontId="1" fillId="0" borderId="4" xfId="0" applyNumberFormat="1" applyFont="1" applyBorder="1" applyAlignment="1">
      <alignment horizontal="center" vertical="center"/>
    </xf>
    <xf numFmtId="0" fontId="0" fillId="0" borderId="8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left"/>
    </xf>
    <xf numFmtId="0" fontId="0" fillId="0" borderId="6" xfId="0" applyBorder="1" applyAlignment="1">
      <alignment horizontal="left" indent="1"/>
    </xf>
    <xf numFmtId="0" fontId="1" fillId="0" borderId="6" xfId="0" applyFont="1" applyBorder="1" applyAlignment="1">
      <alignment horizontal="left" indent="1"/>
    </xf>
    <xf numFmtId="0" fontId="1" fillId="0" borderId="6" xfId="0" applyFont="1" applyBorder="1" applyAlignment="1">
      <alignment horizontal="left" indent="2"/>
    </xf>
    <xf numFmtId="0" fontId="0" fillId="0" borderId="3" xfId="0" applyBorder="1" applyAlignment="1">
      <alignment horizontal="left" indent="3"/>
    </xf>
    <xf numFmtId="0" fontId="0" fillId="0" borderId="5" xfId="0" applyBorder="1" applyAlignment="1">
      <alignment horizontal="left" indent="3"/>
    </xf>
    <xf numFmtId="0" fontId="0" fillId="0" borderId="6" xfId="0" applyBorder="1" applyAlignment="1">
      <alignment horizontal="left" indent="3"/>
    </xf>
    <xf numFmtId="0" fontId="0" fillId="0" borderId="4" xfId="0" applyBorder="1" applyAlignment="1">
      <alignment horizontal="left" indent="3"/>
    </xf>
    <xf numFmtId="0" fontId="0" fillId="0" borderId="4" xfId="0" pivotButton="1" applyBorder="1" applyAlignment="1">
      <alignment horizontal="center"/>
    </xf>
    <xf numFmtId="164" fontId="3" fillId="0" borderId="0" xfId="0" applyNumberFormat="1" applyFont="1" applyAlignment="1">
      <alignment vertical="center" wrapText="1"/>
    </xf>
    <xf numFmtId="0" fontId="1" fillId="0" borderId="7" xfId="0" applyNumberFormat="1" applyFont="1" applyBorder="1" applyAlignment="1">
      <alignment horizontal="center" vertical="center"/>
    </xf>
    <xf numFmtId="0" fontId="1" fillId="0" borderId="3" xfId="0" applyNumberFormat="1" applyFont="1" applyBorder="1" applyAlignment="1">
      <alignment horizontal="center" vertical="center"/>
    </xf>
    <xf numFmtId="0" fontId="4" fillId="0" borderId="0" xfId="0" applyNumberFormat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vertical="center" wrapText="1"/>
    </xf>
    <xf numFmtId="0" fontId="5" fillId="0" borderId="0" xfId="0" applyFont="1"/>
    <xf numFmtId="0" fontId="1" fillId="0" borderId="9" xfId="0" applyFont="1" applyBorder="1"/>
    <xf numFmtId="165" fontId="0" fillId="0" borderId="0" xfId="0" applyNumberFormat="1"/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13" xfId="0" applyFont="1" applyBorder="1" applyAlignment="1">
      <alignment horizontal="center" vertical="center"/>
    </xf>
    <xf numFmtId="0" fontId="3" fillId="0" borderId="1" xfId="0" applyFont="1" applyBorder="1"/>
    <xf numFmtId="0" fontId="3" fillId="0" borderId="14" xfId="0" applyFont="1" applyBorder="1"/>
    <xf numFmtId="0" fontId="0" fillId="0" borderId="13" xfId="0" applyBorder="1" applyAlignment="1">
      <alignment horizontal="center" vertical="center"/>
    </xf>
    <xf numFmtId="0" fontId="0" fillId="0" borderId="1" xfId="0" applyBorder="1"/>
    <xf numFmtId="0" fontId="0" fillId="0" borderId="14" xfId="0" applyBorder="1"/>
    <xf numFmtId="0" fontId="3" fillId="0" borderId="1" xfId="0" applyNumberFormat="1" applyFont="1" applyBorder="1"/>
    <xf numFmtId="0" fontId="3" fillId="0" borderId="1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/>
    <xf numFmtId="0" fontId="0" fillId="0" borderId="17" xfId="0" applyBorder="1"/>
    <xf numFmtId="0" fontId="0" fillId="0" borderId="13" xfId="0" quotePrefix="1" applyBorder="1" applyAlignment="1">
      <alignment horizontal="center" vertical="center"/>
    </xf>
    <xf numFmtId="0" fontId="3" fillId="0" borderId="1" xfId="0" applyNumberFormat="1" applyFont="1" applyBorder="1" applyAlignment="1">
      <alignment horizontal="center" vertical="center"/>
    </xf>
    <xf numFmtId="165" fontId="0" fillId="0" borderId="1" xfId="0" applyNumberFormat="1" applyBorder="1" applyAlignment="1">
      <alignment horizontal="left" vertical="center"/>
    </xf>
    <xf numFmtId="165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 wrapText="1"/>
    </xf>
    <xf numFmtId="165" fontId="3" fillId="0" borderId="1" xfId="0" applyNumberFormat="1" applyFon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5" fontId="3" fillId="0" borderId="1" xfId="0" applyNumberFormat="1" applyFont="1" applyBorder="1" applyAlignment="1">
      <alignment horizontal="center" vertical="center"/>
    </xf>
    <xf numFmtId="3" fontId="0" fillId="0" borderId="0" xfId="0" applyNumberFormat="1" applyAlignment="1">
      <alignment horizontal="center"/>
    </xf>
    <xf numFmtId="3" fontId="3" fillId="0" borderId="1" xfId="0" applyNumberFormat="1" applyFont="1" applyBorder="1" applyAlignment="1">
      <alignment horizontal="center"/>
    </xf>
    <xf numFmtId="3" fontId="0" fillId="0" borderId="1" xfId="0" applyNumberFormat="1" applyBorder="1" applyAlignment="1">
      <alignment horizontal="center"/>
    </xf>
    <xf numFmtId="3" fontId="3" fillId="0" borderId="1" xfId="0" applyNumberFormat="1" applyFont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 wrapText="1"/>
    </xf>
    <xf numFmtId="3" fontId="0" fillId="0" borderId="1" xfId="0" applyNumberFormat="1" applyBorder="1" applyAlignment="1">
      <alignment horizontal="center" vertical="center"/>
    </xf>
    <xf numFmtId="3" fontId="0" fillId="0" borderId="1" xfId="0" applyNumberFormat="1" applyBorder="1" applyAlignment="1">
      <alignment horizontal="left" vertical="center"/>
    </xf>
    <xf numFmtId="3" fontId="0" fillId="0" borderId="0" xfId="0" applyNumberFormat="1" applyAlignment="1">
      <alignment horizontal="center" vertical="center"/>
    </xf>
    <xf numFmtId="14" fontId="0" fillId="0" borderId="0" xfId="0" applyNumberFormat="1"/>
    <xf numFmtId="1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166" fontId="0" fillId="0" borderId="0" xfId="0" applyNumberFormat="1" applyAlignment="1">
      <alignment horizontal="center" vertical="center"/>
    </xf>
    <xf numFmtId="166" fontId="0" fillId="0" borderId="0" xfId="0" applyNumberFormat="1"/>
    <xf numFmtId="0" fontId="0" fillId="0" borderId="0" xfId="0" applyNumberFormat="1" applyFill="1" applyBorder="1" applyAlignment="1">
      <alignment horizontal="center" vertical="center"/>
    </xf>
    <xf numFmtId="166" fontId="0" fillId="0" borderId="0" xfId="0" applyNumberFormat="1" applyFill="1" applyBorder="1" applyAlignment="1">
      <alignment horizontal="center" vertical="center"/>
    </xf>
    <xf numFmtId="0" fontId="0" fillId="0" borderId="0" xfId="0" pivotButton="1"/>
    <xf numFmtId="0" fontId="3" fillId="0" borderId="19" xfId="0" applyNumberFormat="1" applyFont="1" applyBorder="1" applyAlignment="1">
      <alignment horizontal="left" vertical="center"/>
    </xf>
    <xf numFmtId="0" fontId="3" fillId="0" borderId="6" xfId="0" applyNumberFormat="1" applyFont="1" applyBorder="1" applyAlignment="1">
      <alignment horizontal="left" vertical="center"/>
    </xf>
    <xf numFmtId="0" fontId="3" fillId="0" borderId="8" xfId="0" applyNumberFormat="1" applyFont="1" applyBorder="1" applyAlignment="1">
      <alignment horizontal="left" vertical="center"/>
    </xf>
    <xf numFmtId="0" fontId="0" fillId="0" borderId="8" xfId="0" applyNumberFormat="1" applyBorder="1" applyAlignment="1">
      <alignment horizontal="left" vertical="center"/>
    </xf>
    <xf numFmtId="0" fontId="0" fillId="0" borderId="19" xfId="0" applyNumberFormat="1" applyBorder="1" applyAlignment="1">
      <alignment horizontal="left" vertical="center"/>
    </xf>
    <xf numFmtId="0" fontId="0" fillId="0" borderId="7" xfId="0" applyNumberFormat="1" applyBorder="1" applyAlignment="1">
      <alignment horizontal="left" vertical="center"/>
    </xf>
    <xf numFmtId="166" fontId="0" fillId="0" borderId="8" xfId="0" applyNumberFormat="1" applyBorder="1" applyAlignment="1">
      <alignment horizontal="left" vertical="center"/>
    </xf>
    <xf numFmtId="166" fontId="0" fillId="0" borderId="19" xfId="0" applyNumberFormat="1" applyBorder="1" applyAlignment="1">
      <alignment horizontal="left" vertical="center"/>
    </xf>
    <xf numFmtId="166" fontId="0" fillId="0" borderId="7" xfId="0" applyNumberFormat="1" applyBorder="1" applyAlignment="1">
      <alignment horizontal="left" vertical="center"/>
    </xf>
    <xf numFmtId="0" fontId="0" fillId="0" borderId="0" xfId="0" applyNumberFormat="1" applyFill="1" applyBorder="1" applyAlignment="1">
      <alignment horizontal="left" vertical="center"/>
    </xf>
    <xf numFmtId="0" fontId="0" fillId="0" borderId="8" xfId="0" applyNumberFormat="1" applyFill="1" applyBorder="1" applyAlignment="1">
      <alignment horizontal="left" vertical="center"/>
    </xf>
    <xf numFmtId="166" fontId="0" fillId="0" borderId="8" xfId="0" applyNumberFormat="1" applyFill="1" applyBorder="1" applyAlignment="1">
      <alignment horizontal="left" vertical="center"/>
    </xf>
    <xf numFmtId="166" fontId="3" fillId="0" borderId="6" xfId="0" applyNumberFormat="1" applyFont="1" applyBorder="1" applyAlignment="1">
      <alignment horizontal="left" vertical="center"/>
    </xf>
    <xf numFmtId="0" fontId="3" fillId="0" borderId="0" xfId="0" applyFont="1" applyAlignment="1">
      <alignment horizontal="center" wrapText="1"/>
    </xf>
    <xf numFmtId="0" fontId="0" fillId="0" borderId="18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165" fontId="0" fillId="0" borderId="1" xfId="0" applyNumberFormat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165" fontId="0" fillId="0" borderId="11" xfId="0" applyNumberFormat="1" applyBorder="1" applyAlignment="1">
      <alignment horizontal="center" vertical="center" wrapText="1"/>
    </xf>
    <xf numFmtId="3" fontId="0" fillId="0" borderId="1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2" fillId="0" borderId="1" xfId="0" applyFont="1" applyBorder="1" applyAlignment="1">
      <alignment horizontal="center" vertical="center"/>
    </xf>
  </cellXfs>
  <cellStyles count="1">
    <cellStyle name="Normal" xfId="0" builtinId="0"/>
  </cellStyles>
  <dxfs count="207">
    <dxf>
      <numFmt numFmtId="0" formatCode="General"/>
    </dxf>
    <dxf>
      <numFmt numFmtId="166" formatCode="d\.hh:mm:ss"/>
    </dxf>
    <dxf>
      <numFmt numFmtId="166" formatCode="d\.hh:mm:ss"/>
    </dxf>
    <dxf>
      <numFmt numFmtId="0" formatCode="General"/>
    </dxf>
    <dxf>
      <numFmt numFmtId="0" formatCode="General"/>
    </dxf>
    <dxf>
      <numFmt numFmtId="166" formatCode="d\.hh:mm:ss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6" formatCode="d\.hh:mm:ss"/>
    </dxf>
    <dxf>
      <numFmt numFmtId="166" formatCode="d\.hh:mm:ss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6" formatCode="d\.hh:mm:ss"/>
      <alignment horizontal="center" vertical="center" textRotation="0" wrapText="0" indent="0" justifyLastLine="0" shrinkToFit="0" readingOrder="0"/>
    </dxf>
    <dxf>
      <numFmt numFmtId="166" formatCode="d\.hh:mm:ss"/>
      <alignment horizontal="center" vertical="center" textRotation="0" wrapText="0" indent="0" justifyLastLine="0" shrinkToFit="0" readingOrder="0"/>
    </dxf>
    <dxf>
      <numFmt numFmtId="166" formatCode="d\.hh:mm:ss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6" formatCode="d\.hh:mm:ss"/>
      <alignment horizontal="center" vertical="center" textRotation="0" wrapText="0" indent="0" justifyLastLine="0" shrinkToFit="0" readingOrder="0"/>
    </dxf>
    <dxf>
      <numFmt numFmtId="166" formatCode="d\.hh:mm:ss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166" formatCode="d\.hh:mm:ss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6" formatCode="d\.hh:mm:ss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6" formatCode="d\.hh:mm:ss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6" formatCode="d\.hh:mm:ss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66" formatCode="d\.hh:mm:ss"/>
    </dxf>
    <dxf>
      <font>
        <sz val="12"/>
      </font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vertical="center" readingOrder="0"/>
    </dxf>
    <dxf>
      <alignment horizontal="center" readingOrder="0"/>
    </dxf>
    <dxf>
      <font>
        <b/>
      </font>
    </dxf>
    <dxf>
      <font>
        <b/>
      </font>
    </dxf>
    <dxf>
      <font>
        <b/>
      </font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66" formatCode="d\.hh:mm:ss"/>
    </dxf>
    <dxf>
      <numFmt numFmtId="0" formatCode="General"/>
    </dxf>
    <dxf>
      <numFmt numFmtId="166" formatCode="d\.hh:mm:ss"/>
    </dxf>
    <dxf>
      <numFmt numFmtId="165" formatCode="[h]:mm"/>
    </dxf>
    <dxf>
      <numFmt numFmtId="165" formatCode="[h]:mm"/>
    </dxf>
    <dxf>
      <numFmt numFmtId="27" formatCode="m/d/yyyy\ h:mm"/>
    </dxf>
    <dxf>
      <numFmt numFmtId="27" formatCode="m/d/yyyy\ h:mm"/>
    </dxf>
    <dxf>
      <numFmt numFmtId="19" formatCode="m/d/yyyy"/>
    </dxf>
    <dxf>
      <numFmt numFmtId="19" formatCode="m/d/yyyy"/>
    </dxf>
    <dxf>
      <numFmt numFmtId="27" formatCode="m/d/yyyy\ h:mm"/>
    </dxf>
    <dxf>
      <numFmt numFmtId="27" formatCode="m/d/yyyy\ h:mm"/>
    </dxf>
    <dxf>
      <font>
        <u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2" defaultPivotStyle="PivotStyleLight16">
    <tableStyle name="PivotTable Style 1" table="0" count="1">
      <tableStyleElement type="pageFieldValues" dxfId="206"/>
    </tableStyle>
    <tableStyle name="PivotTable Style 2" table="0" count="2">
      <tableStyleElement type="wholeTable" dxfId="205"/>
      <tableStyleElement type="lastColumn" dxfId="20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tyles" Target="styles.xml"/><Relationship Id="rId26" Type="http://schemas.openxmlformats.org/officeDocument/2006/relationships/customXml" Target="../customXml/item5.xml"/><Relationship Id="rId39" Type="http://schemas.openxmlformats.org/officeDocument/2006/relationships/customXml" Target="../customXml/item18.xml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42" Type="http://schemas.openxmlformats.org/officeDocument/2006/relationships/customXml" Target="../customXml/item21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40" Type="http://schemas.openxmlformats.org/officeDocument/2006/relationships/customXml" Target="../customXml/item19.xml"/><Relationship Id="rId45" Type="http://schemas.openxmlformats.org/officeDocument/2006/relationships/customXml" Target="../customXml/item24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31" Type="http://schemas.openxmlformats.org/officeDocument/2006/relationships/customXml" Target="../customXml/item10.xml"/><Relationship Id="rId44" Type="http://schemas.openxmlformats.org/officeDocument/2006/relationships/customXml" Target="../customXml/item2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43" Type="http://schemas.openxmlformats.org/officeDocument/2006/relationships/customXml" Target="../customXml/item22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46" Type="http://schemas.openxmlformats.org/officeDocument/2006/relationships/customXml" Target="../customXml/item25.xml"/><Relationship Id="rId20" Type="http://schemas.openxmlformats.org/officeDocument/2006/relationships/powerPivotData" Target="model/item.data"/><Relationship Id="rId41" Type="http://schemas.openxmlformats.org/officeDocument/2006/relationships/customXml" Target="../customXml/item2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323850</xdr:colOff>
      <xdr:row>0</xdr:row>
      <xdr:rowOff>47625</xdr:rowOff>
    </xdr:from>
    <xdr:to>
      <xdr:col>11</xdr:col>
      <xdr:colOff>514350</xdr:colOff>
      <xdr:row>1</xdr:row>
      <xdr:rowOff>152400</xdr:rowOff>
    </xdr:to>
    <xdr:sp macro="[0]!updateNew" textlink="">
      <xdr:nvSpPr>
        <xdr:cNvPr id="2" name="Rounded Rectangle 1"/>
        <xdr:cNvSpPr/>
      </xdr:nvSpPr>
      <xdr:spPr>
        <a:xfrm>
          <a:off x="6819900" y="47625"/>
          <a:ext cx="1171575" cy="295275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CẬP</a:t>
          </a:r>
          <a:r>
            <a:rPr lang="en-US" sz="1100" baseline="0">
              <a:solidFill>
                <a:schemeClr val="bg1"/>
              </a:solidFill>
            </a:rPr>
            <a:t> </a:t>
          </a:r>
          <a:r>
            <a:rPr lang="en-US" sz="1400" b="1" baseline="0">
              <a:solidFill>
                <a:schemeClr val="bg1"/>
              </a:solidFill>
            </a:rPr>
            <a:t>NHẬT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ga" refreshedDate="45605.631467824074" createdVersion="6" refreshedVersion="6" minRefreshableVersion="3" recordCount="918">
  <cacheSource type="external" connectionId="5"/>
  <cacheFields count="13">
    <cacheField name="id" numFmtId="0" sqlType="4">
      <sharedItems containsSemiMixedTypes="0" containsString="0" containsNumber="1" containsInteger="1" minValue="65592" maxValue="66509"/>
    </cacheField>
    <cacheField name="loaixd" numFmtId="0" sqlType="-10">
      <sharedItems count="49">
        <s v="XANG E5 RON92"/>
        <s v="Xăng A80"/>
        <s v="DO 0,05% S"/>
        <s v="DầU TC-1"/>
        <s v="DầU JetA-1K"/>
        <s v="Dầu JETA-01"/>
        <s v="MILPCO1-SAE40"/>
        <s v="MILPCO1-S-SAE40"/>
        <s v="MT-16P"/>
        <s v="CastrolCRB200W-50"/>
        <s v="HelixHX-3"/>
        <s v="Lukoi 15W-40"/>
        <s v="Rimula R4X"/>
        <s v="Niwanano ios32-HG32"/>
        <s v="QUATVNM 20W50"/>
        <s v="QUAT9000-0W20"/>
        <s v="Galube90eps"/>
        <s v="MILPC02-SAE90"/>
        <s v="MILPC03-SAE90"/>
        <s v="GearGL4 W90"/>
        <s v="Morrisong 140ef90"/>
        <s v="Phanh BCK"/>
        <s v="MIL PC06"/>
        <s v="Mỡ 1-13"/>
        <s v="Mỡ SOLE DON"/>
        <s v="Caxilium No2"/>
        <s v="Mỡ Gzeose GL2"/>
        <s v="Mỡ Gzeose GL3"/>
        <s v="Dầu MC-20"/>
        <s v="Opalgrease No3"/>
        <s v="Dầu MC-8P"/>
        <s v="Dầu B-3V"/>
        <s v="Dầu IPM-10"/>
        <s v="Hypôit (TC Gip)"/>
        <s v="Dầu AMG-10"/>
        <s v="Turbonicoil210A(IPM-10)"/>
        <s v="Aeroshell Fluid41(AMG-10)"/>
        <s v="Grease22"/>
        <s v="Turbonicoil 321(MC8P)"/>
        <s v="Turbonicoil 35M (B3V)"/>
        <s v="Dầu 132-25"/>
        <s v="Grease28 (Mỡ 221)"/>
        <s v="Grease33 (OKB)"/>
        <s v="OKB122-7-5"/>
        <s v="Mỡ 201"/>
        <s v="Mỡ 221"/>
        <s v="Mỡ HK-50"/>
        <s v="Mỡ số 9"/>
        <s v="Xăng CN"/>
      </sharedItems>
    </cacheField>
    <cacheField name="soluong" numFmtId="0" sqlType="-5">
      <sharedItems containsSemiMixedTypes="0" containsString="0" containsNumber="1" containsInteger="1" minValue="0" maxValue="20000" count="10">
        <n v="0"/>
        <n v="20000"/>
        <n v="2232"/>
        <n v="2000"/>
        <n v="5564"/>
        <n v="1231"/>
        <n v="17768"/>
        <n v="18000"/>
        <n v="13205"/>
        <n v="13202"/>
      </sharedItems>
    </cacheField>
    <cacheField name="title_lv1" numFmtId="0" sqlType="-10">
      <sharedItems count="14">
        <s v="Trong QC"/>
        <s v="Khác"/>
        <s v="Tổn thất"/>
        <s v="F nội bộ"/>
        <s v="CXD"/>
        <s v="DT cho NV đột xuất"/>
        <s v="DT SSCD"/>
        <s v="QC"/>
        <s v="Mua P/cấp"/>
        <s v="TT Xe máy"/>
        <s v="BQ"/>
        <s v="Hao hụt"/>
        <s v="Ngoài QC"/>
        <s v="Nội bộ f" u="1"/>
      </sharedItems>
    </cacheField>
    <cacheField name="title_lv2" numFmtId="0" sqlType="-10">
      <sharedItems containsBlank="1" count="15">
        <s v="Nhập khác"/>
        <s v="Khác"/>
        <s v="Tổn thất"/>
        <s v="f nội bộ"/>
        <s v="CXD"/>
        <s v="DT cho NV đột xuất"/>
        <s v="DT SSCD"/>
        <s v="QC"/>
        <s v="Mua P/cấp"/>
        <s v="TT Xe máy"/>
        <s v="BQ"/>
        <s v="Hao hụt"/>
        <s v="Xuất khác"/>
        <m u="1"/>
        <s v="Trong QC" u="1"/>
      </sharedItems>
    </cacheField>
    <cacheField name="title_lv3" numFmtId="0" sqlType="-10">
      <sharedItems count="5">
        <s v="Nhập"/>
        <s v="Xuất"/>
        <s v="Tồn đầu kỳ"/>
        <s v="Tồn cuối kỳ"/>
        <s v="" u="1"/>
      </sharedItems>
    </cacheField>
    <cacheField name="title_lxd_lv1" numFmtId="0" sqlType="-10">
      <sharedItems containsBlank="1" count="14">
        <s v="Xăng ô tô"/>
        <s v="Diezel"/>
        <s v="Dầu hạ cấp"/>
        <s v="Dầu bay"/>
        <s v="Dầu đ.cơ ô tô"/>
        <s v="Dầu truyền động"/>
        <s v="Dầu khác"/>
        <s v="Mỡ giảm ma sát"/>
        <s v="Dầu động cơ"/>
        <s v="Dầu thủy lực"/>
        <s v="Mỡ nhờn"/>
        <s v="Dung môi"/>
        <m u="1"/>
        <s v="NL-XANG-OTO" u="1"/>
      </sharedItems>
    </cacheField>
    <cacheField name="title_lxd_lv2" numFmtId="0" sqlType="-10">
      <sharedItems containsBlank="1" count="8">
        <s v="Xăng ô tô"/>
        <s v="Diezel"/>
        <s v="Dầu hạ cấp"/>
        <s v="Dầu bay"/>
        <s v="DMN nhờn MĐ"/>
        <s v="DMN nhờn HK"/>
        <m u="1"/>
        <s v="XANG-OTO" u="1"/>
      </sharedItems>
    </cacheField>
    <cacheField name="title_lxd_lv3" numFmtId="0" sqlType="-10">
      <sharedItems containsBlank="1" count="4">
        <s v="Nhiên liệu"/>
        <s v="DM nhờn"/>
        <m u="1"/>
        <s v="NL" u="1"/>
      </sharedItems>
    </cacheField>
    <cacheField name="xd_id" numFmtId="0" sqlType="4">
      <sharedItems containsSemiMixedTypes="0" containsString="0" containsNumber="1" containsInteger="1" minValue="20" maxValue="70"/>
    </cacheField>
    <cacheField name="title_id" numFmtId="0" sqlType="4">
      <sharedItems containsSemiMixedTypes="0" containsString="0" containsNumber="1" containsInteger="1" minValue="1" maxValue="61" count="18">
        <n v="52"/>
        <n v="54"/>
        <n v="55"/>
        <n v="56"/>
        <n v="59"/>
        <n v="60"/>
        <n v="61"/>
        <n v="1"/>
        <n v="2"/>
        <n v="4"/>
        <n v="5"/>
        <n v="8"/>
        <n v="9"/>
        <n v="10"/>
        <n v="12"/>
        <n v="53"/>
        <n v="15"/>
        <n v="16"/>
      </sharedItems>
    </cacheField>
    <cacheField name="quarter_id" numFmtId="0" sqlType="4">
      <sharedItems containsSemiMixedTypes="0" containsString="0" containsNumber="1" containsInteger="1" minValue="20" maxValue="20" count="1">
        <n v="20"/>
      </sharedItems>
    </cacheField>
    <cacheField name="Field1" numFmtId="0" formula=" 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tga" refreshedDate="45605.631469097221" createdVersion="6" refreshedVersion="6" minRefreshableVersion="3" recordCount="90">
  <cacheSource type="worksheet">
    <worksheetSource name="hanmuc_nhiemvu_2"/>
  </cacheSource>
  <cacheFields count="18">
    <cacheField name="id" numFmtId="0">
      <sharedItems containsSemiMixedTypes="0" containsString="0" containsNumber="1" containsInteger="1" minValue="181" maxValue="270"/>
    </cacheField>
    <cacheField name="quarter_id" numFmtId="0">
      <sharedItems containsSemiMixedTypes="0" containsString="0" containsNumber="1" containsInteger="1" minValue="20" maxValue="20"/>
    </cacheField>
    <cacheField name="unit_id" numFmtId="0">
      <sharedItems containsSemiMixedTypes="0" containsString="0" containsNumber="1" containsInteger="1" minValue="3" maxValue="54"/>
    </cacheField>
    <cacheField name="nhiemvu_id" numFmtId="0">
      <sharedItems containsSemiMixedTypes="0" containsString="0" containsNumber="1" containsInteger="1" minValue="1" maxValue="20"/>
    </cacheField>
    <cacheField name="ct_tk" numFmtId="0">
      <sharedItems containsSemiMixedTypes="0" containsDate="1" containsString="0" containsMixedTypes="1" minDate="1899-12-30T20:20:00" maxDate="1899-12-30T00:00:00" count="2">
        <n v="0.84722222222222221"/>
        <d v="1899-12-30T20:20:00" u="1"/>
      </sharedItems>
    </cacheField>
    <cacheField name="ct_md" numFmtId="166">
      <sharedItems containsSemiMixedTypes="0" containsNonDate="0" containsDate="1" containsString="0" minDate="1899-12-30T10:12:00" maxDate="1899-12-30T10:12:00" count="1">
        <d v="1899-12-30T10:12:00"/>
      </sharedItems>
    </cacheField>
    <cacheField name="sum_ct" numFmtId="166">
      <sharedItems count="1">
        <s v="400:40"/>
      </sharedItems>
    </cacheField>
    <cacheField name="consumpt" numFmtId="0">
      <sharedItems containsSemiMixedTypes="0" containsString="0" containsNumber="1" containsInteger="1" minValue="9000" maxValue="9000" count="1">
        <n v="9000"/>
      </sharedItems>
    </cacheField>
    <cacheField name="NewColumn.ten" numFmtId="0">
      <sharedItems count="9">
        <s v="d Nội Bài"/>
        <s v="d Nà Sản"/>
        <s v="d Vinh"/>
        <s v="d Kiến An"/>
        <s v="e927"/>
        <s v="e923"/>
        <s v="e916"/>
        <s v="e921"/>
        <s v="f Bộ"/>
      </sharedItems>
    </cacheField>
    <cacheField name="NewColumn.nhiemvu_id" numFmtId="0">
      <sharedItems containsSemiMixedTypes="0" containsString="0" containsNumber="1" containsInteger="1" minValue="1" maxValue="9"/>
    </cacheField>
    <cacheField name="NewColumn.nhiemvu" numFmtId="0">
      <sharedItems count="12">
        <s v="Bay nhiệm vụ"/>
        <s v="Huấn luyện CĐ"/>
        <s v="HH DTCĐ"/>
        <s v="HH T.Xuyên"/>
        <s v="C.gia bay"/>
        <s v="VN bay"/>
        <s v="Bay đề cao"/>
        <s v="Huấn luyện NT"/>
        <s v="Nổ máy KTHK"/>
        <s v="Tổn thất"/>
        <s v="Nổ máy sscđ" u="1"/>
        <s v="Tác chiến còn lại" u="1"/>
      </sharedItems>
    </cacheField>
    <cacheField name="NewColumn.ten_nv" numFmtId="0">
      <sharedItems count="8">
        <s v="Tác chiến"/>
        <s v="Huấn luyện CĐ"/>
        <s v="Bù hao hụt"/>
        <s v="Bay đề cao"/>
        <s v="Huấn luyện NT"/>
        <s v="Nổ máy KTHK"/>
        <s v="Tổn thất"/>
        <s v="Tác chiến, A2.." u="1"/>
      </sharedItems>
    </cacheField>
    <cacheField name="NewColumn.team_id" numFmtId="0">
      <sharedItems containsSemiMixedTypes="0" containsString="0" containsNumber="1" containsInteger="1" minValue="3" maxValue="3"/>
    </cacheField>
    <cacheField name="NewColumn.name" numFmtId="0">
      <sharedItems/>
    </cacheField>
    <cacheField name="NewColumn.team_code" numFmtId="0">
      <sharedItems/>
    </cacheField>
    <cacheField name="ct_tk - Copy" numFmtId="166">
      <sharedItems containsSemiMixedTypes="0" containsNonDate="0" containsDate="1" containsString="0" minDate="1900-01-01T20:10:00" maxDate="1900-01-01T20:10:00"/>
    </cacheField>
    <cacheField name="Custom" numFmtId="166">
      <sharedItems containsSemiMixedTypes="0" containsNonDate="0" containsDate="1" containsString="0" minDate="1899-12-31T06:32:00" maxDate="1899-12-31T06:32:00"/>
    </cacheField>
    <cacheField name="Field1" numFmtId="0" formula="ct_tk+ct_md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tga" refreshedDate="45605.798976157406" createdVersion="6" refreshedVersion="6" minRefreshableVersion="3" recordCount="90">
  <cacheSource type="worksheet">
    <worksheetSource name="hanmuc_nhiemvu__3"/>
  </cacheSource>
  <cacheFields count="22">
    <cacheField name="id" numFmtId="0">
      <sharedItems containsSemiMixedTypes="0" containsString="0" containsNumber="1" containsInteger="1" minValue="181" maxValue="270"/>
    </cacheField>
    <cacheField name="quarter_id" numFmtId="0">
      <sharedItems containsSemiMixedTypes="0" containsString="0" containsNumber="1" containsInteger="1" minValue="20" maxValue="20"/>
    </cacheField>
    <cacheField name="unit_id" numFmtId="0">
      <sharedItems containsSemiMixedTypes="0" containsString="0" containsNumber="1" containsInteger="1" minValue="3" maxValue="54"/>
    </cacheField>
    <cacheField name="nhiemvu_id" numFmtId="0">
      <sharedItems containsSemiMixedTypes="0" containsString="0" containsNumber="1" containsInteger="1" minValue="1" maxValue="20"/>
    </cacheField>
    <cacheField name="ct_tk" numFmtId="166">
      <sharedItems containsSemiMixedTypes="0" containsNonDate="0" containsDate="1" containsString="0" minDate="1899-12-30T20:20:00" maxDate="1899-12-30T20:20:00" count="1">
        <d v="1899-12-30T20:20:00"/>
      </sharedItems>
    </cacheField>
    <cacheField name="ct_md" numFmtId="166">
      <sharedItems containsSemiMixedTypes="0" containsNonDate="0" containsDate="1" containsString="0" minDate="1899-12-30T10:12:00" maxDate="1899-12-30T10:12:00" count="1">
        <d v="1899-12-30T10:12:00"/>
      </sharedItems>
    </cacheField>
    <cacheField name="sum_ct" numFmtId="0">
      <sharedItems/>
    </cacheField>
    <cacheField name="consumpt" numFmtId="0">
      <sharedItems containsSemiMixedTypes="0" containsString="0" containsNumber="1" containsInteger="1" minValue="9000" maxValue="9000" count="1">
        <n v="9000"/>
      </sharedItems>
    </cacheField>
    <cacheField name="NewColumn.ten" numFmtId="0">
      <sharedItems count="9">
        <s v="d Nội Bài"/>
        <s v="d Nà Sản"/>
        <s v="d Vinh"/>
        <s v="d Kiến An"/>
        <s v="e927"/>
        <s v="e923"/>
        <s v="e916"/>
        <s v="e921"/>
        <s v="f Bộ"/>
      </sharedItems>
    </cacheField>
    <cacheField name="NewColumn.nhiemvu_id" numFmtId="0">
      <sharedItems containsSemiMixedTypes="0" containsString="0" containsNumber="1" containsInteger="1" minValue="1" maxValue="9"/>
    </cacheField>
    <cacheField name="NewColumn.nhiemvu" numFmtId="0">
      <sharedItems count="10">
        <s v="Bay nhiệm vụ"/>
        <s v="Huấn luyện CĐ"/>
        <s v="HH DTCĐ"/>
        <s v="HH T.Xuyên"/>
        <s v="C.gia bay"/>
        <s v="VN bay"/>
        <s v="Bay đề cao"/>
        <s v="Huấn luyện NT"/>
        <s v="Nổ máy KTHK"/>
        <s v="Tổn thất"/>
      </sharedItems>
    </cacheField>
    <cacheField name="NewColumn.ten_nv" numFmtId="0">
      <sharedItems count="7">
        <s v="Tác chiến"/>
        <s v="Huấn luyện CĐ"/>
        <s v="Bù hao hụt"/>
        <s v="Bay đề cao"/>
        <s v="Huấn luyện NT"/>
        <s v="Nổ máy KTHK"/>
        <s v="Tổn thất"/>
      </sharedItems>
    </cacheField>
    <cacheField name="NewColumn.team_id" numFmtId="0">
      <sharedItems containsSemiMixedTypes="0" containsString="0" containsNumber="1" containsInteger="1" minValue="3" maxValue="3"/>
    </cacheField>
    <cacheField name="NewColumn.name" numFmtId="0">
      <sharedItems/>
    </cacheField>
    <cacheField name="nl_matdat" numFmtId="0">
      <sharedItems containsSemiMixedTypes="0" containsString="0" containsNumber="1" containsInteger="1" minValue="0" maxValue="5564" count="4">
        <n v="0"/>
        <n v="1231"/>
        <n v="1232"/>
        <n v="5564"/>
      </sharedItems>
    </cacheField>
    <cacheField name="nl_trenkhong" numFmtId="0">
      <sharedItems containsSemiMixedTypes="0" containsString="0" containsNumber="1" containsInteger="1" minValue="0" maxValue="6675" count="7">
        <n v="0"/>
        <n v="1234"/>
        <n v="4322"/>
        <n v="6675"/>
        <n v="1321"/>
        <n v="3574"/>
        <n v="2000"/>
      </sharedItems>
    </cacheField>
    <cacheField name="gio_hd_md" numFmtId="166">
      <sharedItems containsSemiMixedTypes="0" containsNonDate="0" containsDate="1" containsString="0" minDate="1899-12-30T00:00:00" maxDate="1899-12-31T00:00:00" count="4">
        <d v="1899-12-30T00:00:00"/>
        <d v="1899-12-30T21:02:00"/>
        <d v="1899-12-30T22:23:00"/>
        <d v="1899-12-30T15:45:00"/>
      </sharedItems>
    </cacheField>
    <cacheField name="gio_hd_trenkhong" numFmtId="0">
      <sharedItems containsSemiMixedTypes="0" containsString="0" containsNumber="1" minValue="0" maxValue="1.0729166666666667" count="7">
        <n v="0"/>
        <n v="0.50763888888888886"/>
        <n v="0.47361111111111109"/>
        <n v="1.0729166666666667"/>
        <n v="9.7916666666666666E-2"/>
        <n v="1.0229166666666667"/>
        <n v="8.5416666666666669E-2"/>
      </sharedItems>
    </cacheField>
    <cacheField name="Column1" numFmtId="0">
      <sharedItems containsNonDate="0" containsString="0" containsBlank="1"/>
    </cacheField>
    <cacheField name="Column2" numFmtId="0">
      <sharedItems containsNonDate="0" containsString="0" containsBlank="1"/>
    </cacheField>
    <cacheField name="Column3" numFmtId="166">
      <sharedItems containsNonDate="0" containsString="0" containsBlank="1"/>
    </cacheField>
    <cacheField name="Column4" numFmtId="166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18">
  <r>
    <n v="65592"/>
    <x v="0"/>
    <x v="0"/>
    <x v="0"/>
    <x v="0"/>
    <x v="0"/>
    <x v="0"/>
    <x v="0"/>
    <x v="0"/>
    <n v="20"/>
    <x v="0"/>
    <x v="0"/>
  </r>
  <r>
    <n v="65594"/>
    <x v="0"/>
    <x v="0"/>
    <x v="1"/>
    <x v="1"/>
    <x v="0"/>
    <x v="0"/>
    <x v="0"/>
    <x v="0"/>
    <n v="20"/>
    <x v="1"/>
    <x v="0"/>
  </r>
  <r>
    <n v="65595"/>
    <x v="0"/>
    <x v="0"/>
    <x v="1"/>
    <x v="1"/>
    <x v="1"/>
    <x v="0"/>
    <x v="0"/>
    <x v="0"/>
    <n v="20"/>
    <x v="2"/>
    <x v="0"/>
  </r>
  <r>
    <n v="65596"/>
    <x v="0"/>
    <x v="0"/>
    <x v="2"/>
    <x v="2"/>
    <x v="1"/>
    <x v="0"/>
    <x v="0"/>
    <x v="0"/>
    <n v="20"/>
    <x v="3"/>
    <x v="0"/>
  </r>
  <r>
    <n v="65597"/>
    <x v="0"/>
    <x v="0"/>
    <x v="3"/>
    <x v="3"/>
    <x v="1"/>
    <x v="0"/>
    <x v="0"/>
    <x v="0"/>
    <n v="20"/>
    <x v="4"/>
    <x v="0"/>
  </r>
  <r>
    <n v="65598"/>
    <x v="0"/>
    <x v="0"/>
    <x v="4"/>
    <x v="4"/>
    <x v="0"/>
    <x v="0"/>
    <x v="0"/>
    <x v="0"/>
    <n v="20"/>
    <x v="5"/>
    <x v="0"/>
  </r>
  <r>
    <n v="65599"/>
    <x v="0"/>
    <x v="0"/>
    <x v="4"/>
    <x v="4"/>
    <x v="1"/>
    <x v="0"/>
    <x v="0"/>
    <x v="0"/>
    <n v="20"/>
    <x v="6"/>
    <x v="0"/>
  </r>
  <r>
    <n v="65600"/>
    <x v="0"/>
    <x v="1"/>
    <x v="5"/>
    <x v="5"/>
    <x v="2"/>
    <x v="0"/>
    <x v="0"/>
    <x v="0"/>
    <n v="20"/>
    <x v="7"/>
    <x v="0"/>
  </r>
  <r>
    <n v="65601"/>
    <x v="0"/>
    <x v="1"/>
    <x v="6"/>
    <x v="6"/>
    <x v="2"/>
    <x v="0"/>
    <x v="0"/>
    <x v="0"/>
    <n v="20"/>
    <x v="8"/>
    <x v="0"/>
  </r>
  <r>
    <n v="65602"/>
    <x v="0"/>
    <x v="0"/>
    <x v="7"/>
    <x v="7"/>
    <x v="0"/>
    <x v="0"/>
    <x v="0"/>
    <x v="0"/>
    <n v="20"/>
    <x v="9"/>
    <x v="0"/>
  </r>
  <r>
    <n v="65603"/>
    <x v="0"/>
    <x v="0"/>
    <x v="8"/>
    <x v="8"/>
    <x v="0"/>
    <x v="0"/>
    <x v="0"/>
    <x v="0"/>
    <n v="20"/>
    <x v="10"/>
    <x v="0"/>
  </r>
  <r>
    <n v="65604"/>
    <x v="0"/>
    <x v="0"/>
    <x v="9"/>
    <x v="9"/>
    <x v="1"/>
    <x v="0"/>
    <x v="0"/>
    <x v="0"/>
    <n v="20"/>
    <x v="11"/>
    <x v="0"/>
  </r>
  <r>
    <n v="65605"/>
    <x v="0"/>
    <x v="0"/>
    <x v="10"/>
    <x v="10"/>
    <x v="1"/>
    <x v="0"/>
    <x v="0"/>
    <x v="0"/>
    <n v="20"/>
    <x v="12"/>
    <x v="0"/>
  </r>
  <r>
    <n v="65606"/>
    <x v="0"/>
    <x v="0"/>
    <x v="11"/>
    <x v="11"/>
    <x v="1"/>
    <x v="0"/>
    <x v="0"/>
    <x v="0"/>
    <n v="20"/>
    <x v="13"/>
    <x v="0"/>
  </r>
  <r>
    <n v="65607"/>
    <x v="0"/>
    <x v="0"/>
    <x v="12"/>
    <x v="12"/>
    <x v="1"/>
    <x v="0"/>
    <x v="0"/>
    <x v="0"/>
    <n v="20"/>
    <x v="14"/>
    <x v="0"/>
  </r>
  <r>
    <n v="65610"/>
    <x v="1"/>
    <x v="0"/>
    <x v="0"/>
    <x v="0"/>
    <x v="0"/>
    <x v="0"/>
    <x v="0"/>
    <x v="0"/>
    <n v="21"/>
    <x v="0"/>
    <x v="0"/>
  </r>
  <r>
    <n v="65611"/>
    <x v="1"/>
    <x v="0"/>
    <x v="0"/>
    <x v="0"/>
    <x v="1"/>
    <x v="0"/>
    <x v="0"/>
    <x v="0"/>
    <n v="21"/>
    <x v="15"/>
    <x v="0"/>
  </r>
  <r>
    <n v="65612"/>
    <x v="1"/>
    <x v="0"/>
    <x v="1"/>
    <x v="1"/>
    <x v="0"/>
    <x v="0"/>
    <x v="0"/>
    <x v="0"/>
    <n v="21"/>
    <x v="1"/>
    <x v="0"/>
  </r>
  <r>
    <n v="65613"/>
    <x v="1"/>
    <x v="0"/>
    <x v="1"/>
    <x v="1"/>
    <x v="1"/>
    <x v="0"/>
    <x v="0"/>
    <x v="0"/>
    <n v="21"/>
    <x v="2"/>
    <x v="0"/>
  </r>
  <r>
    <n v="65614"/>
    <x v="1"/>
    <x v="0"/>
    <x v="2"/>
    <x v="2"/>
    <x v="1"/>
    <x v="0"/>
    <x v="0"/>
    <x v="0"/>
    <n v="21"/>
    <x v="3"/>
    <x v="0"/>
  </r>
  <r>
    <n v="65615"/>
    <x v="1"/>
    <x v="0"/>
    <x v="3"/>
    <x v="3"/>
    <x v="1"/>
    <x v="0"/>
    <x v="0"/>
    <x v="0"/>
    <n v="21"/>
    <x v="4"/>
    <x v="0"/>
  </r>
  <r>
    <n v="65616"/>
    <x v="1"/>
    <x v="0"/>
    <x v="4"/>
    <x v="4"/>
    <x v="0"/>
    <x v="0"/>
    <x v="0"/>
    <x v="0"/>
    <n v="21"/>
    <x v="5"/>
    <x v="0"/>
  </r>
  <r>
    <n v="65617"/>
    <x v="1"/>
    <x v="0"/>
    <x v="4"/>
    <x v="4"/>
    <x v="1"/>
    <x v="0"/>
    <x v="0"/>
    <x v="0"/>
    <n v="21"/>
    <x v="6"/>
    <x v="0"/>
  </r>
  <r>
    <n v="65618"/>
    <x v="1"/>
    <x v="1"/>
    <x v="5"/>
    <x v="5"/>
    <x v="2"/>
    <x v="0"/>
    <x v="0"/>
    <x v="0"/>
    <n v="21"/>
    <x v="7"/>
    <x v="0"/>
  </r>
  <r>
    <n v="65619"/>
    <x v="1"/>
    <x v="1"/>
    <x v="6"/>
    <x v="6"/>
    <x v="2"/>
    <x v="0"/>
    <x v="0"/>
    <x v="0"/>
    <n v="21"/>
    <x v="8"/>
    <x v="0"/>
  </r>
  <r>
    <n v="65620"/>
    <x v="1"/>
    <x v="0"/>
    <x v="7"/>
    <x v="7"/>
    <x v="0"/>
    <x v="0"/>
    <x v="0"/>
    <x v="0"/>
    <n v="21"/>
    <x v="9"/>
    <x v="0"/>
  </r>
  <r>
    <n v="65621"/>
    <x v="1"/>
    <x v="0"/>
    <x v="8"/>
    <x v="8"/>
    <x v="0"/>
    <x v="0"/>
    <x v="0"/>
    <x v="0"/>
    <n v="21"/>
    <x v="10"/>
    <x v="0"/>
  </r>
  <r>
    <n v="65622"/>
    <x v="1"/>
    <x v="0"/>
    <x v="9"/>
    <x v="9"/>
    <x v="1"/>
    <x v="0"/>
    <x v="0"/>
    <x v="0"/>
    <n v="21"/>
    <x v="11"/>
    <x v="0"/>
  </r>
  <r>
    <n v="65623"/>
    <x v="1"/>
    <x v="0"/>
    <x v="10"/>
    <x v="10"/>
    <x v="1"/>
    <x v="0"/>
    <x v="0"/>
    <x v="0"/>
    <n v="21"/>
    <x v="12"/>
    <x v="0"/>
  </r>
  <r>
    <n v="65624"/>
    <x v="1"/>
    <x v="0"/>
    <x v="11"/>
    <x v="11"/>
    <x v="1"/>
    <x v="0"/>
    <x v="0"/>
    <x v="0"/>
    <n v="21"/>
    <x v="13"/>
    <x v="0"/>
  </r>
  <r>
    <n v="65625"/>
    <x v="1"/>
    <x v="0"/>
    <x v="12"/>
    <x v="12"/>
    <x v="1"/>
    <x v="0"/>
    <x v="0"/>
    <x v="0"/>
    <n v="21"/>
    <x v="14"/>
    <x v="0"/>
  </r>
  <r>
    <n v="65626"/>
    <x v="1"/>
    <x v="1"/>
    <x v="5"/>
    <x v="5"/>
    <x v="3"/>
    <x v="0"/>
    <x v="0"/>
    <x v="0"/>
    <n v="21"/>
    <x v="16"/>
    <x v="0"/>
  </r>
  <r>
    <n v="65627"/>
    <x v="1"/>
    <x v="1"/>
    <x v="6"/>
    <x v="6"/>
    <x v="3"/>
    <x v="0"/>
    <x v="0"/>
    <x v="0"/>
    <n v="21"/>
    <x v="17"/>
    <x v="0"/>
  </r>
  <r>
    <n v="65628"/>
    <x v="2"/>
    <x v="0"/>
    <x v="0"/>
    <x v="0"/>
    <x v="0"/>
    <x v="1"/>
    <x v="1"/>
    <x v="0"/>
    <n v="22"/>
    <x v="0"/>
    <x v="0"/>
  </r>
  <r>
    <n v="65629"/>
    <x v="2"/>
    <x v="0"/>
    <x v="0"/>
    <x v="0"/>
    <x v="1"/>
    <x v="1"/>
    <x v="1"/>
    <x v="0"/>
    <n v="22"/>
    <x v="15"/>
    <x v="0"/>
  </r>
  <r>
    <n v="65630"/>
    <x v="2"/>
    <x v="0"/>
    <x v="1"/>
    <x v="1"/>
    <x v="0"/>
    <x v="1"/>
    <x v="1"/>
    <x v="0"/>
    <n v="22"/>
    <x v="1"/>
    <x v="0"/>
  </r>
  <r>
    <n v="65631"/>
    <x v="2"/>
    <x v="0"/>
    <x v="1"/>
    <x v="1"/>
    <x v="1"/>
    <x v="1"/>
    <x v="1"/>
    <x v="0"/>
    <n v="22"/>
    <x v="2"/>
    <x v="0"/>
  </r>
  <r>
    <n v="65632"/>
    <x v="2"/>
    <x v="0"/>
    <x v="2"/>
    <x v="2"/>
    <x v="1"/>
    <x v="1"/>
    <x v="1"/>
    <x v="0"/>
    <n v="22"/>
    <x v="3"/>
    <x v="0"/>
  </r>
  <r>
    <n v="65633"/>
    <x v="2"/>
    <x v="0"/>
    <x v="3"/>
    <x v="3"/>
    <x v="1"/>
    <x v="1"/>
    <x v="1"/>
    <x v="0"/>
    <n v="22"/>
    <x v="4"/>
    <x v="0"/>
  </r>
  <r>
    <n v="65634"/>
    <x v="2"/>
    <x v="0"/>
    <x v="4"/>
    <x v="4"/>
    <x v="0"/>
    <x v="1"/>
    <x v="1"/>
    <x v="0"/>
    <n v="22"/>
    <x v="5"/>
    <x v="0"/>
  </r>
  <r>
    <n v="65635"/>
    <x v="2"/>
    <x v="0"/>
    <x v="4"/>
    <x v="4"/>
    <x v="1"/>
    <x v="1"/>
    <x v="1"/>
    <x v="0"/>
    <n v="22"/>
    <x v="6"/>
    <x v="0"/>
  </r>
  <r>
    <n v="65636"/>
    <x v="2"/>
    <x v="1"/>
    <x v="5"/>
    <x v="5"/>
    <x v="2"/>
    <x v="1"/>
    <x v="1"/>
    <x v="0"/>
    <n v="22"/>
    <x v="7"/>
    <x v="0"/>
  </r>
  <r>
    <n v="65637"/>
    <x v="2"/>
    <x v="1"/>
    <x v="6"/>
    <x v="6"/>
    <x v="2"/>
    <x v="1"/>
    <x v="1"/>
    <x v="0"/>
    <n v="22"/>
    <x v="8"/>
    <x v="0"/>
  </r>
  <r>
    <n v="65638"/>
    <x v="2"/>
    <x v="0"/>
    <x v="7"/>
    <x v="7"/>
    <x v="0"/>
    <x v="1"/>
    <x v="1"/>
    <x v="0"/>
    <n v="22"/>
    <x v="9"/>
    <x v="0"/>
  </r>
  <r>
    <n v="65639"/>
    <x v="2"/>
    <x v="0"/>
    <x v="8"/>
    <x v="8"/>
    <x v="0"/>
    <x v="1"/>
    <x v="1"/>
    <x v="0"/>
    <n v="22"/>
    <x v="10"/>
    <x v="0"/>
  </r>
  <r>
    <n v="65640"/>
    <x v="2"/>
    <x v="0"/>
    <x v="9"/>
    <x v="9"/>
    <x v="1"/>
    <x v="1"/>
    <x v="1"/>
    <x v="0"/>
    <n v="22"/>
    <x v="11"/>
    <x v="0"/>
  </r>
  <r>
    <n v="65641"/>
    <x v="2"/>
    <x v="0"/>
    <x v="10"/>
    <x v="10"/>
    <x v="1"/>
    <x v="1"/>
    <x v="1"/>
    <x v="0"/>
    <n v="22"/>
    <x v="12"/>
    <x v="0"/>
  </r>
  <r>
    <n v="65642"/>
    <x v="2"/>
    <x v="0"/>
    <x v="11"/>
    <x v="11"/>
    <x v="1"/>
    <x v="1"/>
    <x v="1"/>
    <x v="0"/>
    <n v="22"/>
    <x v="13"/>
    <x v="0"/>
  </r>
  <r>
    <n v="65643"/>
    <x v="2"/>
    <x v="0"/>
    <x v="12"/>
    <x v="12"/>
    <x v="1"/>
    <x v="1"/>
    <x v="1"/>
    <x v="0"/>
    <n v="22"/>
    <x v="14"/>
    <x v="0"/>
  </r>
  <r>
    <n v="65644"/>
    <x v="2"/>
    <x v="1"/>
    <x v="5"/>
    <x v="5"/>
    <x v="3"/>
    <x v="1"/>
    <x v="1"/>
    <x v="0"/>
    <n v="22"/>
    <x v="16"/>
    <x v="0"/>
  </r>
  <r>
    <n v="65645"/>
    <x v="2"/>
    <x v="1"/>
    <x v="6"/>
    <x v="6"/>
    <x v="3"/>
    <x v="1"/>
    <x v="1"/>
    <x v="0"/>
    <n v="22"/>
    <x v="17"/>
    <x v="0"/>
  </r>
  <r>
    <n v="65646"/>
    <x v="3"/>
    <x v="0"/>
    <x v="0"/>
    <x v="0"/>
    <x v="0"/>
    <x v="2"/>
    <x v="2"/>
    <x v="0"/>
    <n v="23"/>
    <x v="0"/>
    <x v="0"/>
  </r>
  <r>
    <n v="65647"/>
    <x v="3"/>
    <x v="0"/>
    <x v="0"/>
    <x v="0"/>
    <x v="1"/>
    <x v="2"/>
    <x v="2"/>
    <x v="0"/>
    <n v="23"/>
    <x v="15"/>
    <x v="0"/>
  </r>
  <r>
    <n v="65593"/>
    <x v="0"/>
    <x v="2"/>
    <x v="0"/>
    <x v="0"/>
    <x v="1"/>
    <x v="0"/>
    <x v="0"/>
    <x v="0"/>
    <n v="20"/>
    <x v="15"/>
    <x v="0"/>
  </r>
  <r>
    <n v="65609"/>
    <x v="0"/>
    <x v="1"/>
    <x v="6"/>
    <x v="6"/>
    <x v="3"/>
    <x v="0"/>
    <x v="0"/>
    <x v="0"/>
    <n v="20"/>
    <x v="17"/>
    <x v="0"/>
  </r>
  <r>
    <n v="65648"/>
    <x v="3"/>
    <x v="0"/>
    <x v="1"/>
    <x v="1"/>
    <x v="0"/>
    <x v="2"/>
    <x v="2"/>
    <x v="0"/>
    <n v="23"/>
    <x v="1"/>
    <x v="0"/>
  </r>
  <r>
    <n v="65649"/>
    <x v="3"/>
    <x v="0"/>
    <x v="1"/>
    <x v="1"/>
    <x v="1"/>
    <x v="2"/>
    <x v="2"/>
    <x v="0"/>
    <n v="23"/>
    <x v="2"/>
    <x v="0"/>
  </r>
  <r>
    <n v="65650"/>
    <x v="3"/>
    <x v="0"/>
    <x v="2"/>
    <x v="2"/>
    <x v="1"/>
    <x v="2"/>
    <x v="2"/>
    <x v="0"/>
    <n v="23"/>
    <x v="3"/>
    <x v="0"/>
  </r>
  <r>
    <n v="65651"/>
    <x v="3"/>
    <x v="0"/>
    <x v="3"/>
    <x v="3"/>
    <x v="1"/>
    <x v="2"/>
    <x v="2"/>
    <x v="0"/>
    <n v="23"/>
    <x v="4"/>
    <x v="0"/>
  </r>
  <r>
    <n v="65652"/>
    <x v="3"/>
    <x v="0"/>
    <x v="4"/>
    <x v="4"/>
    <x v="0"/>
    <x v="2"/>
    <x v="2"/>
    <x v="0"/>
    <n v="23"/>
    <x v="5"/>
    <x v="0"/>
  </r>
  <r>
    <n v="65653"/>
    <x v="3"/>
    <x v="0"/>
    <x v="4"/>
    <x v="4"/>
    <x v="1"/>
    <x v="2"/>
    <x v="2"/>
    <x v="0"/>
    <n v="23"/>
    <x v="6"/>
    <x v="0"/>
  </r>
  <r>
    <n v="65654"/>
    <x v="3"/>
    <x v="1"/>
    <x v="5"/>
    <x v="5"/>
    <x v="2"/>
    <x v="2"/>
    <x v="2"/>
    <x v="0"/>
    <n v="23"/>
    <x v="7"/>
    <x v="0"/>
  </r>
  <r>
    <n v="65655"/>
    <x v="3"/>
    <x v="1"/>
    <x v="6"/>
    <x v="6"/>
    <x v="2"/>
    <x v="2"/>
    <x v="2"/>
    <x v="0"/>
    <n v="23"/>
    <x v="8"/>
    <x v="0"/>
  </r>
  <r>
    <n v="65656"/>
    <x v="3"/>
    <x v="0"/>
    <x v="7"/>
    <x v="7"/>
    <x v="0"/>
    <x v="2"/>
    <x v="2"/>
    <x v="0"/>
    <n v="23"/>
    <x v="9"/>
    <x v="0"/>
  </r>
  <r>
    <n v="65657"/>
    <x v="3"/>
    <x v="0"/>
    <x v="8"/>
    <x v="8"/>
    <x v="0"/>
    <x v="2"/>
    <x v="2"/>
    <x v="0"/>
    <n v="23"/>
    <x v="10"/>
    <x v="0"/>
  </r>
  <r>
    <n v="65658"/>
    <x v="3"/>
    <x v="0"/>
    <x v="9"/>
    <x v="9"/>
    <x v="1"/>
    <x v="2"/>
    <x v="2"/>
    <x v="0"/>
    <n v="23"/>
    <x v="11"/>
    <x v="0"/>
  </r>
  <r>
    <n v="65659"/>
    <x v="3"/>
    <x v="0"/>
    <x v="10"/>
    <x v="10"/>
    <x v="1"/>
    <x v="2"/>
    <x v="2"/>
    <x v="0"/>
    <n v="23"/>
    <x v="12"/>
    <x v="0"/>
  </r>
  <r>
    <n v="65660"/>
    <x v="3"/>
    <x v="0"/>
    <x v="11"/>
    <x v="11"/>
    <x v="1"/>
    <x v="2"/>
    <x v="2"/>
    <x v="0"/>
    <n v="23"/>
    <x v="13"/>
    <x v="0"/>
  </r>
  <r>
    <n v="65661"/>
    <x v="3"/>
    <x v="0"/>
    <x v="12"/>
    <x v="12"/>
    <x v="1"/>
    <x v="2"/>
    <x v="2"/>
    <x v="0"/>
    <n v="23"/>
    <x v="14"/>
    <x v="0"/>
  </r>
  <r>
    <n v="65662"/>
    <x v="3"/>
    <x v="1"/>
    <x v="5"/>
    <x v="5"/>
    <x v="3"/>
    <x v="2"/>
    <x v="2"/>
    <x v="0"/>
    <n v="23"/>
    <x v="16"/>
    <x v="0"/>
  </r>
  <r>
    <n v="65663"/>
    <x v="3"/>
    <x v="1"/>
    <x v="6"/>
    <x v="6"/>
    <x v="3"/>
    <x v="2"/>
    <x v="2"/>
    <x v="0"/>
    <n v="23"/>
    <x v="17"/>
    <x v="0"/>
  </r>
  <r>
    <n v="65664"/>
    <x v="4"/>
    <x v="0"/>
    <x v="0"/>
    <x v="0"/>
    <x v="0"/>
    <x v="2"/>
    <x v="2"/>
    <x v="0"/>
    <n v="24"/>
    <x v="0"/>
    <x v="0"/>
  </r>
  <r>
    <n v="65665"/>
    <x v="4"/>
    <x v="0"/>
    <x v="0"/>
    <x v="0"/>
    <x v="1"/>
    <x v="2"/>
    <x v="2"/>
    <x v="0"/>
    <n v="24"/>
    <x v="15"/>
    <x v="0"/>
  </r>
  <r>
    <n v="65666"/>
    <x v="4"/>
    <x v="0"/>
    <x v="1"/>
    <x v="1"/>
    <x v="0"/>
    <x v="2"/>
    <x v="2"/>
    <x v="0"/>
    <n v="24"/>
    <x v="1"/>
    <x v="0"/>
  </r>
  <r>
    <n v="65667"/>
    <x v="4"/>
    <x v="0"/>
    <x v="1"/>
    <x v="1"/>
    <x v="1"/>
    <x v="2"/>
    <x v="2"/>
    <x v="0"/>
    <n v="24"/>
    <x v="2"/>
    <x v="0"/>
  </r>
  <r>
    <n v="65668"/>
    <x v="4"/>
    <x v="0"/>
    <x v="2"/>
    <x v="2"/>
    <x v="1"/>
    <x v="2"/>
    <x v="2"/>
    <x v="0"/>
    <n v="24"/>
    <x v="3"/>
    <x v="0"/>
  </r>
  <r>
    <n v="65669"/>
    <x v="4"/>
    <x v="0"/>
    <x v="3"/>
    <x v="3"/>
    <x v="1"/>
    <x v="2"/>
    <x v="2"/>
    <x v="0"/>
    <n v="24"/>
    <x v="4"/>
    <x v="0"/>
  </r>
  <r>
    <n v="65670"/>
    <x v="4"/>
    <x v="0"/>
    <x v="4"/>
    <x v="4"/>
    <x v="0"/>
    <x v="2"/>
    <x v="2"/>
    <x v="0"/>
    <n v="24"/>
    <x v="5"/>
    <x v="0"/>
  </r>
  <r>
    <n v="65671"/>
    <x v="4"/>
    <x v="0"/>
    <x v="4"/>
    <x v="4"/>
    <x v="1"/>
    <x v="2"/>
    <x v="2"/>
    <x v="0"/>
    <n v="24"/>
    <x v="6"/>
    <x v="0"/>
  </r>
  <r>
    <n v="65672"/>
    <x v="4"/>
    <x v="1"/>
    <x v="5"/>
    <x v="5"/>
    <x v="2"/>
    <x v="2"/>
    <x v="2"/>
    <x v="0"/>
    <n v="24"/>
    <x v="7"/>
    <x v="0"/>
  </r>
  <r>
    <n v="65673"/>
    <x v="4"/>
    <x v="1"/>
    <x v="6"/>
    <x v="6"/>
    <x v="2"/>
    <x v="2"/>
    <x v="2"/>
    <x v="0"/>
    <n v="24"/>
    <x v="8"/>
    <x v="0"/>
  </r>
  <r>
    <n v="65674"/>
    <x v="4"/>
    <x v="0"/>
    <x v="7"/>
    <x v="7"/>
    <x v="0"/>
    <x v="2"/>
    <x v="2"/>
    <x v="0"/>
    <n v="24"/>
    <x v="9"/>
    <x v="0"/>
  </r>
  <r>
    <n v="65675"/>
    <x v="4"/>
    <x v="0"/>
    <x v="8"/>
    <x v="8"/>
    <x v="0"/>
    <x v="2"/>
    <x v="2"/>
    <x v="0"/>
    <n v="24"/>
    <x v="10"/>
    <x v="0"/>
  </r>
  <r>
    <n v="65676"/>
    <x v="4"/>
    <x v="0"/>
    <x v="9"/>
    <x v="9"/>
    <x v="1"/>
    <x v="2"/>
    <x v="2"/>
    <x v="0"/>
    <n v="24"/>
    <x v="11"/>
    <x v="0"/>
  </r>
  <r>
    <n v="65677"/>
    <x v="4"/>
    <x v="0"/>
    <x v="10"/>
    <x v="10"/>
    <x v="1"/>
    <x v="2"/>
    <x v="2"/>
    <x v="0"/>
    <n v="24"/>
    <x v="12"/>
    <x v="0"/>
  </r>
  <r>
    <n v="65678"/>
    <x v="4"/>
    <x v="0"/>
    <x v="11"/>
    <x v="11"/>
    <x v="1"/>
    <x v="2"/>
    <x v="2"/>
    <x v="0"/>
    <n v="24"/>
    <x v="13"/>
    <x v="0"/>
  </r>
  <r>
    <n v="65679"/>
    <x v="4"/>
    <x v="0"/>
    <x v="12"/>
    <x v="12"/>
    <x v="1"/>
    <x v="2"/>
    <x v="2"/>
    <x v="0"/>
    <n v="24"/>
    <x v="14"/>
    <x v="0"/>
  </r>
  <r>
    <n v="65680"/>
    <x v="4"/>
    <x v="1"/>
    <x v="5"/>
    <x v="5"/>
    <x v="3"/>
    <x v="2"/>
    <x v="2"/>
    <x v="0"/>
    <n v="24"/>
    <x v="16"/>
    <x v="0"/>
  </r>
  <r>
    <n v="65681"/>
    <x v="4"/>
    <x v="1"/>
    <x v="6"/>
    <x v="6"/>
    <x v="3"/>
    <x v="2"/>
    <x v="2"/>
    <x v="0"/>
    <n v="24"/>
    <x v="17"/>
    <x v="0"/>
  </r>
  <r>
    <n v="65682"/>
    <x v="5"/>
    <x v="0"/>
    <x v="0"/>
    <x v="0"/>
    <x v="0"/>
    <x v="3"/>
    <x v="3"/>
    <x v="0"/>
    <n v="36"/>
    <x v="0"/>
    <x v="0"/>
  </r>
  <r>
    <n v="65684"/>
    <x v="5"/>
    <x v="0"/>
    <x v="1"/>
    <x v="1"/>
    <x v="0"/>
    <x v="3"/>
    <x v="3"/>
    <x v="0"/>
    <n v="36"/>
    <x v="1"/>
    <x v="0"/>
  </r>
  <r>
    <n v="65685"/>
    <x v="5"/>
    <x v="0"/>
    <x v="1"/>
    <x v="1"/>
    <x v="1"/>
    <x v="3"/>
    <x v="3"/>
    <x v="0"/>
    <n v="36"/>
    <x v="2"/>
    <x v="0"/>
  </r>
  <r>
    <n v="65686"/>
    <x v="5"/>
    <x v="0"/>
    <x v="2"/>
    <x v="2"/>
    <x v="1"/>
    <x v="3"/>
    <x v="3"/>
    <x v="0"/>
    <n v="36"/>
    <x v="3"/>
    <x v="0"/>
  </r>
  <r>
    <n v="65687"/>
    <x v="5"/>
    <x v="0"/>
    <x v="3"/>
    <x v="3"/>
    <x v="1"/>
    <x v="3"/>
    <x v="3"/>
    <x v="0"/>
    <n v="36"/>
    <x v="4"/>
    <x v="0"/>
  </r>
  <r>
    <n v="65688"/>
    <x v="5"/>
    <x v="0"/>
    <x v="4"/>
    <x v="4"/>
    <x v="0"/>
    <x v="3"/>
    <x v="3"/>
    <x v="0"/>
    <n v="36"/>
    <x v="5"/>
    <x v="0"/>
  </r>
  <r>
    <n v="65689"/>
    <x v="5"/>
    <x v="0"/>
    <x v="4"/>
    <x v="4"/>
    <x v="1"/>
    <x v="3"/>
    <x v="3"/>
    <x v="0"/>
    <n v="36"/>
    <x v="6"/>
    <x v="0"/>
  </r>
  <r>
    <n v="65690"/>
    <x v="5"/>
    <x v="1"/>
    <x v="5"/>
    <x v="5"/>
    <x v="2"/>
    <x v="3"/>
    <x v="3"/>
    <x v="0"/>
    <n v="36"/>
    <x v="7"/>
    <x v="0"/>
  </r>
  <r>
    <n v="65691"/>
    <x v="5"/>
    <x v="1"/>
    <x v="6"/>
    <x v="6"/>
    <x v="2"/>
    <x v="3"/>
    <x v="3"/>
    <x v="0"/>
    <n v="36"/>
    <x v="8"/>
    <x v="0"/>
  </r>
  <r>
    <n v="65692"/>
    <x v="5"/>
    <x v="0"/>
    <x v="7"/>
    <x v="7"/>
    <x v="0"/>
    <x v="3"/>
    <x v="3"/>
    <x v="0"/>
    <n v="36"/>
    <x v="9"/>
    <x v="0"/>
  </r>
  <r>
    <n v="65693"/>
    <x v="5"/>
    <x v="0"/>
    <x v="8"/>
    <x v="8"/>
    <x v="0"/>
    <x v="3"/>
    <x v="3"/>
    <x v="0"/>
    <n v="36"/>
    <x v="10"/>
    <x v="0"/>
  </r>
  <r>
    <n v="65694"/>
    <x v="5"/>
    <x v="0"/>
    <x v="9"/>
    <x v="9"/>
    <x v="1"/>
    <x v="3"/>
    <x v="3"/>
    <x v="0"/>
    <n v="36"/>
    <x v="11"/>
    <x v="0"/>
  </r>
  <r>
    <n v="65695"/>
    <x v="5"/>
    <x v="0"/>
    <x v="10"/>
    <x v="10"/>
    <x v="1"/>
    <x v="3"/>
    <x v="3"/>
    <x v="0"/>
    <n v="36"/>
    <x v="12"/>
    <x v="0"/>
  </r>
  <r>
    <n v="65696"/>
    <x v="5"/>
    <x v="0"/>
    <x v="11"/>
    <x v="11"/>
    <x v="1"/>
    <x v="3"/>
    <x v="3"/>
    <x v="0"/>
    <n v="36"/>
    <x v="13"/>
    <x v="0"/>
  </r>
  <r>
    <n v="65697"/>
    <x v="5"/>
    <x v="0"/>
    <x v="12"/>
    <x v="12"/>
    <x v="1"/>
    <x v="3"/>
    <x v="3"/>
    <x v="0"/>
    <n v="36"/>
    <x v="14"/>
    <x v="0"/>
  </r>
  <r>
    <n v="65700"/>
    <x v="3"/>
    <x v="0"/>
    <x v="0"/>
    <x v="0"/>
    <x v="0"/>
    <x v="3"/>
    <x v="3"/>
    <x v="0"/>
    <n v="37"/>
    <x v="0"/>
    <x v="0"/>
  </r>
  <r>
    <n v="65699"/>
    <x v="5"/>
    <x v="1"/>
    <x v="6"/>
    <x v="6"/>
    <x v="3"/>
    <x v="3"/>
    <x v="3"/>
    <x v="0"/>
    <n v="36"/>
    <x v="17"/>
    <x v="0"/>
  </r>
  <r>
    <n v="65683"/>
    <x v="5"/>
    <x v="3"/>
    <x v="0"/>
    <x v="0"/>
    <x v="1"/>
    <x v="3"/>
    <x v="3"/>
    <x v="0"/>
    <n v="36"/>
    <x v="15"/>
    <x v="0"/>
  </r>
  <r>
    <n v="65702"/>
    <x v="3"/>
    <x v="0"/>
    <x v="1"/>
    <x v="1"/>
    <x v="0"/>
    <x v="3"/>
    <x v="3"/>
    <x v="0"/>
    <n v="37"/>
    <x v="1"/>
    <x v="0"/>
  </r>
  <r>
    <n v="65703"/>
    <x v="3"/>
    <x v="0"/>
    <x v="1"/>
    <x v="1"/>
    <x v="1"/>
    <x v="3"/>
    <x v="3"/>
    <x v="0"/>
    <n v="37"/>
    <x v="2"/>
    <x v="0"/>
  </r>
  <r>
    <n v="65704"/>
    <x v="3"/>
    <x v="0"/>
    <x v="2"/>
    <x v="2"/>
    <x v="1"/>
    <x v="3"/>
    <x v="3"/>
    <x v="0"/>
    <n v="37"/>
    <x v="3"/>
    <x v="0"/>
  </r>
  <r>
    <n v="65705"/>
    <x v="3"/>
    <x v="0"/>
    <x v="3"/>
    <x v="3"/>
    <x v="1"/>
    <x v="3"/>
    <x v="3"/>
    <x v="0"/>
    <n v="37"/>
    <x v="4"/>
    <x v="0"/>
  </r>
  <r>
    <n v="65706"/>
    <x v="3"/>
    <x v="0"/>
    <x v="4"/>
    <x v="4"/>
    <x v="0"/>
    <x v="3"/>
    <x v="3"/>
    <x v="0"/>
    <n v="37"/>
    <x v="5"/>
    <x v="0"/>
  </r>
  <r>
    <n v="65707"/>
    <x v="3"/>
    <x v="0"/>
    <x v="4"/>
    <x v="4"/>
    <x v="1"/>
    <x v="3"/>
    <x v="3"/>
    <x v="0"/>
    <n v="37"/>
    <x v="6"/>
    <x v="0"/>
  </r>
  <r>
    <n v="65708"/>
    <x v="3"/>
    <x v="1"/>
    <x v="5"/>
    <x v="5"/>
    <x v="2"/>
    <x v="3"/>
    <x v="3"/>
    <x v="0"/>
    <n v="37"/>
    <x v="7"/>
    <x v="0"/>
  </r>
  <r>
    <n v="65709"/>
    <x v="3"/>
    <x v="1"/>
    <x v="6"/>
    <x v="6"/>
    <x v="2"/>
    <x v="3"/>
    <x v="3"/>
    <x v="0"/>
    <n v="37"/>
    <x v="8"/>
    <x v="0"/>
  </r>
  <r>
    <n v="65710"/>
    <x v="3"/>
    <x v="0"/>
    <x v="7"/>
    <x v="7"/>
    <x v="0"/>
    <x v="3"/>
    <x v="3"/>
    <x v="0"/>
    <n v="37"/>
    <x v="9"/>
    <x v="0"/>
  </r>
  <r>
    <n v="65711"/>
    <x v="3"/>
    <x v="0"/>
    <x v="8"/>
    <x v="8"/>
    <x v="0"/>
    <x v="3"/>
    <x v="3"/>
    <x v="0"/>
    <n v="37"/>
    <x v="10"/>
    <x v="0"/>
  </r>
  <r>
    <n v="65712"/>
    <x v="3"/>
    <x v="0"/>
    <x v="9"/>
    <x v="9"/>
    <x v="1"/>
    <x v="3"/>
    <x v="3"/>
    <x v="0"/>
    <n v="37"/>
    <x v="11"/>
    <x v="0"/>
  </r>
  <r>
    <n v="65713"/>
    <x v="3"/>
    <x v="0"/>
    <x v="10"/>
    <x v="10"/>
    <x v="1"/>
    <x v="3"/>
    <x v="3"/>
    <x v="0"/>
    <n v="37"/>
    <x v="12"/>
    <x v="0"/>
  </r>
  <r>
    <n v="65714"/>
    <x v="3"/>
    <x v="0"/>
    <x v="11"/>
    <x v="11"/>
    <x v="1"/>
    <x v="3"/>
    <x v="3"/>
    <x v="0"/>
    <n v="37"/>
    <x v="13"/>
    <x v="0"/>
  </r>
  <r>
    <n v="65715"/>
    <x v="3"/>
    <x v="0"/>
    <x v="12"/>
    <x v="12"/>
    <x v="1"/>
    <x v="3"/>
    <x v="3"/>
    <x v="0"/>
    <n v="37"/>
    <x v="14"/>
    <x v="0"/>
  </r>
  <r>
    <n v="65718"/>
    <x v="4"/>
    <x v="0"/>
    <x v="0"/>
    <x v="0"/>
    <x v="0"/>
    <x v="3"/>
    <x v="3"/>
    <x v="0"/>
    <n v="38"/>
    <x v="0"/>
    <x v="0"/>
  </r>
  <r>
    <n v="65720"/>
    <x v="4"/>
    <x v="0"/>
    <x v="1"/>
    <x v="1"/>
    <x v="0"/>
    <x v="3"/>
    <x v="3"/>
    <x v="0"/>
    <n v="38"/>
    <x v="1"/>
    <x v="0"/>
  </r>
  <r>
    <n v="65721"/>
    <x v="4"/>
    <x v="0"/>
    <x v="1"/>
    <x v="1"/>
    <x v="1"/>
    <x v="3"/>
    <x v="3"/>
    <x v="0"/>
    <n v="38"/>
    <x v="2"/>
    <x v="0"/>
  </r>
  <r>
    <n v="65722"/>
    <x v="4"/>
    <x v="0"/>
    <x v="2"/>
    <x v="2"/>
    <x v="1"/>
    <x v="3"/>
    <x v="3"/>
    <x v="0"/>
    <n v="38"/>
    <x v="3"/>
    <x v="0"/>
  </r>
  <r>
    <n v="65723"/>
    <x v="4"/>
    <x v="0"/>
    <x v="3"/>
    <x v="3"/>
    <x v="1"/>
    <x v="3"/>
    <x v="3"/>
    <x v="0"/>
    <n v="38"/>
    <x v="4"/>
    <x v="0"/>
  </r>
  <r>
    <n v="65724"/>
    <x v="4"/>
    <x v="0"/>
    <x v="4"/>
    <x v="4"/>
    <x v="0"/>
    <x v="3"/>
    <x v="3"/>
    <x v="0"/>
    <n v="38"/>
    <x v="5"/>
    <x v="0"/>
  </r>
  <r>
    <n v="65725"/>
    <x v="4"/>
    <x v="0"/>
    <x v="4"/>
    <x v="4"/>
    <x v="1"/>
    <x v="3"/>
    <x v="3"/>
    <x v="0"/>
    <n v="38"/>
    <x v="6"/>
    <x v="0"/>
  </r>
  <r>
    <n v="65726"/>
    <x v="4"/>
    <x v="1"/>
    <x v="5"/>
    <x v="5"/>
    <x v="2"/>
    <x v="3"/>
    <x v="3"/>
    <x v="0"/>
    <n v="38"/>
    <x v="7"/>
    <x v="0"/>
  </r>
  <r>
    <n v="65727"/>
    <x v="4"/>
    <x v="1"/>
    <x v="6"/>
    <x v="6"/>
    <x v="2"/>
    <x v="3"/>
    <x v="3"/>
    <x v="0"/>
    <n v="38"/>
    <x v="8"/>
    <x v="0"/>
  </r>
  <r>
    <n v="65728"/>
    <x v="4"/>
    <x v="0"/>
    <x v="7"/>
    <x v="7"/>
    <x v="0"/>
    <x v="3"/>
    <x v="3"/>
    <x v="0"/>
    <n v="38"/>
    <x v="9"/>
    <x v="0"/>
  </r>
  <r>
    <n v="65729"/>
    <x v="4"/>
    <x v="0"/>
    <x v="8"/>
    <x v="8"/>
    <x v="0"/>
    <x v="3"/>
    <x v="3"/>
    <x v="0"/>
    <n v="38"/>
    <x v="10"/>
    <x v="0"/>
  </r>
  <r>
    <n v="65730"/>
    <x v="4"/>
    <x v="0"/>
    <x v="9"/>
    <x v="9"/>
    <x v="1"/>
    <x v="3"/>
    <x v="3"/>
    <x v="0"/>
    <n v="38"/>
    <x v="11"/>
    <x v="0"/>
  </r>
  <r>
    <n v="65731"/>
    <x v="4"/>
    <x v="0"/>
    <x v="10"/>
    <x v="10"/>
    <x v="1"/>
    <x v="3"/>
    <x v="3"/>
    <x v="0"/>
    <n v="38"/>
    <x v="12"/>
    <x v="0"/>
  </r>
  <r>
    <n v="65732"/>
    <x v="4"/>
    <x v="0"/>
    <x v="11"/>
    <x v="11"/>
    <x v="1"/>
    <x v="3"/>
    <x v="3"/>
    <x v="0"/>
    <n v="38"/>
    <x v="13"/>
    <x v="0"/>
  </r>
  <r>
    <n v="65733"/>
    <x v="4"/>
    <x v="0"/>
    <x v="12"/>
    <x v="12"/>
    <x v="1"/>
    <x v="3"/>
    <x v="3"/>
    <x v="0"/>
    <n v="38"/>
    <x v="14"/>
    <x v="0"/>
  </r>
  <r>
    <n v="65736"/>
    <x v="6"/>
    <x v="0"/>
    <x v="0"/>
    <x v="0"/>
    <x v="0"/>
    <x v="4"/>
    <x v="4"/>
    <x v="1"/>
    <n v="25"/>
    <x v="0"/>
    <x v="0"/>
  </r>
  <r>
    <n v="65737"/>
    <x v="6"/>
    <x v="0"/>
    <x v="0"/>
    <x v="0"/>
    <x v="1"/>
    <x v="4"/>
    <x v="4"/>
    <x v="1"/>
    <n v="25"/>
    <x v="15"/>
    <x v="0"/>
  </r>
  <r>
    <n v="65738"/>
    <x v="6"/>
    <x v="0"/>
    <x v="1"/>
    <x v="1"/>
    <x v="0"/>
    <x v="4"/>
    <x v="4"/>
    <x v="1"/>
    <n v="25"/>
    <x v="1"/>
    <x v="0"/>
  </r>
  <r>
    <n v="65739"/>
    <x v="6"/>
    <x v="0"/>
    <x v="1"/>
    <x v="1"/>
    <x v="1"/>
    <x v="4"/>
    <x v="4"/>
    <x v="1"/>
    <n v="25"/>
    <x v="2"/>
    <x v="0"/>
  </r>
  <r>
    <n v="65740"/>
    <x v="6"/>
    <x v="0"/>
    <x v="2"/>
    <x v="2"/>
    <x v="1"/>
    <x v="4"/>
    <x v="4"/>
    <x v="1"/>
    <n v="25"/>
    <x v="3"/>
    <x v="0"/>
  </r>
  <r>
    <n v="65741"/>
    <x v="6"/>
    <x v="0"/>
    <x v="3"/>
    <x v="3"/>
    <x v="1"/>
    <x v="4"/>
    <x v="4"/>
    <x v="1"/>
    <n v="25"/>
    <x v="4"/>
    <x v="0"/>
  </r>
  <r>
    <n v="65742"/>
    <x v="6"/>
    <x v="0"/>
    <x v="4"/>
    <x v="4"/>
    <x v="0"/>
    <x v="4"/>
    <x v="4"/>
    <x v="1"/>
    <n v="25"/>
    <x v="5"/>
    <x v="0"/>
  </r>
  <r>
    <n v="65743"/>
    <x v="6"/>
    <x v="0"/>
    <x v="4"/>
    <x v="4"/>
    <x v="1"/>
    <x v="4"/>
    <x v="4"/>
    <x v="1"/>
    <n v="25"/>
    <x v="6"/>
    <x v="0"/>
  </r>
  <r>
    <n v="65744"/>
    <x v="6"/>
    <x v="1"/>
    <x v="5"/>
    <x v="5"/>
    <x v="2"/>
    <x v="4"/>
    <x v="4"/>
    <x v="1"/>
    <n v="25"/>
    <x v="7"/>
    <x v="0"/>
  </r>
  <r>
    <n v="65745"/>
    <x v="6"/>
    <x v="1"/>
    <x v="6"/>
    <x v="6"/>
    <x v="2"/>
    <x v="4"/>
    <x v="4"/>
    <x v="1"/>
    <n v="25"/>
    <x v="8"/>
    <x v="0"/>
  </r>
  <r>
    <n v="65746"/>
    <x v="6"/>
    <x v="0"/>
    <x v="7"/>
    <x v="7"/>
    <x v="0"/>
    <x v="4"/>
    <x v="4"/>
    <x v="1"/>
    <n v="25"/>
    <x v="9"/>
    <x v="0"/>
  </r>
  <r>
    <n v="65747"/>
    <x v="6"/>
    <x v="0"/>
    <x v="8"/>
    <x v="8"/>
    <x v="0"/>
    <x v="4"/>
    <x v="4"/>
    <x v="1"/>
    <n v="25"/>
    <x v="10"/>
    <x v="0"/>
  </r>
  <r>
    <n v="65748"/>
    <x v="6"/>
    <x v="0"/>
    <x v="9"/>
    <x v="9"/>
    <x v="1"/>
    <x v="4"/>
    <x v="4"/>
    <x v="1"/>
    <n v="25"/>
    <x v="11"/>
    <x v="0"/>
  </r>
  <r>
    <n v="65749"/>
    <x v="6"/>
    <x v="0"/>
    <x v="10"/>
    <x v="10"/>
    <x v="1"/>
    <x v="4"/>
    <x v="4"/>
    <x v="1"/>
    <n v="25"/>
    <x v="12"/>
    <x v="0"/>
  </r>
  <r>
    <n v="65750"/>
    <x v="6"/>
    <x v="0"/>
    <x v="11"/>
    <x v="11"/>
    <x v="1"/>
    <x v="4"/>
    <x v="4"/>
    <x v="1"/>
    <n v="25"/>
    <x v="13"/>
    <x v="0"/>
  </r>
  <r>
    <n v="65751"/>
    <x v="6"/>
    <x v="0"/>
    <x v="12"/>
    <x v="12"/>
    <x v="1"/>
    <x v="4"/>
    <x v="4"/>
    <x v="1"/>
    <n v="25"/>
    <x v="14"/>
    <x v="0"/>
  </r>
  <r>
    <n v="65752"/>
    <x v="6"/>
    <x v="1"/>
    <x v="5"/>
    <x v="5"/>
    <x v="3"/>
    <x v="4"/>
    <x v="4"/>
    <x v="1"/>
    <n v="25"/>
    <x v="16"/>
    <x v="0"/>
  </r>
  <r>
    <n v="65753"/>
    <x v="6"/>
    <x v="1"/>
    <x v="6"/>
    <x v="6"/>
    <x v="3"/>
    <x v="4"/>
    <x v="4"/>
    <x v="1"/>
    <n v="25"/>
    <x v="17"/>
    <x v="0"/>
  </r>
  <r>
    <n v="65754"/>
    <x v="7"/>
    <x v="0"/>
    <x v="0"/>
    <x v="0"/>
    <x v="0"/>
    <x v="4"/>
    <x v="4"/>
    <x v="1"/>
    <n v="26"/>
    <x v="0"/>
    <x v="0"/>
  </r>
  <r>
    <n v="65755"/>
    <x v="7"/>
    <x v="0"/>
    <x v="0"/>
    <x v="0"/>
    <x v="1"/>
    <x v="4"/>
    <x v="4"/>
    <x v="1"/>
    <n v="26"/>
    <x v="15"/>
    <x v="0"/>
  </r>
  <r>
    <n v="65717"/>
    <x v="3"/>
    <x v="1"/>
    <x v="6"/>
    <x v="6"/>
    <x v="3"/>
    <x v="3"/>
    <x v="3"/>
    <x v="0"/>
    <n v="37"/>
    <x v="17"/>
    <x v="0"/>
  </r>
  <r>
    <n v="65719"/>
    <x v="4"/>
    <x v="4"/>
    <x v="0"/>
    <x v="0"/>
    <x v="1"/>
    <x v="3"/>
    <x v="3"/>
    <x v="0"/>
    <n v="38"/>
    <x v="15"/>
    <x v="0"/>
  </r>
  <r>
    <n v="65701"/>
    <x v="3"/>
    <x v="5"/>
    <x v="0"/>
    <x v="0"/>
    <x v="1"/>
    <x v="3"/>
    <x v="3"/>
    <x v="0"/>
    <n v="37"/>
    <x v="15"/>
    <x v="0"/>
  </r>
  <r>
    <n v="65735"/>
    <x v="4"/>
    <x v="1"/>
    <x v="6"/>
    <x v="6"/>
    <x v="3"/>
    <x v="3"/>
    <x v="3"/>
    <x v="0"/>
    <n v="38"/>
    <x v="17"/>
    <x v="0"/>
  </r>
  <r>
    <n v="65756"/>
    <x v="7"/>
    <x v="0"/>
    <x v="1"/>
    <x v="1"/>
    <x v="0"/>
    <x v="4"/>
    <x v="4"/>
    <x v="1"/>
    <n v="26"/>
    <x v="1"/>
    <x v="0"/>
  </r>
  <r>
    <n v="65757"/>
    <x v="7"/>
    <x v="0"/>
    <x v="1"/>
    <x v="1"/>
    <x v="1"/>
    <x v="4"/>
    <x v="4"/>
    <x v="1"/>
    <n v="26"/>
    <x v="2"/>
    <x v="0"/>
  </r>
  <r>
    <n v="65758"/>
    <x v="7"/>
    <x v="0"/>
    <x v="2"/>
    <x v="2"/>
    <x v="1"/>
    <x v="4"/>
    <x v="4"/>
    <x v="1"/>
    <n v="26"/>
    <x v="3"/>
    <x v="0"/>
  </r>
  <r>
    <n v="65759"/>
    <x v="7"/>
    <x v="0"/>
    <x v="3"/>
    <x v="3"/>
    <x v="1"/>
    <x v="4"/>
    <x v="4"/>
    <x v="1"/>
    <n v="26"/>
    <x v="4"/>
    <x v="0"/>
  </r>
  <r>
    <n v="65760"/>
    <x v="7"/>
    <x v="0"/>
    <x v="4"/>
    <x v="4"/>
    <x v="0"/>
    <x v="4"/>
    <x v="4"/>
    <x v="1"/>
    <n v="26"/>
    <x v="5"/>
    <x v="0"/>
  </r>
  <r>
    <n v="65761"/>
    <x v="7"/>
    <x v="0"/>
    <x v="4"/>
    <x v="4"/>
    <x v="1"/>
    <x v="4"/>
    <x v="4"/>
    <x v="1"/>
    <n v="26"/>
    <x v="6"/>
    <x v="0"/>
  </r>
  <r>
    <n v="65762"/>
    <x v="7"/>
    <x v="1"/>
    <x v="5"/>
    <x v="5"/>
    <x v="2"/>
    <x v="4"/>
    <x v="4"/>
    <x v="1"/>
    <n v="26"/>
    <x v="7"/>
    <x v="0"/>
  </r>
  <r>
    <n v="65763"/>
    <x v="7"/>
    <x v="1"/>
    <x v="6"/>
    <x v="6"/>
    <x v="2"/>
    <x v="4"/>
    <x v="4"/>
    <x v="1"/>
    <n v="26"/>
    <x v="8"/>
    <x v="0"/>
  </r>
  <r>
    <n v="65764"/>
    <x v="7"/>
    <x v="0"/>
    <x v="7"/>
    <x v="7"/>
    <x v="0"/>
    <x v="4"/>
    <x v="4"/>
    <x v="1"/>
    <n v="26"/>
    <x v="9"/>
    <x v="0"/>
  </r>
  <r>
    <n v="65765"/>
    <x v="7"/>
    <x v="0"/>
    <x v="8"/>
    <x v="8"/>
    <x v="0"/>
    <x v="4"/>
    <x v="4"/>
    <x v="1"/>
    <n v="26"/>
    <x v="10"/>
    <x v="0"/>
  </r>
  <r>
    <n v="65766"/>
    <x v="7"/>
    <x v="0"/>
    <x v="9"/>
    <x v="9"/>
    <x v="1"/>
    <x v="4"/>
    <x v="4"/>
    <x v="1"/>
    <n v="26"/>
    <x v="11"/>
    <x v="0"/>
  </r>
  <r>
    <n v="65767"/>
    <x v="7"/>
    <x v="0"/>
    <x v="10"/>
    <x v="10"/>
    <x v="1"/>
    <x v="4"/>
    <x v="4"/>
    <x v="1"/>
    <n v="26"/>
    <x v="12"/>
    <x v="0"/>
  </r>
  <r>
    <n v="65768"/>
    <x v="7"/>
    <x v="0"/>
    <x v="11"/>
    <x v="11"/>
    <x v="1"/>
    <x v="4"/>
    <x v="4"/>
    <x v="1"/>
    <n v="26"/>
    <x v="13"/>
    <x v="0"/>
  </r>
  <r>
    <n v="65769"/>
    <x v="7"/>
    <x v="0"/>
    <x v="12"/>
    <x v="12"/>
    <x v="1"/>
    <x v="4"/>
    <x v="4"/>
    <x v="1"/>
    <n v="26"/>
    <x v="14"/>
    <x v="0"/>
  </r>
  <r>
    <n v="65770"/>
    <x v="7"/>
    <x v="1"/>
    <x v="5"/>
    <x v="5"/>
    <x v="3"/>
    <x v="4"/>
    <x v="4"/>
    <x v="1"/>
    <n v="26"/>
    <x v="16"/>
    <x v="0"/>
  </r>
  <r>
    <n v="65771"/>
    <x v="7"/>
    <x v="1"/>
    <x v="6"/>
    <x v="6"/>
    <x v="3"/>
    <x v="4"/>
    <x v="4"/>
    <x v="1"/>
    <n v="26"/>
    <x v="17"/>
    <x v="0"/>
  </r>
  <r>
    <n v="65772"/>
    <x v="8"/>
    <x v="0"/>
    <x v="0"/>
    <x v="0"/>
    <x v="0"/>
    <x v="4"/>
    <x v="4"/>
    <x v="1"/>
    <n v="27"/>
    <x v="0"/>
    <x v="0"/>
  </r>
  <r>
    <n v="65773"/>
    <x v="8"/>
    <x v="0"/>
    <x v="0"/>
    <x v="0"/>
    <x v="1"/>
    <x v="4"/>
    <x v="4"/>
    <x v="1"/>
    <n v="27"/>
    <x v="15"/>
    <x v="0"/>
  </r>
  <r>
    <n v="65774"/>
    <x v="8"/>
    <x v="0"/>
    <x v="1"/>
    <x v="1"/>
    <x v="0"/>
    <x v="4"/>
    <x v="4"/>
    <x v="1"/>
    <n v="27"/>
    <x v="1"/>
    <x v="0"/>
  </r>
  <r>
    <n v="65775"/>
    <x v="8"/>
    <x v="0"/>
    <x v="1"/>
    <x v="1"/>
    <x v="1"/>
    <x v="4"/>
    <x v="4"/>
    <x v="1"/>
    <n v="27"/>
    <x v="2"/>
    <x v="0"/>
  </r>
  <r>
    <n v="65776"/>
    <x v="8"/>
    <x v="0"/>
    <x v="2"/>
    <x v="2"/>
    <x v="1"/>
    <x v="4"/>
    <x v="4"/>
    <x v="1"/>
    <n v="27"/>
    <x v="3"/>
    <x v="0"/>
  </r>
  <r>
    <n v="65777"/>
    <x v="8"/>
    <x v="0"/>
    <x v="3"/>
    <x v="3"/>
    <x v="1"/>
    <x v="4"/>
    <x v="4"/>
    <x v="1"/>
    <n v="27"/>
    <x v="4"/>
    <x v="0"/>
  </r>
  <r>
    <n v="65778"/>
    <x v="8"/>
    <x v="0"/>
    <x v="4"/>
    <x v="4"/>
    <x v="0"/>
    <x v="4"/>
    <x v="4"/>
    <x v="1"/>
    <n v="27"/>
    <x v="5"/>
    <x v="0"/>
  </r>
  <r>
    <n v="65779"/>
    <x v="8"/>
    <x v="0"/>
    <x v="4"/>
    <x v="4"/>
    <x v="1"/>
    <x v="4"/>
    <x v="4"/>
    <x v="1"/>
    <n v="27"/>
    <x v="6"/>
    <x v="0"/>
  </r>
  <r>
    <n v="65780"/>
    <x v="8"/>
    <x v="1"/>
    <x v="5"/>
    <x v="5"/>
    <x v="2"/>
    <x v="4"/>
    <x v="4"/>
    <x v="1"/>
    <n v="27"/>
    <x v="7"/>
    <x v="0"/>
  </r>
  <r>
    <n v="65781"/>
    <x v="8"/>
    <x v="1"/>
    <x v="6"/>
    <x v="6"/>
    <x v="2"/>
    <x v="4"/>
    <x v="4"/>
    <x v="1"/>
    <n v="27"/>
    <x v="8"/>
    <x v="0"/>
  </r>
  <r>
    <n v="65782"/>
    <x v="8"/>
    <x v="0"/>
    <x v="7"/>
    <x v="7"/>
    <x v="0"/>
    <x v="4"/>
    <x v="4"/>
    <x v="1"/>
    <n v="27"/>
    <x v="9"/>
    <x v="0"/>
  </r>
  <r>
    <n v="65783"/>
    <x v="8"/>
    <x v="0"/>
    <x v="8"/>
    <x v="8"/>
    <x v="0"/>
    <x v="4"/>
    <x v="4"/>
    <x v="1"/>
    <n v="27"/>
    <x v="10"/>
    <x v="0"/>
  </r>
  <r>
    <n v="65784"/>
    <x v="8"/>
    <x v="0"/>
    <x v="9"/>
    <x v="9"/>
    <x v="1"/>
    <x v="4"/>
    <x v="4"/>
    <x v="1"/>
    <n v="27"/>
    <x v="11"/>
    <x v="0"/>
  </r>
  <r>
    <n v="65785"/>
    <x v="8"/>
    <x v="0"/>
    <x v="10"/>
    <x v="10"/>
    <x v="1"/>
    <x v="4"/>
    <x v="4"/>
    <x v="1"/>
    <n v="27"/>
    <x v="12"/>
    <x v="0"/>
  </r>
  <r>
    <n v="65786"/>
    <x v="8"/>
    <x v="0"/>
    <x v="11"/>
    <x v="11"/>
    <x v="1"/>
    <x v="4"/>
    <x v="4"/>
    <x v="1"/>
    <n v="27"/>
    <x v="13"/>
    <x v="0"/>
  </r>
  <r>
    <n v="65787"/>
    <x v="8"/>
    <x v="0"/>
    <x v="12"/>
    <x v="12"/>
    <x v="1"/>
    <x v="4"/>
    <x v="4"/>
    <x v="1"/>
    <n v="27"/>
    <x v="14"/>
    <x v="0"/>
  </r>
  <r>
    <n v="65788"/>
    <x v="8"/>
    <x v="1"/>
    <x v="5"/>
    <x v="5"/>
    <x v="3"/>
    <x v="4"/>
    <x v="4"/>
    <x v="1"/>
    <n v="27"/>
    <x v="16"/>
    <x v="0"/>
  </r>
  <r>
    <n v="65789"/>
    <x v="8"/>
    <x v="1"/>
    <x v="6"/>
    <x v="6"/>
    <x v="3"/>
    <x v="4"/>
    <x v="4"/>
    <x v="1"/>
    <n v="27"/>
    <x v="17"/>
    <x v="0"/>
  </r>
  <r>
    <n v="65790"/>
    <x v="9"/>
    <x v="0"/>
    <x v="0"/>
    <x v="0"/>
    <x v="0"/>
    <x v="4"/>
    <x v="4"/>
    <x v="1"/>
    <n v="28"/>
    <x v="0"/>
    <x v="0"/>
  </r>
  <r>
    <n v="65791"/>
    <x v="9"/>
    <x v="0"/>
    <x v="0"/>
    <x v="0"/>
    <x v="1"/>
    <x v="4"/>
    <x v="4"/>
    <x v="1"/>
    <n v="28"/>
    <x v="15"/>
    <x v="0"/>
  </r>
  <r>
    <n v="65792"/>
    <x v="9"/>
    <x v="0"/>
    <x v="1"/>
    <x v="1"/>
    <x v="0"/>
    <x v="4"/>
    <x v="4"/>
    <x v="1"/>
    <n v="28"/>
    <x v="1"/>
    <x v="0"/>
  </r>
  <r>
    <n v="65793"/>
    <x v="9"/>
    <x v="0"/>
    <x v="1"/>
    <x v="1"/>
    <x v="1"/>
    <x v="4"/>
    <x v="4"/>
    <x v="1"/>
    <n v="28"/>
    <x v="2"/>
    <x v="0"/>
  </r>
  <r>
    <n v="65794"/>
    <x v="9"/>
    <x v="0"/>
    <x v="2"/>
    <x v="2"/>
    <x v="1"/>
    <x v="4"/>
    <x v="4"/>
    <x v="1"/>
    <n v="28"/>
    <x v="3"/>
    <x v="0"/>
  </r>
  <r>
    <n v="65795"/>
    <x v="9"/>
    <x v="0"/>
    <x v="3"/>
    <x v="3"/>
    <x v="1"/>
    <x v="4"/>
    <x v="4"/>
    <x v="1"/>
    <n v="28"/>
    <x v="4"/>
    <x v="0"/>
  </r>
  <r>
    <n v="65796"/>
    <x v="9"/>
    <x v="0"/>
    <x v="4"/>
    <x v="4"/>
    <x v="0"/>
    <x v="4"/>
    <x v="4"/>
    <x v="1"/>
    <n v="28"/>
    <x v="5"/>
    <x v="0"/>
  </r>
  <r>
    <n v="65797"/>
    <x v="9"/>
    <x v="0"/>
    <x v="4"/>
    <x v="4"/>
    <x v="1"/>
    <x v="4"/>
    <x v="4"/>
    <x v="1"/>
    <n v="28"/>
    <x v="6"/>
    <x v="0"/>
  </r>
  <r>
    <n v="65798"/>
    <x v="9"/>
    <x v="1"/>
    <x v="5"/>
    <x v="5"/>
    <x v="2"/>
    <x v="4"/>
    <x v="4"/>
    <x v="1"/>
    <n v="28"/>
    <x v="7"/>
    <x v="0"/>
  </r>
  <r>
    <n v="65799"/>
    <x v="9"/>
    <x v="1"/>
    <x v="6"/>
    <x v="6"/>
    <x v="2"/>
    <x v="4"/>
    <x v="4"/>
    <x v="1"/>
    <n v="28"/>
    <x v="8"/>
    <x v="0"/>
  </r>
  <r>
    <n v="65800"/>
    <x v="9"/>
    <x v="0"/>
    <x v="7"/>
    <x v="7"/>
    <x v="0"/>
    <x v="4"/>
    <x v="4"/>
    <x v="1"/>
    <n v="28"/>
    <x v="9"/>
    <x v="0"/>
  </r>
  <r>
    <n v="65801"/>
    <x v="9"/>
    <x v="0"/>
    <x v="8"/>
    <x v="8"/>
    <x v="0"/>
    <x v="4"/>
    <x v="4"/>
    <x v="1"/>
    <n v="28"/>
    <x v="10"/>
    <x v="0"/>
  </r>
  <r>
    <n v="65802"/>
    <x v="9"/>
    <x v="0"/>
    <x v="9"/>
    <x v="9"/>
    <x v="1"/>
    <x v="4"/>
    <x v="4"/>
    <x v="1"/>
    <n v="28"/>
    <x v="11"/>
    <x v="0"/>
  </r>
  <r>
    <n v="65803"/>
    <x v="9"/>
    <x v="0"/>
    <x v="10"/>
    <x v="10"/>
    <x v="1"/>
    <x v="4"/>
    <x v="4"/>
    <x v="1"/>
    <n v="28"/>
    <x v="12"/>
    <x v="0"/>
  </r>
  <r>
    <n v="65804"/>
    <x v="9"/>
    <x v="0"/>
    <x v="11"/>
    <x v="11"/>
    <x v="1"/>
    <x v="4"/>
    <x v="4"/>
    <x v="1"/>
    <n v="28"/>
    <x v="13"/>
    <x v="0"/>
  </r>
  <r>
    <n v="65805"/>
    <x v="9"/>
    <x v="0"/>
    <x v="12"/>
    <x v="12"/>
    <x v="1"/>
    <x v="4"/>
    <x v="4"/>
    <x v="1"/>
    <n v="28"/>
    <x v="14"/>
    <x v="0"/>
  </r>
  <r>
    <n v="65806"/>
    <x v="9"/>
    <x v="1"/>
    <x v="5"/>
    <x v="5"/>
    <x v="3"/>
    <x v="4"/>
    <x v="4"/>
    <x v="1"/>
    <n v="28"/>
    <x v="16"/>
    <x v="0"/>
  </r>
  <r>
    <n v="65807"/>
    <x v="9"/>
    <x v="1"/>
    <x v="6"/>
    <x v="6"/>
    <x v="3"/>
    <x v="4"/>
    <x v="4"/>
    <x v="1"/>
    <n v="28"/>
    <x v="17"/>
    <x v="0"/>
  </r>
  <r>
    <n v="65808"/>
    <x v="10"/>
    <x v="0"/>
    <x v="0"/>
    <x v="0"/>
    <x v="0"/>
    <x v="4"/>
    <x v="4"/>
    <x v="1"/>
    <n v="29"/>
    <x v="0"/>
    <x v="0"/>
  </r>
  <r>
    <n v="65809"/>
    <x v="10"/>
    <x v="0"/>
    <x v="0"/>
    <x v="0"/>
    <x v="1"/>
    <x v="4"/>
    <x v="4"/>
    <x v="1"/>
    <n v="29"/>
    <x v="15"/>
    <x v="0"/>
  </r>
  <r>
    <n v="65810"/>
    <x v="10"/>
    <x v="0"/>
    <x v="1"/>
    <x v="1"/>
    <x v="0"/>
    <x v="4"/>
    <x v="4"/>
    <x v="1"/>
    <n v="29"/>
    <x v="1"/>
    <x v="0"/>
  </r>
  <r>
    <n v="65811"/>
    <x v="10"/>
    <x v="0"/>
    <x v="1"/>
    <x v="1"/>
    <x v="1"/>
    <x v="4"/>
    <x v="4"/>
    <x v="1"/>
    <n v="29"/>
    <x v="2"/>
    <x v="0"/>
  </r>
  <r>
    <n v="65812"/>
    <x v="10"/>
    <x v="0"/>
    <x v="2"/>
    <x v="2"/>
    <x v="1"/>
    <x v="4"/>
    <x v="4"/>
    <x v="1"/>
    <n v="29"/>
    <x v="3"/>
    <x v="0"/>
  </r>
  <r>
    <n v="65813"/>
    <x v="10"/>
    <x v="0"/>
    <x v="3"/>
    <x v="3"/>
    <x v="1"/>
    <x v="4"/>
    <x v="4"/>
    <x v="1"/>
    <n v="29"/>
    <x v="4"/>
    <x v="0"/>
  </r>
  <r>
    <n v="65814"/>
    <x v="10"/>
    <x v="0"/>
    <x v="4"/>
    <x v="4"/>
    <x v="0"/>
    <x v="4"/>
    <x v="4"/>
    <x v="1"/>
    <n v="29"/>
    <x v="5"/>
    <x v="0"/>
  </r>
  <r>
    <n v="65815"/>
    <x v="10"/>
    <x v="0"/>
    <x v="4"/>
    <x v="4"/>
    <x v="1"/>
    <x v="4"/>
    <x v="4"/>
    <x v="1"/>
    <n v="29"/>
    <x v="6"/>
    <x v="0"/>
  </r>
  <r>
    <n v="65816"/>
    <x v="10"/>
    <x v="1"/>
    <x v="5"/>
    <x v="5"/>
    <x v="2"/>
    <x v="4"/>
    <x v="4"/>
    <x v="1"/>
    <n v="29"/>
    <x v="7"/>
    <x v="0"/>
  </r>
  <r>
    <n v="65817"/>
    <x v="10"/>
    <x v="1"/>
    <x v="6"/>
    <x v="6"/>
    <x v="2"/>
    <x v="4"/>
    <x v="4"/>
    <x v="1"/>
    <n v="29"/>
    <x v="8"/>
    <x v="0"/>
  </r>
  <r>
    <n v="65818"/>
    <x v="10"/>
    <x v="0"/>
    <x v="7"/>
    <x v="7"/>
    <x v="0"/>
    <x v="4"/>
    <x v="4"/>
    <x v="1"/>
    <n v="29"/>
    <x v="9"/>
    <x v="0"/>
  </r>
  <r>
    <n v="65819"/>
    <x v="10"/>
    <x v="0"/>
    <x v="8"/>
    <x v="8"/>
    <x v="0"/>
    <x v="4"/>
    <x v="4"/>
    <x v="1"/>
    <n v="29"/>
    <x v="10"/>
    <x v="0"/>
  </r>
  <r>
    <n v="65820"/>
    <x v="10"/>
    <x v="0"/>
    <x v="9"/>
    <x v="9"/>
    <x v="1"/>
    <x v="4"/>
    <x v="4"/>
    <x v="1"/>
    <n v="29"/>
    <x v="11"/>
    <x v="0"/>
  </r>
  <r>
    <n v="65821"/>
    <x v="10"/>
    <x v="0"/>
    <x v="10"/>
    <x v="10"/>
    <x v="1"/>
    <x v="4"/>
    <x v="4"/>
    <x v="1"/>
    <n v="29"/>
    <x v="12"/>
    <x v="0"/>
  </r>
  <r>
    <n v="65822"/>
    <x v="10"/>
    <x v="0"/>
    <x v="11"/>
    <x v="11"/>
    <x v="1"/>
    <x v="4"/>
    <x v="4"/>
    <x v="1"/>
    <n v="29"/>
    <x v="13"/>
    <x v="0"/>
  </r>
  <r>
    <n v="65823"/>
    <x v="10"/>
    <x v="0"/>
    <x v="12"/>
    <x v="12"/>
    <x v="1"/>
    <x v="4"/>
    <x v="4"/>
    <x v="1"/>
    <n v="29"/>
    <x v="14"/>
    <x v="0"/>
  </r>
  <r>
    <n v="65824"/>
    <x v="10"/>
    <x v="1"/>
    <x v="5"/>
    <x v="5"/>
    <x v="3"/>
    <x v="4"/>
    <x v="4"/>
    <x v="1"/>
    <n v="29"/>
    <x v="16"/>
    <x v="0"/>
  </r>
  <r>
    <n v="65825"/>
    <x v="10"/>
    <x v="1"/>
    <x v="6"/>
    <x v="6"/>
    <x v="3"/>
    <x v="4"/>
    <x v="4"/>
    <x v="1"/>
    <n v="29"/>
    <x v="17"/>
    <x v="0"/>
  </r>
  <r>
    <n v="65826"/>
    <x v="11"/>
    <x v="0"/>
    <x v="0"/>
    <x v="0"/>
    <x v="0"/>
    <x v="4"/>
    <x v="4"/>
    <x v="1"/>
    <n v="30"/>
    <x v="0"/>
    <x v="0"/>
  </r>
  <r>
    <n v="65827"/>
    <x v="11"/>
    <x v="0"/>
    <x v="0"/>
    <x v="0"/>
    <x v="1"/>
    <x v="4"/>
    <x v="4"/>
    <x v="1"/>
    <n v="30"/>
    <x v="15"/>
    <x v="0"/>
  </r>
  <r>
    <n v="65828"/>
    <x v="11"/>
    <x v="0"/>
    <x v="1"/>
    <x v="1"/>
    <x v="0"/>
    <x v="4"/>
    <x v="4"/>
    <x v="1"/>
    <n v="30"/>
    <x v="1"/>
    <x v="0"/>
  </r>
  <r>
    <n v="65829"/>
    <x v="11"/>
    <x v="0"/>
    <x v="1"/>
    <x v="1"/>
    <x v="1"/>
    <x v="4"/>
    <x v="4"/>
    <x v="1"/>
    <n v="30"/>
    <x v="2"/>
    <x v="0"/>
  </r>
  <r>
    <n v="65830"/>
    <x v="11"/>
    <x v="0"/>
    <x v="2"/>
    <x v="2"/>
    <x v="1"/>
    <x v="4"/>
    <x v="4"/>
    <x v="1"/>
    <n v="30"/>
    <x v="3"/>
    <x v="0"/>
  </r>
  <r>
    <n v="65831"/>
    <x v="11"/>
    <x v="0"/>
    <x v="3"/>
    <x v="3"/>
    <x v="1"/>
    <x v="4"/>
    <x v="4"/>
    <x v="1"/>
    <n v="30"/>
    <x v="4"/>
    <x v="0"/>
  </r>
  <r>
    <n v="65832"/>
    <x v="11"/>
    <x v="0"/>
    <x v="4"/>
    <x v="4"/>
    <x v="0"/>
    <x v="4"/>
    <x v="4"/>
    <x v="1"/>
    <n v="30"/>
    <x v="5"/>
    <x v="0"/>
  </r>
  <r>
    <n v="65833"/>
    <x v="11"/>
    <x v="0"/>
    <x v="4"/>
    <x v="4"/>
    <x v="1"/>
    <x v="4"/>
    <x v="4"/>
    <x v="1"/>
    <n v="30"/>
    <x v="6"/>
    <x v="0"/>
  </r>
  <r>
    <n v="65834"/>
    <x v="11"/>
    <x v="1"/>
    <x v="5"/>
    <x v="5"/>
    <x v="2"/>
    <x v="4"/>
    <x v="4"/>
    <x v="1"/>
    <n v="30"/>
    <x v="7"/>
    <x v="0"/>
  </r>
  <r>
    <n v="65835"/>
    <x v="11"/>
    <x v="1"/>
    <x v="6"/>
    <x v="6"/>
    <x v="2"/>
    <x v="4"/>
    <x v="4"/>
    <x v="1"/>
    <n v="30"/>
    <x v="8"/>
    <x v="0"/>
  </r>
  <r>
    <n v="65836"/>
    <x v="11"/>
    <x v="0"/>
    <x v="7"/>
    <x v="7"/>
    <x v="0"/>
    <x v="4"/>
    <x v="4"/>
    <x v="1"/>
    <n v="30"/>
    <x v="9"/>
    <x v="0"/>
  </r>
  <r>
    <n v="65837"/>
    <x v="11"/>
    <x v="0"/>
    <x v="8"/>
    <x v="8"/>
    <x v="0"/>
    <x v="4"/>
    <x v="4"/>
    <x v="1"/>
    <n v="30"/>
    <x v="10"/>
    <x v="0"/>
  </r>
  <r>
    <n v="65838"/>
    <x v="11"/>
    <x v="0"/>
    <x v="9"/>
    <x v="9"/>
    <x v="1"/>
    <x v="4"/>
    <x v="4"/>
    <x v="1"/>
    <n v="30"/>
    <x v="11"/>
    <x v="0"/>
  </r>
  <r>
    <n v="65839"/>
    <x v="11"/>
    <x v="0"/>
    <x v="10"/>
    <x v="10"/>
    <x v="1"/>
    <x v="4"/>
    <x v="4"/>
    <x v="1"/>
    <n v="30"/>
    <x v="12"/>
    <x v="0"/>
  </r>
  <r>
    <n v="65840"/>
    <x v="11"/>
    <x v="0"/>
    <x v="11"/>
    <x v="11"/>
    <x v="1"/>
    <x v="4"/>
    <x v="4"/>
    <x v="1"/>
    <n v="30"/>
    <x v="13"/>
    <x v="0"/>
  </r>
  <r>
    <n v="65841"/>
    <x v="11"/>
    <x v="0"/>
    <x v="12"/>
    <x v="12"/>
    <x v="1"/>
    <x v="4"/>
    <x v="4"/>
    <x v="1"/>
    <n v="30"/>
    <x v="14"/>
    <x v="0"/>
  </r>
  <r>
    <n v="65842"/>
    <x v="11"/>
    <x v="1"/>
    <x v="5"/>
    <x v="5"/>
    <x v="3"/>
    <x v="4"/>
    <x v="4"/>
    <x v="1"/>
    <n v="30"/>
    <x v="16"/>
    <x v="0"/>
  </r>
  <r>
    <n v="65843"/>
    <x v="11"/>
    <x v="1"/>
    <x v="6"/>
    <x v="6"/>
    <x v="3"/>
    <x v="4"/>
    <x v="4"/>
    <x v="1"/>
    <n v="30"/>
    <x v="17"/>
    <x v="0"/>
  </r>
  <r>
    <n v="65844"/>
    <x v="12"/>
    <x v="0"/>
    <x v="0"/>
    <x v="0"/>
    <x v="0"/>
    <x v="4"/>
    <x v="4"/>
    <x v="1"/>
    <n v="31"/>
    <x v="0"/>
    <x v="0"/>
  </r>
  <r>
    <n v="65845"/>
    <x v="12"/>
    <x v="0"/>
    <x v="0"/>
    <x v="0"/>
    <x v="1"/>
    <x v="4"/>
    <x v="4"/>
    <x v="1"/>
    <n v="31"/>
    <x v="15"/>
    <x v="0"/>
  </r>
  <r>
    <n v="65846"/>
    <x v="12"/>
    <x v="0"/>
    <x v="1"/>
    <x v="1"/>
    <x v="0"/>
    <x v="4"/>
    <x v="4"/>
    <x v="1"/>
    <n v="31"/>
    <x v="1"/>
    <x v="0"/>
  </r>
  <r>
    <n v="65847"/>
    <x v="12"/>
    <x v="0"/>
    <x v="1"/>
    <x v="1"/>
    <x v="1"/>
    <x v="4"/>
    <x v="4"/>
    <x v="1"/>
    <n v="31"/>
    <x v="2"/>
    <x v="0"/>
  </r>
  <r>
    <n v="65848"/>
    <x v="12"/>
    <x v="0"/>
    <x v="2"/>
    <x v="2"/>
    <x v="1"/>
    <x v="4"/>
    <x v="4"/>
    <x v="1"/>
    <n v="31"/>
    <x v="3"/>
    <x v="0"/>
  </r>
  <r>
    <n v="65849"/>
    <x v="12"/>
    <x v="0"/>
    <x v="3"/>
    <x v="3"/>
    <x v="1"/>
    <x v="4"/>
    <x v="4"/>
    <x v="1"/>
    <n v="31"/>
    <x v="4"/>
    <x v="0"/>
  </r>
  <r>
    <n v="65850"/>
    <x v="12"/>
    <x v="0"/>
    <x v="4"/>
    <x v="4"/>
    <x v="0"/>
    <x v="4"/>
    <x v="4"/>
    <x v="1"/>
    <n v="31"/>
    <x v="5"/>
    <x v="0"/>
  </r>
  <r>
    <n v="65851"/>
    <x v="12"/>
    <x v="0"/>
    <x v="4"/>
    <x v="4"/>
    <x v="1"/>
    <x v="4"/>
    <x v="4"/>
    <x v="1"/>
    <n v="31"/>
    <x v="6"/>
    <x v="0"/>
  </r>
  <r>
    <n v="65852"/>
    <x v="12"/>
    <x v="1"/>
    <x v="5"/>
    <x v="5"/>
    <x v="2"/>
    <x v="4"/>
    <x v="4"/>
    <x v="1"/>
    <n v="31"/>
    <x v="7"/>
    <x v="0"/>
  </r>
  <r>
    <n v="65853"/>
    <x v="12"/>
    <x v="1"/>
    <x v="6"/>
    <x v="6"/>
    <x v="2"/>
    <x v="4"/>
    <x v="4"/>
    <x v="1"/>
    <n v="31"/>
    <x v="8"/>
    <x v="0"/>
  </r>
  <r>
    <n v="65854"/>
    <x v="12"/>
    <x v="0"/>
    <x v="7"/>
    <x v="7"/>
    <x v="0"/>
    <x v="4"/>
    <x v="4"/>
    <x v="1"/>
    <n v="31"/>
    <x v="9"/>
    <x v="0"/>
  </r>
  <r>
    <n v="65855"/>
    <x v="12"/>
    <x v="0"/>
    <x v="8"/>
    <x v="8"/>
    <x v="0"/>
    <x v="4"/>
    <x v="4"/>
    <x v="1"/>
    <n v="31"/>
    <x v="10"/>
    <x v="0"/>
  </r>
  <r>
    <n v="65856"/>
    <x v="12"/>
    <x v="0"/>
    <x v="9"/>
    <x v="9"/>
    <x v="1"/>
    <x v="4"/>
    <x v="4"/>
    <x v="1"/>
    <n v="31"/>
    <x v="11"/>
    <x v="0"/>
  </r>
  <r>
    <n v="65857"/>
    <x v="12"/>
    <x v="0"/>
    <x v="10"/>
    <x v="10"/>
    <x v="1"/>
    <x v="4"/>
    <x v="4"/>
    <x v="1"/>
    <n v="31"/>
    <x v="12"/>
    <x v="0"/>
  </r>
  <r>
    <n v="65858"/>
    <x v="12"/>
    <x v="0"/>
    <x v="11"/>
    <x v="11"/>
    <x v="1"/>
    <x v="4"/>
    <x v="4"/>
    <x v="1"/>
    <n v="31"/>
    <x v="13"/>
    <x v="0"/>
  </r>
  <r>
    <n v="65859"/>
    <x v="12"/>
    <x v="0"/>
    <x v="12"/>
    <x v="12"/>
    <x v="1"/>
    <x v="4"/>
    <x v="4"/>
    <x v="1"/>
    <n v="31"/>
    <x v="14"/>
    <x v="0"/>
  </r>
  <r>
    <n v="65860"/>
    <x v="12"/>
    <x v="1"/>
    <x v="5"/>
    <x v="5"/>
    <x v="3"/>
    <x v="4"/>
    <x v="4"/>
    <x v="1"/>
    <n v="31"/>
    <x v="16"/>
    <x v="0"/>
  </r>
  <r>
    <n v="65861"/>
    <x v="12"/>
    <x v="1"/>
    <x v="6"/>
    <x v="6"/>
    <x v="3"/>
    <x v="4"/>
    <x v="4"/>
    <x v="1"/>
    <n v="31"/>
    <x v="17"/>
    <x v="0"/>
  </r>
  <r>
    <n v="65862"/>
    <x v="13"/>
    <x v="0"/>
    <x v="0"/>
    <x v="0"/>
    <x v="0"/>
    <x v="4"/>
    <x v="4"/>
    <x v="1"/>
    <n v="32"/>
    <x v="0"/>
    <x v="0"/>
  </r>
  <r>
    <n v="65863"/>
    <x v="13"/>
    <x v="0"/>
    <x v="0"/>
    <x v="0"/>
    <x v="1"/>
    <x v="4"/>
    <x v="4"/>
    <x v="1"/>
    <n v="32"/>
    <x v="15"/>
    <x v="0"/>
  </r>
  <r>
    <n v="65864"/>
    <x v="13"/>
    <x v="0"/>
    <x v="1"/>
    <x v="1"/>
    <x v="0"/>
    <x v="4"/>
    <x v="4"/>
    <x v="1"/>
    <n v="32"/>
    <x v="1"/>
    <x v="0"/>
  </r>
  <r>
    <n v="65865"/>
    <x v="13"/>
    <x v="0"/>
    <x v="1"/>
    <x v="1"/>
    <x v="1"/>
    <x v="4"/>
    <x v="4"/>
    <x v="1"/>
    <n v="32"/>
    <x v="2"/>
    <x v="0"/>
  </r>
  <r>
    <n v="65866"/>
    <x v="13"/>
    <x v="0"/>
    <x v="2"/>
    <x v="2"/>
    <x v="1"/>
    <x v="4"/>
    <x v="4"/>
    <x v="1"/>
    <n v="32"/>
    <x v="3"/>
    <x v="0"/>
  </r>
  <r>
    <n v="65867"/>
    <x v="13"/>
    <x v="0"/>
    <x v="3"/>
    <x v="3"/>
    <x v="1"/>
    <x v="4"/>
    <x v="4"/>
    <x v="1"/>
    <n v="32"/>
    <x v="4"/>
    <x v="0"/>
  </r>
  <r>
    <n v="65868"/>
    <x v="13"/>
    <x v="0"/>
    <x v="4"/>
    <x v="4"/>
    <x v="0"/>
    <x v="4"/>
    <x v="4"/>
    <x v="1"/>
    <n v="32"/>
    <x v="5"/>
    <x v="0"/>
  </r>
  <r>
    <n v="65869"/>
    <x v="13"/>
    <x v="0"/>
    <x v="4"/>
    <x v="4"/>
    <x v="1"/>
    <x v="4"/>
    <x v="4"/>
    <x v="1"/>
    <n v="32"/>
    <x v="6"/>
    <x v="0"/>
  </r>
  <r>
    <n v="65870"/>
    <x v="13"/>
    <x v="1"/>
    <x v="5"/>
    <x v="5"/>
    <x v="2"/>
    <x v="4"/>
    <x v="4"/>
    <x v="1"/>
    <n v="32"/>
    <x v="7"/>
    <x v="0"/>
  </r>
  <r>
    <n v="65871"/>
    <x v="13"/>
    <x v="1"/>
    <x v="6"/>
    <x v="6"/>
    <x v="2"/>
    <x v="4"/>
    <x v="4"/>
    <x v="1"/>
    <n v="32"/>
    <x v="8"/>
    <x v="0"/>
  </r>
  <r>
    <n v="65872"/>
    <x v="13"/>
    <x v="0"/>
    <x v="7"/>
    <x v="7"/>
    <x v="0"/>
    <x v="4"/>
    <x v="4"/>
    <x v="1"/>
    <n v="32"/>
    <x v="9"/>
    <x v="0"/>
  </r>
  <r>
    <n v="65873"/>
    <x v="13"/>
    <x v="0"/>
    <x v="8"/>
    <x v="8"/>
    <x v="0"/>
    <x v="4"/>
    <x v="4"/>
    <x v="1"/>
    <n v="32"/>
    <x v="10"/>
    <x v="0"/>
  </r>
  <r>
    <n v="65874"/>
    <x v="13"/>
    <x v="0"/>
    <x v="9"/>
    <x v="9"/>
    <x v="1"/>
    <x v="4"/>
    <x v="4"/>
    <x v="1"/>
    <n v="32"/>
    <x v="11"/>
    <x v="0"/>
  </r>
  <r>
    <n v="65875"/>
    <x v="13"/>
    <x v="0"/>
    <x v="10"/>
    <x v="10"/>
    <x v="1"/>
    <x v="4"/>
    <x v="4"/>
    <x v="1"/>
    <n v="32"/>
    <x v="12"/>
    <x v="0"/>
  </r>
  <r>
    <n v="65876"/>
    <x v="13"/>
    <x v="0"/>
    <x v="11"/>
    <x v="11"/>
    <x v="1"/>
    <x v="4"/>
    <x v="4"/>
    <x v="1"/>
    <n v="32"/>
    <x v="13"/>
    <x v="0"/>
  </r>
  <r>
    <n v="65877"/>
    <x v="13"/>
    <x v="0"/>
    <x v="12"/>
    <x v="12"/>
    <x v="1"/>
    <x v="4"/>
    <x v="4"/>
    <x v="1"/>
    <n v="32"/>
    <x v="14"/>
    <x v="0"/>
  </r>
  <r>
    <n v="65878"/>
    <x v="13"/>
    <x v="1"/>
    <x v="5"/>
    <x v="5"/>
    <x v="3"/>
    <x v="4"/>
    <x v="4"/>
    <x v="1"/>
    <n v="32"/>
    <x v="16"/>
    <x v="0"/>
  </r>
  <r>
    <n v="65879"/>
    <x v="13"/>
    <x v="1"/>
    <x v="6"/>
    <x v="6"/>
    <x v="3"/>
    <x v="4"/>
    <x v="4"/>
    <x v="1"/>
    <n v="32"/>
    <x v="17"/>
    <x v="0"/>
  </r>
  <r>
    <n v="65880"/>
    <x v="14"/>
    <x v="0"/>
    <x v="0"/>
    <x v="0"/>
    <x v="0"/>
    <x v="4"/>
    <x v="4"/>
    <x v="1"/>
    <n v="33"/>
    <x v="0"/>
    <x v="0"/>
  </r>
  <r>
    <n v="65881"/>
    <x v="14"/>
    <x v="0"/>
    <x v="0"/>
    <x v="0"/>
    <x v="1"/>
    <x v="4"/>
    <x v="4"/>
    <x v="1"/>
    <n v="33"/>
    <x v="15"/>
    <x v="0"/>
  </r>
  <r>
    <n v="65882"/>
    <x v="14"/>
    <x v="0"/>
    <x v="1"/>
    <x v="1"/>
    <x v="0"/>
    <x v="4"/>
    <x v="4"/>
    <x v="1"/>
    <n v="33"/>
    <x v="1"/>
    <x v="0"/>
  </r>
  <r>
    <n v="65883"/>
    <x v="14"/>
    <x v="0"/>
    <x v="1"/>
    <x v="1"/>
    <x v="1"/>
    <x v="4"/>
    <x v="4"/>
    <x v="1"/>
    <n v="33"/>
    <x v="2"/>
    <x v="0"/>
  </r>
  <r>
    <n v="65884"/>
    <x v="14"/>
    <x v="0"/>
    <x v="2"/>
    <x v="2"/>
    <x v="1"/>
    <x v="4"/>
    <x v="4"/>
    <x v="1"/>
    <n v="33"/>
    <x v="3"/>
    <x v="0"/>
  </r>
  <r>
    <n v="65885"/>
    <x v="14"/>
    <x v="0"/>
    <x v="3"/>
    <x v="3"/>
    <x v="1"/>
    <x v="4"/>
    <x v="4"/>
    <x v="1"/>
    <n v="33"/>
    <x v="4"/>
    <x v="0"/>
  </r>
  <r>
    <n v="65886"/>
    <x v="14"/>
    <x v="0"/>
    <x v="4"/>
    <x v="4"/>
    <x v="0"/>
    <x v="4"/>
    <x v="4"/>
    <x v="1"/>
    <n v="33"/>
    <x v="5"/>
    <x v="0"/>
  </r>
  <r>
    <n v="65887"/>
    <x v="14"/>
    <x v="0"/>
    <x v="4"/>
    <x v="4"/>
    <x v="1"/>
    <x v="4"/>
    <x v="4"/>
    <x v="1"/>
    <n v="33"/>
    <x v="6"/>
    <x v="0"/>
  </r>
  <r>
    <n v="65888"/>
    <x v="14"/>
    <x v="1"/>
    <x v="5"/>
    <x v="5"/>
    <x v="2"/>
    <x v="4"/>
    <x v="4"/>
    <x v="1"/>
    <n v="33"/>
    <x v="7"/>
    <x v="0"/>
  </r>
  <r>
    <n v="65889"/>
    <x v="14"/>
    <x v="1"/>
    <x v="6"/>
    <x v="6"/>
    <x v="2"/>
    <x v="4"/>
    <x v="4"/>
    <x v="1"/>
    <n v="33"/>
    <x v="8"/>
    <x v="0"/>
  </r>
  <r>
    <n v="65890"/>
    <x v="14"/>
    <x v="0"/>
    <x v="7"/>
    <x v="7"/>
    <x v="0"/>
    <x v="4"/>
    <x v="4"/>
    <x v="1"/>
    <n v="33"/>
    <x v="9"/>
    <x v="0"/>
  </r>
  <r>
    <n v="65891"/>
    <x v="14"/>
    <x v="0"/>
    <x v="8"/>
    <x v="8"/>
    <x v="0"/>
    <x v="4"/>
    <x v="4"/>
    <x v="1"/>
    <n v="33"/>
    <x v="10"/>
    <x v="0"/>
  </r>
  <r>
    <n v="65892"/>
    <x v="14"/>
    <x v="0"/>
    <x v="9"/>
    <x v="9"/>
    <x v="1"/>
    <x v="4"/>
    <x v="4"/>
    <x v="1"/>
    <n v="33"/>
    <x v="11"/>
    <x v="0"/>
  </r>
  <r>
    <n v="65893"/>
    <x v="14"/>
    <x v="0"/>
    <x v="10"/>
    <x v="10"/>
    <x v="1"/>
    <x v="4"/>
    <x v="4"/>
    <x v="1"/>
    <n v="33"/>
    <x v="12"/>
    <x v="0"/>
  </r>
  <r>
    <n v="65894"/>
    <x v="14"/>
    <x v="0"/>
    <x v="11"/>
    <x v="11"/>
    <x v="1"/>
    <x v="4"/>
    <x v="4"/>
    <x v="1"/>
    <n v="33"/>
    <x v="13"/>
    <x v="0"/>
  </r>
  <r>
    <n v="65895"/>
    <x v="14"/>
    <x v="0"/>
    <x v="12"/>
    <x v="12"/>
    <x v="1"/>
    <x v="4"/>
    <x v="4"/>
    <x v="1"/>
    <n v="33"/>
    <x v="14"/>
    <x v="0"/>
  </r>
  <r>
    <n v="65896"/>
    <x v="14"/>
    <x v="1"/>
    <x v="5"/>
    <x v="5"/>
    <x v="3"/>
    <x v="4"/>
    <x v="4"/>
    <x v="1"/>
    <n v="33"/>
    <x v="16"/>
    <x v="0"/>
  </r>
  <r>
    <n v="65897"/>
    <x v="14"/>
    <x v="1"/>
    <x v="6"/>
    <x v="6"/>
    <x v="3"/>
    <x v="4"/>
    <x v="4"/>
    <x v="1"/>
    <n v="33"/>
    <x v="17"/>
    <x v="0"/>
  </r>
  <r>
    <n v="65898"/>
    <x v="15"/>
    <x v="0"/>
    <x v="0"/>
    <x v="0"/>
    <x v="0"/>
    <x v="4"/>
    <x v="4"/>
    <x v="1"/>
    <n v="34"/>
    <x v="0"/>
    <x v="0"/>
  </r>
  <r>
    <n v="65899"/>
    <x v="15"/>
    <x v="0"/>
    <x v="0"/>
    <x v="0"/>
    <x v="1"/>
    <x v="4"/>
    <x v="4"/>
    <x v="1"/>
    <n v="34"/>
    <x v="15"/>
    <x v="0"/>
  </r>
  <r>
    <n v="65900"/>
    <x v="15"/>
    <x v="0"/>
    <x v="1"/>
    <x v="1"/>
    <x v="0"/>
    <x v="4"/>
    <x v="4"/>
    <x v="1"/>
    <n v="34"/>
    <x v="1"/>
    <x v="0"/>
  </r>
  <r>
    <n v="65901"/>
    <x v="15"/>
    <x v="0"/>
    <x v="1"/>
    <x v="1"/>
    <x v="1"/>
    <x v="4"/>
    <x v="4"/>
    <x v="1"/>
    <n v="34"/>
    <x v="2"/>
    <x v="0"/>
  </r>
  <r>
    <n v="65902"/>
    <x v="15"/>
    <x v="0"/>
    <x v="2"/>
    <x v="2"/>
    <x v="1"/>
    <x v="4"/>
    <x v="4"/>
    <x v="1"/>
    <n v="34"/>
    <x v="3"/>
    <x v="0"/>
  </r>
  <r>
    <n v="65903"/>
    <x v="15"/>
    <x v="0"/>
    <x v="3"/>
    <x v="3"/>
    <x v="1"/>
    <x v="4"/>
    <x v="4"/>
    <x v="1"/>
    <n v="34"/>
    <x v="4"/>
    <x v="0"/>
  </r>
  <r>
    <n v="65904"/>
    <x v="15"/>
    <x v="0"/>
    <x v="4"/>
    <x v="4"/>
    <x v="0"/>
    <x v="4"/>
    <x v="4"/>
    <x v="1"/>
    <n v="34"/>
    <x v="5"/>
    <x v="0"/>
  </r>
  <r>
    <n v="65905"/>
    <x v="15"/>
    <x v="0"/>
    <x v="4"/>
    <x v="4"/>
    <x v="1"/>
    <x v="4"/>
    <x v="4"/>
    <x v="1"/>
    <n v="34"/>
    <x v="6"/>
    <x v="0"/>
  </r>
  <r>
    <n v="65906"/>
    <x v="15"/>
    <x v="1"/>
    <x v="5"/>
    <x v="5"/>
    <x v="2"/>
    <x v="4"/>
    <x v="4"/>
    <x v="1"/>
    <n v="34"/>
    <x v="7"/>
    <x v="0"/>
  </r>
  <r>
    <n v="65907"/>
    <x v="15"/>
    <x v="1"/>
    <x v="6"/>
    <x v="6"/>
    <x v="2"/>
    <x v="4"/>
    <x v="4"/>
    <x v="1"/>
    <n v="34"/>
    <x v="8"/>
    <x v="0"/>
  </r>
  <r>
    <n v="65908"/>
    <x v="15"/>
    <x v="0"/>
    <x v="7"/>
    <x v="7"/>
    <x v="0"/>
    <x v="4"/>
    <x v="4"/>
    <x v="1"/>
    <n v="34"/>
    <x v="9"/>
    <x v="0"/>
  </r>
  <r>
    <n v="65909"/>
    <x v="15"/>
    <x v="0"/>
    <x v="8"/>
    <x v="8"/>
    <x v="0"/>
    <x v="4"/>
    <x v="4"/>
    <x v="1"/>
    <n v="34"/>
    <x v="10"/>
    <x v="0"/>
  </r>
  <r>
    <n v="65910"/>
    <x v="15"/>
    <x v="0"/>
    <x v="9"/>
    <x v="9"/>
    <x v="1"/>
    <x v="4"/>
    <x v="4"/>
    <x v="1"/>
    <n v="34"/>
    <x v="11"/>
    <x v="0"/>
  </r>
  <r>
    <n v="65911"/>
    <x v="15"/>
    <x v="0"/>
    <x v="10"/>
    <x v="10"/>
    <x v="1"/>
    <x v="4"/>
    <x v="4"/>
    <x v="1"/>
    <n v="34"/>
    <x v="12"/>
    <x v="0"/>
  </r>
  <r>
    <n v="65912"/>
    <x v="15"/>
    <x v="0"/>
    <x v="11"/>
    <x v="11"/>
    <x v="1"/>
    <x v="4"/>
    <x v="4"/>
    <x v="1"/>
    <n v="34"/>
    <x v="13"/>
    <x v="0"/>
  </r>
  <r>
    <n v="65913"/>
    <x v="15"/>
    <x v="0"/>
    <x v="12"/>
    <x v="12"/>
    <x v="1"/>
    <x v="4"/>
    <x v="4"/>
    <x v="1"/>
    <n v="34"/>
    <x v="14"/>
    <x v="0"/>
  </r>
  <r>
    <n v="65914"/>
    <x v="15"/>
    <x v="1"/>
    <x v="5"/>
    <x v="5"/>
    <x v="3"/>
    <x v="4"/>
    <x v="4"/>
    <x v="1"/>
    <n v="34"/>
    <x v="16"/>
    <x v="0"/>
  </r>
  <r>
    <n v="65915"/>
    <x v="15"/>
    <x v="1"/>
    <x v="6"/>
    <x v="6"/>
    <x v="3"/>
    <x v="4"/>
    <x v="4"/>
    <x v="1"/>
    <n v="34"/>
    <x v="17"/>
    <x v="0"/>
  </r>
  <r>
    <n v="65916"/>
    <x v="16"/>
    <x v="0"/>
    <x v="0"/>
    <x v="0"/>
    <x v="0"/>
    <x v="5"/>
    <x v="4"/>
    <x v="1"/>
    <n v="35"/>
    <x v="0"/>
    <x v="0"/>
  </r>
  <r>
    <n v="65917"/>
    <x v="16"/>
    <x v="0"/>
    <x v="0"/>
    <x v="0"/>
    <x v="1"/>
    <x v="5"/>
    <x v="4"/>
    <x v="1"/>
    <n v="35"/>
    <x v="15"/>
    <x v="0"/>
  </r>
  <r>
    <n v="65918"/>
    <x v="16"/>
    <x v="0"/>
    <x v="1"/>
    <x v="1"/>
    <x v="0"/>
    <x v="5"/>
    <x v="4"/>
    <x v="1"/>
    <n v="35"/>
    <x v="1"/>
    <x v="0"/>
  </r>
  <r>
    <n v="65919"/>
    <x v="16"/>
    <x v="0"/>
    <x v="1"/>
    <x v="1"/>
    <x v="1"/>
    <x v="5"/>
    <x v="4"/>
    <x v="1"/>
    <n v="35"/>
    <x v="2"/>
    <x v="0"/>
  </r>
  <r>
    <n v="65920"/>
    <x v="16"/>
    <x v="0"/>
    <x v="2"/>
    <x v="2"/>
    <x v="1"/>
    <x v="5"/>
    <x v="4"/>
    <x v="1"/>
    <n v="35"/>
    <x v="3"/>
    <x v="0"/>
  </r>
  <r>
    <n v="65921"/>
    <x v="16"/>
    <x v="0"/>
    <x v="3"/>
    <x v="3"/>
    <x v="1"/>
    <x v="5"/>
    <x v="4"/>
    <x v="1"/>
    <n v="35"/>
    <x v="4"/>
    <x v="0"/>
  </r>
  <r>
    <n v="65922"/>
    <x v="16"/>
    <x v="0"/>
    <x v="4"/>
    <x v="4"/>
    <x v="0"/>
    <x v="5"/>
    <x v="4"/>
    <x v="1"/>
    <n v="35"/>
    <x v="5"/>
    <x v="0"/>
  </r>
  <r>
    <n v="65923"/>
    <x v="16"/>
    <x v="0"/>
    <x v="4"/>
    <x v="4"/>
    <x v="1"/>
    <x v="5"/>
    <x v="4"/>
    <x v="1"/>
    <n v="35"/>
    <x v="6"/>
    <x v="0"/>
  </r>
  <r>
    <n v="65924"/>
    <x v="16"/>
    <x v="1"/>
    <x v="5"/>
    <x v="5"/>
    <x v="2"/>
    <x v="5"/>
    <x v="4"/>
    <x v="1"/>
    <n v="35"/>
    <x v="7"/>
    <x v="0"/>
  </r>
  <r>
    <n v="65925"/>
    <x v="16"/>
    <x v="1"/>
    <x v="6"/>
    <x v="6"/>
    <x v="2"/>
    <x v="5"/>
    <x v="4"/>
    <x v="1"/>
    <n v="35"/>
    <x v="8"/>
    <x v="0"/>
  </r>
  <r>
    <n v="65926"/>
    <x v="16"/>
    <x v="0"/>
    <x v="7"/>
    <x v="7"/>
    <x v="0"/>
    <x v="5"/>
    <x v="4"/>
    <x v="1"/>
    <n v="35"/>
    <x v="9"/>
    <x v="0"/>
  </r>
  <r>
    <n v="65927"/>
    <x v="16"/>
    <x v="0"/>
    <x v="8"/>
    <x v="8"/>
    <x v="0"/>
    <x v="5"/>
    <x v="4"/>
    <x v="1"/>
    <n v="35"/>
    <x v="10"/>
    <x v="0"/>
  </r>
  <r>
    <n v="65928"/>
    <x v="16"/>
    <x v="0"/>
    <x v="9"/>
    <x v="9"/>
    <x v="1"/>
    <x v="5"/>
    <x v="4"/>
    <x v="1"/>
    <n v="35"/>
    <x v="11"/>
    <x v="0"/>
  </r>
  <r>
    <n v="65929"/>
    <x v="16"/>
    <x v="0"/>
    <x v="10"/>
    <x v="10"/>
    <x v="1"/>
    <x v="5"/>
    <x v="4"/>
    <x v="1"/>
    <n v="35"/>
    <x v="12"/>
    <x v="0"/>
  </r>
  <r>
    <n v="65930"/>
    <x v="16"/>
    <x v="0"/>
    <x v="11"/>
    <x v="11"/>
    <x v="1"/>
    <x v="5"/>
    <x v="4"/>
    <x v="1"/>
    <n v="35"/>
    <x v="13"/>
    <x v="0"/>
  </r>
  <r>
    <n v="65931"/>
    <x v="16"/>
    <x v="0"/>
    <x v="12"/>
    <x v="12"/>
    <x v="1"/>
    <x v="5"/>
    <x v="4"/>
    <x v="1"/>
    <n v="35"/>
    <x v="14"/>
    <x v="0"/>
  </r>
  <r>
    <n v="65932"/>
    <x v="16"/>
    <x v="1"/>
    <x v="5"/>
    <x v="5"/>
    <x v="3"/>
    <x v="5"/>
    <x v="4"/>
    <x v="1"/>
    <n v="35"/>
    <x v="16"/>
    <x v="0"/>
  </r>
  <r>
    <n v="65933"/>
    <x v="16"/>
    <x v="1"/>
    <x v="6"/>
    <x v="6"/>
    <x v="3"/>
    <x v="5"/>
    <x v="4"/>
    <x v="1"/>
    <n v="35"/>
    <x v="17"/>
    <x v="0"/>
  </r>
  <r>
    <n v="65934"/>
    <x v="17"/>
    <x v="0"/>
    <x v="0"/>
    <x v="0"/>
    <x v="0"/>
    <x v="5"/>
    <x v="4"/>
    <x v="1"/>
    <n v="39"/>
    <x v="0"/>
    <x v="0"/>
  </r>
  <r>
    <n v="65935"/>
    <x v="17"/>
    <x v="0"/>
    <x v="0"/>
    <x v="0"/>
    <x v="1"/>
    <x v="5"/>
    <x v="4"/>
    <x v="1"/>
    <n v="39"/>
    <x v="15"/>
    <x v="0"/>
  </r>
  <r>
    <n v="65936"/>
    <x v="17"/>
    <x v="0"/>
    <x v="1"/>
    <x v="1"/>
    <x v="0"/>
    <x v="5"/>
    <x v="4"/>
    <x v="1"/>
    <n v="39"/>
    <x v="1"/>
    <x v="0"/>
  </r>
  <r>
    <n v="65937"/>
    <x v="17"/>
    <x v="0"/>
    <x v="1"/>
    <x v="1"/>
    <x v="1"/>
    <x v="5"/>
    <x v="4"/>
    <x v="1"/>
    <n v="39"/>
    <x v="2"/>
    <x v="0"/>
  </r>
  <r>
    <n v="65938"/>
    <x v="17"/>
    <x v="0"/>
    <x v="2"/>
    <x v="2"/>
    <x v="1"/>
    <x v="5"/>
    <x v="4"/>
    <x v="1"/>
    <n v="39"/>
    <x v="3"/>
    <x v="0"/>
  </r>
  <r>
    <n v="65939"/>
    <x v="17"/>
    <x v="0"/>
    <x v="3"/>
    <x v="3"/>
    <x v="1"/>
    <x v="5"/>
    <x v="4"/>
    <x v="1"/>
    <n v="39"/>
    <x v="4"/>
    <x v="0"/>
  </r>
  <r>
    <n v="65940"/>
    <x v="17"/>
    <x v="0"/>
    <x v="4"/>
    <x v="4"/>
    <x v="0"/>
    <x v="5"/>
    <x v="4"/>
    <x v="1"/>
    <n v="39"/>
    <x v="5"/>
    <x v="0"/>
  </r>
  <r>
    <n v="65941"/>
    <x v="17"/>
    <x v="0"/>
    <x v="4"/>
    <x v="4"/>
    <x v="1"/>
    <x v="5"/>
    <x v="4"/>
    <x v="1"/>
    <n v="39"/>
    <x v="6"/>
    <x v="0"/>
  </r>
  <r>
    <n v="65942"/>
    <x v="17"/>
    <x v="1"/>
    <x v="5"/>
    <x v="5"/>
    <x v="2"/>
    <x v="5"/>
    <x v="4"/>
    <x v="1"/>
    <n v="39"/>
    <x v="7"/>
    <x v="0"/>
  </r>
  <r>
    <n v="65943"/>
    <x v="17"/>
    <x v="1"/>
    <x v="6"/>
    <x v="6"/>
    <x v="2"/>
    <x v="5"/>
    <x v="4"/>
    <x v="1"/>
    <n v="39"/>
    <x v="8"/>
    <x v="0"/>
  </r>
  <r>
    <n v="65944"/>
    <x v="17"/>
    <x v="0"/>
    <x v="7"/>
    <x v="7"/>
    <x v="0"/>
    <x v="5"/>
    <x v="4"/>
    <x v="1"/>
    <n v="39"/>
    <x v="9"/>
    <x v="0"/>
  </r>
  <r>
    <n v="65945"/>
    <x v="17"/>
    <x v="0"/>
    <x v="8"/>
    <x v="8"/>
    <x v="0"/>
    <x v="5"/>
    <x v="4"/>
    <x v="1"/>
    <n v="39"/>
    <x v="10"/>
    <x v="0"/>
  </r>
  <r>
    <n v="65946"/>
    <x v="17"/>
    <x v="0"/>
    <x v="9"/>
    <x v="9"/>
    <x v="1"/>
    <x v="5"/>
    <x v="4"/>
    <x v="1"/>
    <n v="39"/>
    <x v="11"/>
    <x v="0"/>
  </r>
  <r>
    <n v="65947"/>
    <x v="17"/>
    <x v="0"/>
    <x v="10"/>
    <x v="10"/>
    <x v="1"/>
    <x v="5"/>
    <x v="4"/>
    <x v="1"/>
    <n v="39"/>
    <x v="12"/>
    <x v="0"/>
  </r>
  <r>
    <n v="65948"/>
    <x v="17"/>
    <x v="0"/>
    <x v="11"/>
    <x v="11"/>
    <x v="1"/>
    <x v="5"/>
    <x v="4"/>
    <x v="1"/>
    <n v="39"/>
    <x v="13"/>
    <x v="0"/>
  </r>
  <r>
    <n v="65949"/>
    <x v="17"/>
    <x v="0"/>
    <x v="12"/>
    <x v="12"/>
    <x v="1"/>
    <x v="5"/>
    <x v="4"/>
    <x v="1"/>
    <n v="39"/>
    <x v="14"/>
    <x v="0"/>
  </r>
  <r>
    <n v="65950"/>
    <x v="17"/>
    <x v="1"/>
    <x v="5"/>
    <x v="5"/>
    <x v="3"/>
    <x v="5"/>
    <x v="4"/>
    <x v="1"/>
    <n v="39"/>
    <x v="16"/>
    <x v="0"/>
  </r>
  <r>
    <n v="65951"/>
    <x v="17"/>
    <x v="1"/>
    <x v="6"/>
    <x v="6"/>
    <x v="3"/>
    <x v="5"/>
    <x v="4"/>
    <x v="1"/>
    <n v="39"/>
    <x v="17"/>
    <x v="0"/>
  </r>
  <r>
    <n v="65952"/>
    <x v="18"/>
    <x v="0"/>
    <x v="0"/>
    <x v="0"/>
    <x v="0"/>
    <x v="5"/>
    <x v="4"/>
    <x v="1"/>
    <n v="40"/>
    <x v="0"/>
    <x v="0"/>
  </r>
  <r>
    <n v="65953"/>
    <x v="18"/>
    <x v="0"/>
    <x v="0"/>
    <x v="0"/>
    <x v="1"/>
    <x v="5"/>
    <x v="4"/>
    <x v="1"/>
    <n v="40"/>
    <x v="15"/>
    <x v="0"/>
  </r>
  <r>
    <n v="65954"/>
    <x v="18"/>
    <x v="0"/>
    <x v="1"/>
    <x v="1"/>
    <x v="0"/>
    <x v="5"/>
    <x v="4"/>
    <x v="1"/>
    <n v="40"/>
    <x v="1"/>
    <x v="0"/>
  </r>
  <r>
    <n v="65955"/>
    <x v="18"/>
    <x v="0"/>
    <x v="1"/>
    <x v="1"/>
    <x v="1"/>
    <x v="5"/>
    <x v="4"/>
    <x v="1"/>
    <n v="40"/>
    <x v="2"/>
    <x v="0"/>
  </r>
  <r>
    <n v="65956"/>
    <x v="18"/>
    <x v="0"/>
    <x v="2"/>
    <x v="2"/>
    <x v="1"/>
    <x v="5"/>
    <x v="4"/>
    <x v="1"/>
    <n v="40"/>
    <x v="3"/>
    <x v="0"/>
  </r>
  <r>
    <n v="65957"/>
    <x v="18"/>
    <x v="0"/>
    <x v="3"/>
    <x v="3"/>
    <x v="1"/>
    <x v="5"/>
    <x v="4"/>
    <x v="1"/>
    <n v="40"/>
    <x v="4"/>
    <x v="0"/>
  </r>
  <r>
    <n v="65958"/>
    <x v="18"/>
    <x v="0"/>
    <x v="4"/>
    <x v="4"/>
    <x v="0"/>
    <x v="5"/>
    <x v="4"/>
    <x v="1"/>
    <n v="40"/>
    <x v="5"/>
    <x v="0"/>
  </r>
  <r>
    <n v="65959"/>
    <x v="18"/>
    <x v="0"/>
    <x v="4"/>
    <x v="4"/>
    <x v="1"/>
    <x v="5"/>
    <x v="4"/>
    <x v="1"/>
    <n v="40"/>
    <x v="6"/>
    <x v="0"/>
  </r>
  <r>
    <n v="65960"/>
    <x v="18"/>
    <x v="1"/>
    <x v="5"/>
    <x v="5"/>
    <x v="2"/>
    <x v="5"/>
    <x v="4"/>
    <x v="1"/>
    <n v="40"/>
    <x v="7"/>
    <x v="0"/>
  </r>
  <r>
    <n v="65961"/>
    <x v="18"/>
    <x v="1"/>
    <x v="6"/>
    <x v="6"/>
    <x v="2"/>
    <x v="5"/>
    <x v="4"/>
    <x v="1"/>
    <n v="40"/>
    <x v="8"/>
    <x v="0"/>
  </r>
  <r>
    <n v="65962"/>
    <x v="18"/>
    <x v="0"/>
    <x v="7"/>
    <x v="7"/>
    <x v="0"/>
    <x v="5"/>
    <x v="4"/>
    <x v="1"/>
    <n v="40"/>
    <x v="9"/>
    <x v="0"/>
  </r>
  <r>
    <n v="65963"/>
    <x v="18"/>
    <x v="0"/>
    <x v="8"/>
    <x v="8"/>
    <x v="0"/>
    <x v="5"/>
    <x v="4"/>
    <x v="1"/>
    <n v="40"/>
    <x v="10"/>
    <x v="0"/>
  </r>
  <r>
    <n v="65964"/>
    <x v="18"/>
    <x v="0"/>
    <x v="9"/>
    <x v="9"/>
    <x v="1"/>
    <x v="5"/>
    <x v="4"/>
    <x v="1"/>
    <n v="40"/>
    <x v="11"/>
    <x v="0"/>
  </r>
  <r>
    <n v="65965"/>
    <x v="18"/>
    <x v="0"/>
    <x v="10"/>
    <x v="10"/>
    <x v="1"/>
    <x v="5"/>
    <x v="4"/>
    <x v="1"/>
    <n v="40"/>
    <x v="12"/>
    <x v="0"/>
  </r>
  <r>
    <n v="65966"/>
    <x v="18"/>
    <x v="0"/>
    <x v="11"/>
    <x v="11"/>
    <x v="1"/>
    <x v="5"/>
    <x v="4"/>
    <x v="1"/>
    <n v="40"/>
    <x v="13"/>
    <x v="0"/>
  </r>
  <r>
    <n v="65967"/>
    <x v="18"/>
    <x v="0"/>
    <x v="12"/>
    <x v="12"/>
    <x v="1"/>
    <x v="5"/>
    <x v="4"/>
    <x v="1"/>
    <n v="40"/>
    <x v="14"/>
    <x v="0"/>
  </r>
  <r>
    <n v="65968"/>
    <x v="18"/>
    <x v="1"/>
    <x v="5"/>
    <x v="5"/>
    <x v="3"/>
    <x v="5"/>
    <x v="4"/>
    <x v="1"/>
    <n v="40"/>
    <x v="16"/>
    <x v="0"/>
  </r>
  <r>
    <n v="65969"/>
    <x v="18"/>
    <x v="1"/>
    <x v="6"/>
    <x v="6"/>
    <x v="3"/>
    <x v="5"/>
    <x v="4"/>
    <x v="1"/>
    <n v="40"/>
    <x v="17"/>
    <x v="0"/>
  </r>
  <r>
    <n v="65970"/>
    <x v="19"/>
    <x v="0"/>
    <x v="0"/>
    <x v="0"/>
    <x v="0"/>
    <x v="5"/>
    <x v="4"/>
    <x v="1"/>
    <n v="41"/>
    <x v="0"/>
    <x v="0"/>
  </r>
  <r>
    <n v="65971"/>
    <x v="19"/>
    <x v="0"/>
    <x v="0"/>
    <x v="0"/>
    <x v="1"/>
    <x v="5"/>
    <x v="4"/>
    <x v="1"/>
    <n v="41"/>
    <x v="15"/>
    <x v="0"/>
  </r>
  <r>
    <n v="65972"/>
    <x v="19"/>
    <x v="0"/>
    <x v="1"/>
    <x v="1"/>
    <x v="0"/>
    <x v="5"/>
    <x v="4"/>
    <x v="1"/>
    <n v="41"/>
    <x v="1"/>
    <x v="0"/>
  </r>
  <r>
    <n v="65973"/>
    <x v="19"/>
    <x v="0"/>
    <x v="1"/>
    <x v="1"/>
    <x v="1"/>
    <x v="5"/>
    <x v="4"/>
    <x v="1"/>
    <n v="41"/>
    <x v="2"/>
    <x v="0"/>
  </r>
  <r>
    <n v="65974"/>
    <x v="19"/>
    <x v="0"/>
    <x v="2"/>
    <x v="2"/>
    <x v="1"/>
    <x v="5"/>
    <x v="4"/>
    <x v="1"/>
    <n v="41"/>
    <x v="3"/>
    <x v="0"/>
  </r>
  <r>
    <n v="65975"/>
    <x v="19"/>
    <x v="0"/>
    <x v="3"/>
    <x v="3"/>
    <x v="1"/>
    <x v="5"/>
    <x v="4"/>
    <x v="1"/>
    <n v="41"/>
    <x v="4"/>
    <x v="0"/>
  </r>
  <r>
    <n v="65976"/>
    <x v="19"/>
    <x v="0"/>
    <x v="4"/>
    <x v="4"/>
    <x v="0"/>
    <x v="5"/>
    <x v="4"/>
    <x v="1"/>
    <n v="41"/>
    <x v="5"/>
    <x v="0"/>
  </r>
  <r>
    <n v="65977"/>
    <x v="19"/>
    <x v="0"/>
    <x v="4"/>
    <x v="4"/>
    <x v="1"/>
    <x v="5"/>
    <x v="4"/>
    <x v="1"/>
    <n v="41"/>
    <x v="6"/>
    <x v="0"/>
  </r>
  <r>
    <n v="65978"/>
    <x v="19"/>
    <x v="1"/>
    <x v="5"/>
    <x v="5"/>
    <x v="2"/>
    <x v="5"/>
    <x v="4"/>
    <x v="1"/>
    <n v="41"/>
    <x v="7"/>
    <x v="0"/>
  </r>
  <r>
    <n v="65979"/>
    <x v="19"/>
    <x v="1"/>
    <x v="6"/>
    <x v="6"/>
    <x v="2"/>
    <x v="5"/>
    <x v="4"/>
    <x v="1"/>
    <n v="41"/>
    <x v="8"/>
    <x v="0"/>
  </r>
  <r>
    <n v="65980"/>
    <x v="19"/>
    <x v="0"/>
    <x v="7"/>
    <x v="7"/>
    <x v="0"/>
    <x v="5"/>
    <x v="4"/>
    <x v="1"/>
    <n v="41"/>
    <x v="9"/>
    <x v="0"/>
  </r>
  <r>
    <n v="65981"/>
    <x v="19"/>
    <x v="0"/>
    <x v="8"/>
    <x v="8"/>
    <x v="0"/>
    <x v="5"/>
    <x v="4"/>
    <x v="1"/>
    <n v="41"/>
    <x v="10"/>
    <x v="0"/>
  </r>
  <r>
    <n v="65982"/>
    <x v="19"/>
    <x v="0"/>
    <x v="9"/>
    <x v="9"/>
    <x v="1"/>
    <x v="5"/>
    <x v="4"/>
    <x v="1"/>
    <n v="41"/>
    <x v="11"/>
    <x v="0"/>
  </r>
  <r>
    <n v="65983"/>
    <x v="19"/>
    <x v="0"/>
    <x v="10"/>
    <x v="10"/>
    <x v="1"/>
    <x v="5"/>
    <x v="4"/>
    <x v="1"/>
    <n v="41"/>
    <x v="12"/>
    <x v="0"/>
  </r>
  <r>
    <n v="65984"/>
    <x v="19"/>
    <x v="0"/>
    <x v="11"/>
    <x v="11"/>
    <x v="1"/>
    <x v="5"/>
    <x v="4"/>
    <x v="1"/>
    <n v="41"/>
    <x v="13"/>
    <x v="0"/>
  </r>
  <r>
    <n v="65985"/>
    <x v="19"/>
    <x v="0"/>
    <x v="12"/>
    <x v="12"/>
    <x v="1"/>
    <x v="5"/>
    <x v="4"/>
    <x v="1"/>
    <n v="41"/>
    <x v="14"/>
    <x v="0"/>
  </r>
  <r>
    <n v="65986"/>
    <x v="19"/>
    <x v="1"/>
    <x v="5"/>
    <x v="5"/>
    <x v="3"/>
    <x v="5"/>
    <x v="4"/>
    <x v="1"/>
    <n v="41"/>
    <x v="16"/>
    <x v="0"/>
  </r>
  <r>
    <n v="65987"/>
    <x v="19"/>
    <x v="1"/>
    <x v="6"/>
    <x v="6"/>
    <x v="3"/>
    <x v="5"/>
    <x v="4"/>
    <x v="1"/>
    <n v="41"/>
    <x v="17"/>
    <x v="0"/>
  </r>
  <r>
    <n v="65988"/>
    <x v="20"/>
    <x v="0"/>
    <x v="0"/>
    <x v="0"/>
    <x v="0"/>
    <x v="5"/>
    <x v="4"/>
    <x v="1"/>
    <n v="42"/>
    <x v="0"/>
    <x v="0"/>
  </r>
  <r>
    <n v="65989"/>
    <x v="20"/>
    <x v="0"/>
    <x v="0"/>
    <x v="0"/>
    <x v="1"/>
    <x v="5"/>
    <x v="4"/>
    <x v="1"/>
    <n v="42"/>
    <x v="15"/>
    <x v="0"/>
  </r>
  <r>
    <n v="65990"/>
    <x v="20"/>
    <x v="0"/>
    <x v="1"/>
    <x v="1"/>
    <x v="0"/>
    <x v="5"/>
    <x v="4"/>
    <x v="1"/>
    <n v="42"/>
    <x v="1"/>
    <x v="0"/>
  </r>
  <r>
    <n v="65991"/>
    <x v="20"/>
    <x v="0"/>
    <x v="1"/>
    <x v="1"/>
    <x v="1"/>
    <x v="5"/>
    <x v="4"/>
    <x v="1"/>
    <n v="42"/>
    <x v="2"/>
    <x v="0"/>
  </r>
  <r>
    <n v="65992"/>
    <x v="20"/>
    <x v="0"/>
    <x v="2"/>
    <x v="2"/>
    <x v="1"/>
    <x v="5"/>
    <x v="4"/>
    <x v="1"/>
    <n v="42"/>
    <x v="3"/>
    <x v="0"/>
  </r>
  <r>
    <n v="65993"/>
    <x v="20"/>
    <x v="0"/>
    <x v="3"/>
    <x v="3"/>
    <x v="1"/>
    <x v="5"/>
    <x v="4"/>
    <x v="1"/>
    <n v="42"/>
    <x v="4"/>
    <x v="0"/>
  </r>
  <r>
    <n v="65994"/>
    <x v="20"/>
    <x v="0"/>
    <x v="4"/>
    <x v="4"/>
    <x v="0"/>
    <x v="5"/>
    <x v="4"/>
    <x v="1"/>
    <n v="42"/>
    <x v="5"/>
    <x v="0"/>
  </r>
  <r>
    <n v="65995"/>
    <x v="20"/>
    <x v="0"/>
    <x v="4"/>
    <x v="4"/>
    <x v="1"/>
    <x v="5"/>
    <x v="4"/>
    <x v="1"/>
    <n v="42"/>
    <x v="6"/>
    <x v="0"/>
  </r>
  <r>
    <n v="65996"/>
    <x v="20"/>
    <x v="1"/>
    <x v="5"/>
    <x v="5"/>
    <x v="2"/>
    <x v="5"/>
    <x v="4"/>
    <x v="1"/>
    <n v="42"/>
    <x v="7"/>
    <x v="0"/>
  </r>
  <r>
    <n v="65997"/>
    <x v="20"/>
    <x v="1"/>
    <x v="6"/>
    <x v="6"/>
    <x v="2"/>
    <x v="5"/>
    <x v="4"/>
    <x v="1"/>
    <n v="42"/>
    <x v="8"/>
    <x v="0"/>
  </r>
  <r>
    <n v="65998"/>
    <x v="20"/>
    <x v="0"/>
    <x v="7"/>
    <x v="7"/>
    <x v="0"/>
    <x v="5"/>
    <x v="4"/>
    <x v="1"/>
    <n v="42"/>
    <x v="9"/>
    <x v="0"/>
  </r>
  <r>
    <n v="65999"/>
    <x v="20"/>
    <x v="0"/>
    <x v="8"/>
    <x v="8"/>
    <x v="0"/>
    <x v="5"/>
    <x v="4"/>
    <x v="1"/>
    <n v="42"/>
    <x v="10"/>
    <x v="0"/>
  </r>
  <r>
    <n v="66000"/>
    <x v="20"/>
    <x v="0"/>
    <x v="9"/>
    <x v="9"/>
    <x v="1"/>
    <x v="5"/>
    <x v="4"/>
    <x v="1"/>
    <n v="42"/>
    <x v="11"/>
    <x v="0"/>
  </r>
  <r>
    <n v="66001"/>
    <x v="20"/>
    <x v="0"/>
    <x v="10"/>
    <x v="10"/>
    <x v="1"/>
    <x v="5"/>
    <x v="4"/>
    <x v="1"/>
    <n v="42"/>
    <x v="12"/>
    <x v="0"/>
  </r>
  <r>
    <n v="66002"/>
    <x v="20"/>
    <x v="0"/>
    <x v="11"/>
    <x v="11"/>
    <x v="1"/>
    <x v="5"/>
    <x v="4"/>
    <x v="1"/>
    <n v="42"/>
    <x v="13"/>
    <x v="0"/>
  </r>
  <r>
    <n v="66003"/>
    <x v="20"/>
    <x v="0"/>
    <x v="12"/>
    <x v="12"/>
    <x v="1"/>
    <x v="5"/>
    <x v="4"/>
    <x v="1"/>
    <n v="42"/>
    <x v="14"/>
    <x v="0"/>
  </r>
  <r>
    <n v="66004"/>
    <x v="20"/>
    <x v="1"/>
    <x v="5"/>
    <x v="5"/>
    <x v="3"/>
    <x v="5"/>
    <x v="4"/>
    <x v="1"/>
    <n v="42"/>
    <x v="16"/>
    <x v="0"/>
  </r>
  <r>
    <n v="66005"/>
    <x v="20"/>
    <x v="1"/>
    <x v="6"/>
    <x v="6"/>
    <x v="3"/>
    <x v="5"/>
    <x v="4"/>
    <x v="1"/>
    <n v="42"/>
    <x v="17"/>
    <x v="0"/>
  </r>
  <r>
    <n v="66006"/>
    <x v="21"/>
    <x v="0"/>
    <x v="0"/>
    <x v="0"/>
    <x v="0"/>
    <x v="6"/>
    <x v="4"/>
    <x v="1"/>
    <n v="43"/>
    <x v="0"/>
    <x v="0"/>
  </r>
  <r>
    <n v="66007"/>
    <x v="21"/>
    <x v="0"/>
    <x v="0"/>
    <x v="0"/>
    <x v="1"/>
    <x v="6"/>
    <x v="4"/>
    <x v="1"/>
    <n v="43"/>
    <x v="15"/>
    <x v="0"/>
  </r>
  <r>
    <n v="66008"/>
    <x v="21"/>
    <x v="0"/>
    <x v="1"/>
    <x v="1"/>
    <x v="0"/>
    <x v="6"/>
    <x v="4"/>
    <x v="1"/>
    <n v="43"/>
    <x v="1"/>
    <x v="0"/>
  </r>
  <r>
    <n v="66009"/>
    <x v="21"/>
    <x v="0"/>
    <x v="1"/>
    <x v="1"/>
    <x v="1"/>
    <x v="6"/>
    <x v="4"/>
    <x v="1"/>
    <n v="43"/>
    <x v="2"/>
    <x v="0"/>
  </r>
  <r>
    <n v="66010"/>
    <x v="21"/>
    <x v="0"/>
    <x v="2"/>
    <x v="2"/>
    <x v="1"/>
    <x v="6"/>
    <x v="4"/>
    <x v="1"/>
    <n v="43"/>
    <x v="3"/>
    <x v="0"/>
  </r>
  <r>
    <n v="66011"/>
    <x v="21"/>
    <x v="0"/>
    <x v="3"/>
    <x v="3"/>
    <x v="1"/>
    <x v="6"/>
    <x v="4"/>
    <x v="1"/>
    <n v="43"/>
    <x v="4"/>
    <x v="0"/>
  </r>
  <r>
    <n v="66012"/>
    <x v="21"/>
    <x v="0"/>
    <x v="4"/>
    <x v="4"/>
    <x v="0"/>
    <x v="6"/>
    <x v="4"/>
    <x v="1"/>
    <n v="43"/>
    <x v="5"/>
    <x v="0"/>
  </r>
  <r>
    <n v="66013"/>
    <x v="21"/>
    <x v="0"/>
    <x v="4"/>
    <x v="4"/>
    <x v="1"/>
    <x v="6"/>
    <x v="4"/>
    <x v="1"/>
    <n v="43"/>
    <x v="6"/>
    <x v="0"/>
  </r>
  <r>
    <n v="66014"/>
    <x v="21"/>
    <x v="1"/>
    <x v="5"/>
    <x v="5"/>
    <x v="2"/>
    <x v="6"/>
    <x v="4"/>
    <x v="1"/>
    <n v="43"/>
    <x v="7"/>
    <x v="0"/>
  </r>
  <r>
    <n v="66015"/>
    <x v="21"/>
    <x v="1"/>
    <x v="6"/>
    <x v="6"/>
    <x v="2"/>
    <x v="6"/>
    <x v="4"/>
    <x v="1"/>
    <n v="43"/>
    <x v="8"/>
    <x v="0"/>
  </r>
  <r>
    <n v="66016"/>
    <x v="21"/>
    <x v="0"/>
    <x v="7"/>
    <x v="7"/>
    <x v="0"/>
    <x v="6"/>
    <x v="4"/>
    <x v="1"/>
    <n v="43"/>
    <x v="9"/>
    <x v="0"/>
  </r>
  <r>
    <n v="66017"/>
    <x v="21"/>
    <x v="0"/>
    <x v="8"/>
    <x v="8"/>
    <x v="0"/>
    <x v="6"/>
    <x v="4"/>
    <x v="1"/>
    <n v="43"/>
    <x v="10"/>
    <x v="0"/>
  </r>
  <r>
    <n v="66018"/>
    <x v="21"/>
    <x v="0"/>
    <x v="9"/>
    <x v="9"/>
    <x v="1"/>
    <x v="6"/>
    <x v="4"/>
    <x v="1"/>
    <n v="43"/>
    <x v="11"/>
    <x v="0"/>
  </r>
  <r>
    <n v="66019"/>
    <x v="21"/>
    <x v="0"/>
    <x v="10"/>
    <x v="10"/>
    <x v="1"/>
    <x v="6"/>
    <x v="4"/>
    <x v="1"/>
    <n v="43"/>
    <x v="12"/>
    <x v="0"/>
  </r>
  <r>
    <n v="66020"/>
    <x v="21"/>
    <x v="0"/>
    <x v="11"/>
    <x v="11"/>
    <x v="1"/>
    <x v="6"/>
    <x v="4"/>
    <x v="1"/>
    <n v="43"/>
    <x v="13"/>
    <x v="0"/>
  </r>
  <r>
    <n v="66021"/>
    <x v="21"/>
    <x v="0"/>
    <x v="12"/>
    <x v="12"/>
    <x v="1"/>
    <x v="6"/>
    <x v="4"/>
    <x v="1"/>
    <n v="43"/>
    <x v="14"/>
    <x v="0"/>
  </r>
  <r>
    <n v="66022"/>
    <x v="21"/>
    <x v="1"/>
    <x v="5"/>
    <x v="5"/>
    <x v="3"/>
    <x v="6"/>
    <x v="4"/>
    <x v="1"/>
    <n v="43"/>
    <x v="16"/>
    <x v="0"/>
  </r>
  <r>
    <n v="66023"/>
    <x v="21"/>
    <x v="1"/>
    <x v="6"/>
    <x v="6"/>
    <x v="3"/>
    <x v="6"/>
    <x v="4"/>
    <x v="1"/>
    <n v="43"/>
    <x v="17"/>
    <x v="0"/>
  </r>
  <r>
    <n v="66024"/>
    <x v="22"/>
    <x v="0"/>
    <x v="0"/>
    <x v="0"/>
    <x v="0"/>
    <x v="6"/>
    <x v="4"/>
    <x v="1"/>
    <n v="44"/>
    <x v="0"/>
    <x v="0"/>
  </r>
  <r>
    <n v="66025"/>
    <x v="22"/>
    <x v="0"/>
    <x v="0"/>
    <x v="0"/>
    <x v="1"/>
    <x v="6"/>
    <x v="4"/>
    <x v="1"/>
    <n v="44"/>
    <x v="15"/>
    <x v="0"/>
  </r>
  <r>
    <n v="66026"/>
    <x v="22"/>
    <x v="0"/>
    <x v="1"/>
    <x v="1"/>
    <x v="0"/>
    <x v="6"/>
    <x v="4"/>
    <x v="1"/>
    <n v="44"/>
    <x v="1"/>
    <x v="0"/>
  </r>
  <r>
    <n v="66027"/>
    <x v="22"/>
    <x v="0"/>
    <x v="1"/>
    <x v="1"/>
    <x v="1"/>
    <x v="6"/>
    <x v="4"/>
    <x v="1"/>
    <n v="44"/>
    <x v="2"/>
    <x v="0"/>
  </r>
  <r>
    <n v="66028"/>
    <x v="22"/>
    <x v="0"/>
    <x v="2"/>
    <x v="2"/>
    <x v="1"/>
    <x v="6"/>
    <x v="4"/>
    <x v="1"/>
    <n v="44"/>
    <x v="3"/>
    <x v="0"/>
  </r>
  <r>
    <n v="66029"/>
    <x v="22"/>
    <x v="0"/>
    <x v="3"/>
    <x v="3"/>
    <x v="1"/>
    <x v="6"/>
    <x v="4"/>
    <x v="1"/>
    <n v="44"/>
    <x v="4"/>
    <x v="0"/>
  </r>
  <r>
    <n v="66030"/>
    <x v="22"/>
    <x v="0"/>
    <x v="4"/>
    <x v="4"/>
    <x v="0"/>
    <x v="6"/>
    <x v="4"/>
    <x v="1"/>
    <n v="44"/>
    <x v="5"/>
    <x v="0"/>
  </r>
  <r>
    <n v="66031"/>
    <x v="22"/>
    <x v="0"/>
    <x v="4"/>
    <x v="4"/>
    <x v="1"/>
    <x v="6"/>
    <x v="4"/>
    <x v="1"/>
    <n v="44"/>
    <x v="6"/>
    <x v="0"/>
  </r>
  <r>
    <n v="66032"/>
    <x v="22"/>
    <x v="1"/>
    <x v="5"/>
    <x v="5"/>
    <x v="2"/>
    <x v="6"/>
    <x v="4"/>
    <x v="1"/>
    <n v="44"/>
    <x v="7"/>
    <x v="0"/>
  </r>
  <r>
    <n v="66033"/>
    <x v="22"/>
    <x v="1"/>
    <x v="6"/>
    <x v="6"/>
    <x v="2"/>
    <x v="6"/>
    <x v="4"/>
    <x v="1"/>
    <n v="44"/>
    <x v="8"/>
    <x v="0"/>
  </r>
  <r>
    <n v="66034"/>
    <x v="22"/>
    <x v="0"/>
    <x v="7"/>
    <x v="7"/>
    <x v="0"/>
    <x v="6"/>
    <x v="4"/>
    <x v="1"/>
    <n v="44"/>
    <x v="9"/>
    <x v="0"/>
  </r>
  <r>
    <n v="66035"/>
    <x v="22"/>
    <x v="0"/>
    <x v="8"/>
    <x v="8"/>
    <x v="0"/>
    <x v="6"/>
    <x v="4"/>
    <x v="1"/>
    <n v="44"/>
    <x v="10"/>
    <x v="0"/>
  </r>
  <r>
    <n v="66036"/>
    <x v="22"/>
    <x v="0"/>
    <x v="9"/>
    <x v="9"/>
    <x v="1"/>
    <x v="6"/>
    <x v="4"/>
    <x v="1"/>
    <n v="44"/>
    <x v="11"/>
    <x v="0"/>
  </r>
  <r>
    <n v="66037"/>
    <x v="22"/>
    <x v="0"/>
    <x v="10"/>
    <x v="10"/>
    <x v="1"/>
    <x v="6"/>
    <x v="4"/>
    <x v="1"/>
    <n v="44"/>
    <x v="12"/>
    <x v="0"/>
  </r>
  <r>
    <n v="66038"/>
    <x v="22"/>
    <x v="0"/>
    <x v="11"/>
    <x v="11"/>
    <x v="1"/>
    <x v="6"/>
    <x v="4"/>
    <x v="1"/>
    <n v="44"/>
    <x v="13"/>
    <x v="0"/>
  </r>
  <r>
    <n v="66039"/>
    <x v="22"/>
    <x v="0"/>
    <x v="12"/>
    <x v="12"/>
    <x v="1"/>
    <x v="6"/>
    <x v="4"/>
    <x v="1"/>
    <n v="44"/>
    <x v="14"/>
    <x v="0"/>
  </r>
  <r>
    <n v="66040"/>
    <x v="22"/>
    <x v="1"/>
    <x v="5"/>
    <x v="5"/>
    <x v="3"/>
    <x v="6"/>
    <x v="4"/>
    <x v="1"/>
    <n v="44"/>
    <x v="16"/>
    <x v="0"/>
  </r>
  <r>
    <n v="66041"/>
    <x v="22"/>
    <x v="1"/>
    <x v="6"/>
    <x v="6"/>
    <x v="3"/>
    <x v="6"/>
    <x v="4"/>
    <x v="1"/>
    <n v="44"/>
    <x v="17"/>
    <x v="0"/>
  </r>
  <r>
    <n v="66042"/>
    <x v="23"/>
    <x v="0"/>
    <x v="0"/>
    <x v="0"/>
    <x v="0"/>
    <x v="7"/>
    <x v="4"/>
    <x v="1"/>
    <n v="45"/>
    <x v="0"/>
    <x v="0"/>
  </r>
  <r>
    <n v="66043"/>
    <x v="23"/>
    <x v="0"/>
    <x v="0"/>
    <x v="0"/>
    <x v="1"/>
    <x v="7"/>
    <x v="4"/>
    <x v="1"/>
    <n v="45"/>
    <x v="15"/>
    <x v="0"/>
  </r>
  <r>
    <n v="66044"/>
    <x v="23"/>
    <x v="0"/>
    <x v="1"/>
    <x v="1"/>
    <x v="0"/>
    <x v="7"/>
    <x v="4"/>
    <x v="1"/>
    <n v="45"/>
    <x v="1"/>
    <x v="0"/>
  </r>
  <r>
    <n v="66045"/>
    <x v="23"/>
    <x v="0"/>
    <x v="1"/>
    <x v="1"/>
    <x v="1"/>
    <x v="7"/>
    <x v="4"/>
    <x v="1"/>
    <n v="45"/>
    <x v="2"/>
    <x v="0"/>
  </r>
  <r>
    <n v="66046"/>
    <x v="23"/>
    <x v="0"/>
    <x v="2"/>
    <x v="2"/>
    <x v="1"/>
    <x v="7"/>
    <x v="4"/>
    <x v="1"/>
    <n v="45"/>
    <x v="3"/>
    <x v="0"/>
  </r>
  <r>
    <n v="66047"/>
    <x v="23"/>
    <x v="0"/>
    <x v="3"/>
    <x v="3"/>
    <x v="1"/>
    <x v="7"/>
    <x v="4"/>
    <x v="1"/>
    <n v="45"/>
    <x v="4"/>
    <x v="0"/>
  </r>
  <r>
    <n v="66048"/>
    <x v="23"/>
    <x v="0"/>
    <x v="4"/>
    <x v="4"/>
    <x v="0"/>
    <x v="7"/>
    <x v="4"/>
    <x v="1"/>
    <n v="45"/>
    <x v="5"/>
    <x v="0"/>
  </r>
  <r>
    <n v="66049"/>
    <x v="23"/>
    <x v="0"/>
    <x v="4"/>
    <x v="4"/>
    <x v="1"/>
    <x v="7"/>
    <x v="4"/>
    <x v="1"/>
    <n v="45"/>
    <x v="6"/>
    <x v="0"/>
  </r>
  <r>
    <n v="66050"/>
    <x v="23"/>
    <x v="1"/>
    <x v="5"/>
    <x v="5"/>
    <x v="2"/>
    <x v="7"/>
    <x v="4"/>
    <x v="1"/>
    <n v="45"/>
    <x v="7"/>
    <x v="0"/>
  </r>
  <r>
    <n v="66051"/>
    <x v="23"/>
    <x v="1"/>
    <x v="6"/>
    <x v="6"/>
    <x v="2"/>
    <x v="7"/>
    <x v="4"/>
    <x v="1"/>
    <n v="45"/>
    <x v="8"/>
    <x v="0"/>
  </r>
  <r>
    <n v="66052"/>
    <x v="23"/>
    <x v="0"/>
    <x v="7"/>
    <x v="7"/>
    <x v="0"/>
    <x v="7"/>
    <x v="4"/>
    <x v="1"/>
    <n v="45"/>
    <x v="9"/>
    <x v="0"/>
  </r>
  <r>
    <n v="66053"/>
    <x v="23"/>
    <x v="0"/>
    <x v="8"/>
    <x v="8"/>
    <x v="0"/>
    <x v="7"/>
    <x v="4"/>
    <x v="1"/>
    <n v="45"/>
    <x v="10"/>
    <x v="0"/>
  </r>
  <r>
    <n v="66054"/>
    <x v="23"/>
    <x v="0"/>
    <x v="9"/>
    <x v="9"/>
    <x v="1"/>
    <x v="7"/>
    <x v="4"/>
    <x v="1"/>
    <n v="45"/>
    <x v="11"/>
    <x v="0"/>
  </r>
  <r>
    <n v="66055"/>
    <x v="23"/>
    <x v="0"/>
    <x v="10"/>
    <x v="10"/>
    <x v="1"/>
    <x v="7"/>
    <x v="4"/>
    <x v="1"/>
    <n v="45"/>
    <x v="12"/>
    <x v="0"/>
  </r>
  <r>
    <n v="66056"/>
    <x v="23"/>
    <x v="0"/>
    <x v="11"/>
    <x v="11"/>
    <x v="1"/>
    <x v="7"/>
    <x v="4"/>
    <x v="1"/>
    <n v="45"/>
    <x v="13"/>
    <x v="0"/>
  </r>
  <r>
    <n v="66057"/>
    <x v="23"/>
    <x v="0"/>
    <x v="12"/>
    <x v="12"/>
    <x v="1"/>
    <x v="7"/>
    <x v="4"/>
    <x v="1"/>
    <n v="45"/>
    <x v="14"/>
    <x v="0"/>
  </r>
  <r>
    <n v="66058"/>
    <x v="23"/>
    <x v="1"/>
    <x v="5"/>
    <x v="5"/>
    <x v="3"/>
    <x v="7"/>
    <x v="4"/>
    <x v="1"/>
    <n v="45"/>
    <x v="16"/>
    <x v="0"/>
  </r>
  <r>
    <n v="66059"/>
    <x v="23"/>
    <x v="1"/>
    <x v="6"/>
    <x v="6"/>
    <x v="3"/>
    <x v="7"/>
    <x v="4"/>
    <x v="1"/>
    <n v="45"/>
    <x v="17"/>
    <x v="0"/>
  </r>
  <r>
    <n v="66060"/>
    <x v="24"/>
    <x v="0"/>
    <x v="0"/>
    <x v="0"/>
    <x v="0"/>
    <x v="7"/>
    <x v="4"/>
    <x v="1"/>
    <n v="46"/>
    <x v="0"/>
    <x v="0"/>
  </r>
  <r>
    <n v="66061"/>
    <x v="24"/>
    <x v="0"/>
    <x v="0"/>
    <x v="0"/>
    <x v="1"/>
    <x v="7"/>
    <x v="4"/>
    <x v="1"/>
    <n v="46"/>
    <x v="15"/>
    <x v="0"/>
  </r>
  <r>
    <n v="66062"/>
    <x v="24"/>
    <x v="0"/>
    <x v="1"/>
    <x v="1"/>
    <x v="0"/>
    <x v="7"/>
    <x v="4"/>
    <x v="1"/>
    <n v="46"/>
    <x v="1"/>
    <x v="0"/>
  </r>
  <r>
    <n v="66063"/>
    <x v="24"/>
    <x v="0"/>
    <x v="1"/>
    <x v="1"/>
    <x v="1"/>
    <x v="7"/>
    <x v="4"/>
    <x v="1"/>
    <n v="46"/>
    <x v="2"/>
    <x v="0"/>
  </r>
  <r>
    <n v="66064"/>
    <x v="24"/>
    <x v="0"/>
    <x v="2"/>
    <x v="2"/>
    <x v="1"/>
    <x v="7"/>
    <x v="4"/>
    <x v="1"/>
    <n v="46"/>
    <x v="3"/>
    <x v="0"/>
  </r>
  <r>
    <n v="66065"/>
    <x v="24"/>
    <x v="0"/>
    <x v="3"/>
    <x v="3"/>
    <x v="1"/>
    <x v="7"/>
    <x v="4"/>
    <x v="1"/>
    <n v="46"/>
    <x v="4"/>
    <x v="0"/>
  </r>
  <r>
    <n v="66066"/>
    <x v="24"/>
    <x v="0"/>
    <x v="4"/>
    <x v="4"/>
    <x v="0"/>
    <x v="7"/>
    <x v="4"/>
    <x v="1"/>
    <n v="46"/>
    <x v="5"/>
    <x v="0"/>
  </r>
  <r>
    <n v="66067"/>
    <x v="24"/>
    <x v="0"/>
    <x v="4"/>
    <x v="4"/>
    <x v="1"/>
    <x v="7"/>
    <x v="4"/>
    <x v="1"/>
    <n v="46"/>
    <x v="6"/>
    <x v="0"/>
  </r>
  <r>
    <n v="66068"/>
    <x v="24"/>
    <x v="1"/>
    <x v="5"/>
    <x v="5"/>
    <x v="2"/>
    <x v="7"/>
    <x v="4"/>
    <x v="1"/>
    <n v="46"/>
    <x v="7"/>
    <x v="0"/>
  </r>
  <r>
    <n v="66069"/>
    <x v="24"/>
    <x v="1"/>
    <x v="6"/>
    <x v="6"/>
    <x v="2"/>
    <x v="7"/>
    <x v="4"/>
    <x v="1"/>
    <n v="46"/>
    <x v="8"/>
    <x v="0"/>
  </r>
  <r>
    <n v="66070"/>
    <x v="24"/>
    <x v="0"/>
    <x v="7"/>
    <x v="7"/>
    <x v="0"/>
    <x v="7"/>
    <x v="4"/>
    <x v="1"/>
    <n v="46"/>
    <x v="9"/>
    <x v="0"/>
  </r>
  <r>
    <n v="66071"/>
    <x v="24"/>
    <x v="0"/>
    <x v="8"/>
    <x v="8"/>
    <x v="0"/>
    <x v="7"/>
    <x v="4"/>
    <x v="1"/>
    <n v="46"/>
    <x v="10"/>
    <x v="0"/>
  </r>
  <r>
    <n v="66072"/>
    <x v="24"/>
    <x v="0"/>
    <x v="9"/>
    <x v="9"/>
    <x v="1"/>
    <x v="7"/>
    <x v="4"/>
    <x v="1"/>
    <n v="46"/>
    <x v="11"/>
    <x v="0"/>
  </r>
  <r>
    <n v="66073"/>
    <x v="24"/>
    <x v="0"/>
    <x v="10"/>
    <x v="10"/>
    <x v="1"/>
    <x v="7"/>
    <x v="4"/>
    <x v="1"/>
    <n v="46"/>
    <x v="12"/>
    <x v="0"/>
  </r>
  <r>
    <n v="66074"/>
    <x v="24"/>
    <x v="0"/>
    <x v="11"/>
    <x v="11"/>
    <x v="1"/>
    <x v="7"/>
    <x v="4"/>
    <x v="1"/>
    <n v="46"/>
    <x v="13"/>
    <x v="0"/>
  </r>
  <r>
    <n v="66075"/>
    <x v="24"/>
    <x v="0"/>
    <x v="12"/>
    <x v="12"/>
    <x v="1"/>
    <x v="7"/>
    <x v="4"/>
    <x v="1"/>
    <n v="46"/>
    <x v="14"/>
    <x v="0"/>
  </r>
  <r>
    <n v="66076"/>
    <x v="24"/>
    <x v="1"/>
    <x v="5"/>
    <x v="5"/>
    <x v="3"/>
    <x v="7"/>
    <x v="4"/>
    <x v="1"/>
    <n v="46"/>
    <x v="16"/>
    <x v="0"/>
  </r>
  <r>
    <n v="66077"/>
    <x v="24"/>
    <x v="1"/>
    <x v="6"/>
    <x v="6"/>
    <x v="3"/>
    <x v="7"/>
    <x v="4"/>
    <x v="1"/>
    <n v="46"/>
    <x v="17"/>
    <x v="0"/>
  </r>
  <r>
    <n v="66078"/>
    <x v="25"/>
    <x v="0"/>
    <x v="0"/>
    <x v="0"/>
    <x v="0"/>
    <x v="7"/>
    <x v="4"/>
    <x v="1"/>
    <n v="47"/>
    <x v="0"/>
    <x v="0"/>
  </r>
  <r>
    <n v="66079"/>
    <x v="25"/>
    <x v="0"/>
    <x v="0"/>
    <x v="0"/>
    <x v="1"/>
    <x v="7"/>
    <x v="4"/>
    <x v="1"/>
    <n v="47"/>
    <x v="15"/>
    <x v="0"/>
  </r>
  <r>
    <n v="66080"/>
    <x v="25"/>
    <x v="0"/>
    <x v="1"/>
    <x v="1"/>
    <x v="0"/>
    <x v="7"/>
    <x v="4"/>
    <x v="1"/>
    <n v="47"/>
    <x v="1"/>
    <x v="0"/>
  </r>
  <r>
    <n v="66081"/>
    <x v="25"/>
    <x v="0"/>
    <x v="1"/>
    <x v="1"/>
    <x v="1"/>
    <x v="7"/>
    <x v="4"/>
    <x v="1"/>
    <n v="47"/>
    <x v="2"/>
    <x v="0"/>
  </r>
  <r>
    <n v="66082"/>
    <x v="25"/>
    <x v="0"/>
    <x v="2"/>
    <x v="2"/>
    <x v="1"/>
    <x v="7"/>
    <x v="4"/>
    <x v="1"/>
    <n v="47"/>
    <x v="3"/>
    <x v="0"/>
  </r>
  <r>
    <n v="66083"/>
    <x v="25"/>
    <x v="0"/>
    <x v="3"/>
    <x v="3"/>
    <x v="1"/>
    <x v="7"/>
    <x v="4"/>
    <x v="1"/>
    <n v="47"/>
    <x v="4"/>
    <x v="0"/>
  </r>
  <r>
    <n v="66084"/>
    <x v="25"/>
    <x v="0"/>
    <x v="4"/>
    <x v="4"/>
    <x v="0"/>
    <x v="7"/>
    <x v="4"/>
    <x v="1"/>
    <n v="47"/>
    <x v="5"/>
    <x v="0"/>
  </r>
  <r>
    <n v="66085"/>
    <x v="25"/>
    <x v="0"/>
    <x v="4"/>
    <x v="4"/>
    <x v="1"/>
    <x v="7"/>
    <x v="4"/>
    <x v="1"/>
    <n v="47"/>
    <x v="6"/>
    <x v="0"/>
  </r>
  <r>
    <n v="66086"/>
    <x v="25"/>
    <x v="1"/>
    <x v="5"/>
    <x v="5"/>
    <x v="2"/>
    <x v="7"/>
    <x v="4"/>
    <x v="1"/>
    <n v="47"/>
    <x v="7"/>
    <x v="0"/>
  </r>
  <r>
    <n v="66087"/>
    <x v="25"/>
    <x v="1"/>
    <x v="6"/>
    <x v="6"/>
    <x v="2"/>
    <x v="7"/>
    <x v="4"/>
    <x v="1"/>
    <n v="47"/>
    <x v="8"/>
    <x v="0"/>
  </r>
  <r>
    <n v="66088"/>
    <x v="25"/>
    <x v="0"/>
    <x v="7"/>
    <x v="7"/>
    <x v="0"/>
    <x v="7"/>
    <x v="4"/>
    <x v="1"/>
    <n v="47"/>
    <x v="9"/>
    <x v="0"/>
  </r>
  <r>
    <n v="66089"/>
    <x v="25"/>
    <x v="0"/>
    <x v="8"/>
    <x v="8"/>
    <x v="0"/>
    <x v="7"/>
    <x v="4"/>
    <x v="1"/>
    <n v="47"/>
    <x v="10"/>
    <x v="0"/>
  </r>
  <r>
    <n v="66090"/>
    <x v="25"/>
    <x v="0"/>
    <x v="9"/>
    <x v="9"/>
    <x v="1"/>
    <x v="7"/>
    <x v="4"/>
    <x v="1"/>
    <n v="47"/>
    <x v="11"/>
    <x v="0"/>
  </r>
  <r>
    <n v="66091"/>
    <x v="25"/>
    <x v="0"/>
    <x v="10"/>
    <x v="10"/>
    <x v="1"/>
    <x v="7"/>
    <x v="4"/>
    <x v="1"/>
    <n v="47"/>
    <x v="12"/>
    <x v="0"/>
  </r>
  <r>
    <n v="66092"/>
    <x v="25"/>
    <x v="0"/>
    <x v="11"/>
    <x v="11"/>
    <x v="1"/>
    <x v="7"/>
    <x v="4"/>
    <x v="1"/>
    <n v="47"/>
    <x v="13"/>
    <x v="0"/>
  </r>
  <r>
    <n v="66093"/>
    <x v="25"/>
    <x v="0"/>
    <x v="12"/>
    <x v="12"/>
    <x v="1"/>
    <x v="7"/>
    <x v="4"/>
    <x v="1"/>
    <n v="47"/>
    <x v="14"/>
    <x v="0"/>
  </r>
  <r>
    <n v="66094"/>
    <x v="25"/>
    <x v="1"/>
    <x v="5"/>
    <x v="5"/>
    <x v="3"/>
    <x v="7"/>
    <x v="4"/>
    <x v="1"/>
    <n v="47"/>
    <x v="16"/>
    <x v="0"/>
  </r>
  <r>
    <n v="66095"/>
    <x v="25"/>
    <x v="1"/>
    <x v="6"/>
    <x v="6"/>
    <x v="3"/>
    <x v="7"/>
    <x v="4"/>
    <x v="1"/>
    <n v="47"/>
    <x v="17"/>
    <x v="0"/>
  </r>
  <r>
    <n v="66096"/>
    <x v="26"/>
    <x v="0"/>
    <x v="0"/>
    <x v="0"/>
    <x v="0"/>
    <x v="7"/>
    <x v="4"/>
    <x v="1"/>
    <n v="48"/>
    <x v="0"/>
    <x v="0"/>
  </r>
  <r>
    <n v="66097"/>
    <x v="26"/>
    <x v="0"/>
    <x v="0"/>
    <x v="0"/>
    <x v="1"/>
    <x v="7"/>
    <x v="4"/>
    <x v="1"/>
    <n v="48"/>
    <x v="15"/>
    <x v="0"/>
  </r>
  <r>
    <n v="66098"/>
    <x v="26"/>
    <x v="0"/>
    <x v="1"/>
    <x v="1"/>
    <x v="0"/>
    <x v="7"/>
    <x v="4"/>
    <x v="1"/>
    <n v="48"/>
    <x v="1"/>
    <x v="0"/>
  </r>
  <r>
    <n v="66099"/>
    <x v="26"/>
    <x v="0"/>
    <x v="1"/>
    <x v="1"/>
    <x v="1"/>
    <x v="7"/>
    <x v="4"/>
    <x v="1"/>
    <n v="48"/>
    <x v="2"/>
    <x v="0"/>
  </r>
  <r>
    <n v="66100"/>
    <x v="26"/>
    <x v="0"/>
    <x v="2"/>
    <x v="2"/>
    <x v="1"/>
    <x v="7"/>
    <x v="4"/>
    <x v="1"/>
    <n v="48"/>
    <x v="3"/>
    <x v="0"/>
  </r>
  <r>
    <n v="66101"/>
    <x v="26"/>
    <x v="0"/>
    <x v="3"/>
    <x v="3"/>
    <x v="1"/>
    <x v="7"/>
    <x v="4"/>
    <x v="1"/>
    <n v="48"/>
    <x v="4"/>
    <x v="0"/>
  </r>
  <r>
    <n v="66102"/>
    <x v="26"/>
    <x v="0"/>
    <x v="4"/>
    <x v="4"/>
    <x v="0"/>
    <x v="7"/>
    <x v="4"/>
    <x v="1"/>
    <n v="48"/>
    <x v="5"/>
    <x v="0"/>
  </r>
  <r>
    <n v="66103"/>
    <x v="26"/>
    <x v="0"/>
    <x v="4"/>
    <x v="4"/>
    <x v="1"/>
    <x v="7"/>
    <x v="4"/>
    <x v="1"/>
    <n v="48"/>
    <x v="6"/>
    <x v="0"/>
  </r>
  <r>
    <n v="66104"/>
    <x v="26"/>
    <x v="1"/>
    <x v="5"/>
    <x v="5"/>
    <x v="2"/>
    <x v="7"/>
    <x v="4"/>
    <x v="1"/>
    <n v="48"/>
    <x v="7"/>
    <x v="0"/>
  </r>
  <r>
    <n v="66105"/>
    <x v="26"/>
    <x v="1"/>
    <x v="6"/>
    <x v="6"/>
    <x v="2"/>
    <x v="7"/>
    <x v="4"/>
    <x v="1"/>
    <n v="48"/>
    <x v="8"/>
    <x v="0"/>
  </r>
  <r>
    <n v="66106"/>
    <x v="26"/>
    <x v="0"/>
    <x v="7"/>
    <x v="7"/>
    <x v="0"/>
    <x v="7"/>
    <x v="4"/>
    <x v="1"/>
    <n v="48"/>
    <x v="9"/>
    <x v="0"/>
  </r>
  <r>
    <n v="66107"/>
    <x v="26"/>
    <x v="0"/>
    <x v="8"/>
    <x v="8"/>
    <x v="0"/>
    <x v="7"/>
    <x v="4"/>
    <x v="1"/>
    <n v="48"/>
    <x v="10"/>
    <x v="0"/>
  </r>
  <r>
    <n v="66108"/>
    <x v="26"/>
    <x v="0"/>
    <x v="9"/>
    <x v="9"/>
    <x v="1"/>
    <x v="7"/>
    <x v="4"/>
    <x v="1"/>
    <n v="48"/>
    <x v="11"/>
    <x v="0"/>
  </r>
  <r>
    <n v="66109"/>
    <x v="26"/>
    <x v="0"/>
    <x v="10"/>
    <x v="10"/>
    <x v="1"/>
    <x v="7"/>
    <x v="4"/>
    <x v="1"/>
    <n v="48"/>
    <x v="12"/>
    <x v="0"/>
  </r>
  <r>
    <n v="66110"/>
    <x v="26"/>
    <x v="0"/>
    <x v="11"/>
    <x v="11"/>
    <x v="1"/>
    <x v="7"/>
    <x v="4"/>
    <x v="1"/>
    <n v="48"/>
    <x v="13"/>
    <x v="0"/>
  </r>
  <r>
    <n v="66111"/>
    <x v="26"/>
    <x v="0"/>
    <x v="12"/>
    <x v="12"/>
    <x v="1"/>
    <x v="7"/>
    <x v="4"/>
    <x v="1"/>
    <n v="48"/>
    <x v="14"/>
    <x v="0"/>
  </r>
  <r>
    <n v="66112"/>
    <x v="26"/>
    <x v="1"/>
    <x v="5"/>
    <x v="5"/>
    <x v="3"/>
    <x v="7"/>
    <x v="4"/>
    <x v="1"/>
    <n v="48"/>
    <x v="16"/>
    <x v="0"/>
  </r>
  <r>
    <n v="66113"/>
    <x v="26"/>
    <x v="1"/>
    <x v="6"/>
    <x v="6"/>
    <x v="3"/>
    <x v="7"/>
    <x v="4"/>
    <x v="1"/>
    <n v="48"/>
    <x v="17"/>
    <x v="0"/>
  </r>
  <r>
    <n v="66114"/>
    <x v="27"/>
    <x v="0"/>
    <x v="0"/>
    <x v="0"/>
    <x v="0"/>
    <x v="7"/>
    <x v="4"/>
    <x v="1"/>
    <n v="49"/>
    <x v="0"/>
    <x v="0"/>
  </r>
  <r>
    <n v="66115"/>
    <x v="27"/>
    <x v="0"/>
    <x v="0"/>
    <x v="0"/>
    <x v="1"/>
    <x v="7"/>
    <x v="4"/>
    <x v="1"/>
    <n v="49"/>
    <x v="15"/>
    <x v="0"/>
  </r>
  <r>
    <n v="66116"/>
    <x v="27"/>
    <x v="0"/>
    <x v="1"/>
    <x v="1"/>
    <x v="0"/>
    <x v="7"/>
    <x v="4"/>
    <x v="1"/>
    <n v="49"/>
    <x v="1"/>
    <x v="0"/>
  </r>
  <r>
    <n v="66117"/>
    <x v="27"/>
    <x v="0"/>
    <x v="1"/>
    <x v="1"/>
    <x v="1"/>
    <x v="7"/>
    <x v="4"/>
    <x v="1"/>
    <n v="49"/>
    <x v="2"/>
    <x v="0"/>
  </r>
  <r>
    <n v="66118"/>
    <x v="27"/>
    <x v="0"/>
    <x v="2"/>
    <x v="2"/>
    <x v="1"/>
    <x v="7"/>
    <x v="4"/>
    <x v="1"/>
    <n v="49"/>
    <x v="3"/>
    <x v="0"/>
  </r>
  <r>
    <n v="66119"/>
    <x v="27"/>
    <x v="0"/>
    <x v="3"/>
    <x v="3"/>
    <x v="1"/>
    <x v="7"/>
    <x v="4"/>
    <x v="1"/>
    <n v="49"/>
    <x v="4"/>
    <x v="0"/>
  </r>
  <r>
    <n v="66120"/>
    <x v="27"/>
    <x v="0"/>
    <x v="4"/>
    <x v="4"/>
    <x v="0"/>
    <x v="7"/>
    <x v="4"/>
    <x v="1"/>
    <n v="49"/>
    <x v="5"/>
    <x v="0"/>
  </r>
  <r>
    <n v="66121"/>
    <x v="27"/>
    <x v="0"/>
    <x v="4"/>
    <x v="4"/>
    <x v="1"/>
    <x v="7"/>
    <x v="4"/>
    <x v="1"/>
    <n v="49"/>
    <x v="6"/>
    <x v="0"/>
  </r>
  <r>
    <n v="66175"/>
    <x v="28"/>
    <x v="0"/>
    <x v="4"/>
    <x v="4"/>
    <x v="1"/>
    <x v="8"/>
    <x v="5"/>
    <x v="1"/>
    <n v="52"/>
    <x v="6"/>
    <x v="0"/>
  </r>
  <r>
    <n v="66122"/>
    <x v="27"/>
    <x v="1"/>
    <x v="5"/>
    <x v="5"/>
    <x v="2"/>
    <x v="7"/>
    <x v="4"/>
    <x v="1"/>
    <n v="49"/>
    <x v="7"/>
    <x v="0"/>
  </r>
  <r>
    <n v="66123"/>
    <x v="27"/>
    <x v="1"/>
    <x v="6"/>
    <x v="6"/>
    <x v="2"/>
    <x v="7"/>
    <x v="4"/>
    <x v="1"/>
    <n v="49"/>
    <x v="8"/>
    <x v="0"/>
  </r>
  <r>
    <n v="66124"/>
    <x v="27"/>
    <x v="0"/>
    <x v="7"/>
    <x v="7"/>
    <x v="0"/>
    <x v="7"/>
    <x v="4"/>
    <x v="1"/>
    <n v="49"/>
    <x v="9"/>
    <x v="0"/>
  </r>
  <r>
    <n v="66125"/>
    <x v="27"/>
    <x v="0"/>
    <x v="8"/>
    <x v="8"/>
    <x v="0"/>
    <x v="7"/>
    <x v="4"/>
    <x v="1"/>
    <n v="49"/>
    <x v="10"/>
    <x v="0"/>
  </r>
  <r>
    <n v="66126"/>
    <x v="27"/>
    <x v="0"/>
    <x v="9"/>
    <x v="9"/>
    <x v="1"/>
    <x v="7"/>
    <x v="4"/>
    <x v="1"/>
    <n v="49"/>
    <x v="11"/>
    <x v="0"/>
  </r>
  <r>
    <n v="66127"/>
    <x v="27"/>
    <x v="0"/>
    <x v="10"/>
    <x v="10"/>
    <x v="1"/>
    <x v="7"/>
    <x v="4"/>
    <x v="1"/>
    <n v="49"/>
    <x v="12"/>
    <x v="0"/>
  </r>
  <r>
    <n v="66128"/>
    <x v="27"/>
    <x v="0"/>
    <x v="11"/>
    <x v="11"/>
    <x v="1"/>
    <x v="7"/>
    <x v="4"/>
    <x v="1"/>
    <n v="49"/>
    <x v="13"/>
    <x v="0"/>
  </r>
  <r>
    <n v="66129"/>
    <x v="27"/>
    <x v="0"/>
    <x v="12"/>
    <x v="12"/>
    <x v="1"/>
    <x v="7"/>
    <x v="4"/>
    <x v="1"/>
    <n v="49"/>
    <x v="14"/>
    <x v="0"/>
  </r>
  <r>
    <n v="66130"/>
    <x v="27"/>
    <x v="1"/>
    <x v="5"/>
    <x v="5"/>
    <x v="3"/>
    <x v="7"/>
    <x v="4"/>
    <x v="1"/>
    <n v="49"/>
    <x v="16"/>
    <x v="0"/>
  </r>
  <r>
    <n v="66131"/>
    <x v="27"/>
    <x v="1"/>
    <x v="6"/>
    <x v="6"/>
    <x v="3"/>
    <x v="7"/>
    <x v="4"/>
    <x v="1"/>
    <n v="49"/>
    <x v="17"/>
    <x v="0"/>
  </r>
  <r>
    <n v="66132"/>
    <x v="29"/>
    <x v="0"/>
    <x v="0"/>
    <x v="0"/>
    <x v="0"/>
    <x v="7"/>
    <x v="4"/>
    <x v="1"/>
    <n v="50"/>
    <x v="0"/>
    <x v="0"/>
  </r>
  <r>
    <n v="66133"/>
    <x v="29"/>
    <x v="0"/>
    <x v="0"/>
    <x v="0"/>
    <x v="1"/>
    <x v="7"/>
    <x v="4"/>
    <x v="1"/>
    <n v="50"/>
    <x v="15"/>
    <x v="0"/>
  </r>
  <r>
    <n v="66134"/>
    <x v="29"/>
    <x v="0"/>
    <x v="1"/>
    <x v="1"/>
    <x v="0"/>
    <x v="7"/>
    <x v="4"/>
    <x v="1"/>
    <n v="50"/>
    <x v="1"/>
    <x v="0"/>
  </r>
  <r>
    <n v="66135"/>
    <x v="29"/>
    <x v="0"/>
    <x v="1"/>
    <x v="1"/>
    <x v="1"/>
    <x v="7"/>
    <x v="4"/>
    <x v="1"/>
    <n v="50"/>
    <x v="2"/>
    <x v="0"/>
  </r>
  <r>
    <n v="66136"/>
    <x v="29"/>
    <x v="0"/>
    <x v="2"/>
    <x v="2"/>
    <x v="1"/>
    <x v="7"/>
    <x v="4"/>
    <x v="1"/>
    <n v="50"/>
    <x v="3"/>
    <x v="0"/>
  </r>
  <r>
    <n v="66137"/>
    <x v="29"/>
    <x v="0"/>
    <x v="3"/>
    <x v="3"/>
    <x v="1"/>
    <x v="7"/>
    <x v="4"/>
    <x v="1"/>
    <n v="50"/>
    <x v="4"/>
    <x v="0"/>
  </r>
  <r>
    <n v="66138"/>
    <x v="29"/>
    <x v="0"/>
    <x v="4"/>
    <x v="4"/>
    <x v="0"/>
    <x v="7"/>
    <x v="4"/>
    <x v="1"/>
    <n v="50"/>
    <x v="5"/>
    <x v="0"/>
  </r>
  <r>
    <n v="66139"/>
    <x v="29"/>
    <x v="0"/>
    <x v="4"/>
    <x v="4"/>
    <x v="1"/>
    <x v="7"/>
    <x v="4"/>
    <x v="1"/>
    <n v="50"/>
    <x v="6"/>
    <x v="0"/>
  </r>
  <r>
    <n v="66140"/>
    <x v="29"/>
    <x v="1"/>
    <x v="5"/>
    <x v="5"/>
    <x v="2"/>
    <x v="7"/>
    <x v="4"/>
    <x v="1"/>
    <n v="50"/>
    <x v="7"/>
    <x v="0"/>
  </r>
  <r>
    <n v="66141"/>
    <x v="29"/>
    <x v="1"/>
    <x v="6"/>
    <x v="6"/>
    <x v="2"/>
    <x v="7"/>
    <x v="4"/>
    <x v="1"/>
    <n v="50"/>
    <x v="8"/>
    <x v="0"/>
  </r>
  <r>
    <n v="66142"/>
    <x v="29"/>
    <x v="0"/>
    <x v="7"/>
    <x v="7"/>
    <x v="0"/>
    <x v="7"/>
    <x v="4"/>
    <x v="1"/>
    <n v="50"/>
    <x v="9"/>
    <x v="0"/>
  </r>
  <r>
    <n v="66143"/>
    <x v="29"/>
    <x v="0"/>
    <x v="8"/>
    <x v="8"/>
    <x v="0"/>
    <x v="7"/>
    <x v="4"/>
    <x v="1"/>
    <n v="50"/>
    <x v="10"/>
    <x v="0"/>
  </r>
  <r>
    <n v="66144"/>
    <x v="29"/>
    <x v="0"/>
    <x v="9"/>
    <x v="9"/>
    <x v="1"/>
    <x v="7"/>
    <x v="4"/>
    <x v="1"/>
    <n v="50"/>
    <x v="11"/>
    <x v="0"/>
  </r>
  <r>
    <n v="66145"/>
    <x v="29"/>
    <x v="0"/>
    <x v="10"/>
    <x v="10"/>
    <x v="1"/>
    <x v="7"/>
    <x v="4"/>
    <x v="1"/>
    <n v="50"/>
    <x v="12"/>
    <x v="0"/>
  </r>
  <r>
    <n v="66146"/>
    <x v="29"/>
    <x v="0"/>
    <x v="11"/>
    <x v="11"/>
    <x v="1"/>
    <x v="7"/>
    <x v="4"/>
    <x v="1"/>
    <n v="50"/>
    <x v="13"/>
    <x v="0"/>
  </r>
  <r>
    <n v="66147"/>
    <x v="29"/>
    <x v="0"/>
    <x v="12"/>
    <x v="12"/>
    <x v="1"/>
    <x v="7"/>
    <x v="4"/>
    <x v="1"/>
    <n v="50"/>
    <x v="14"/>
    <x v="0"/>
  </r>
  <r>
    <n v="66148"/>
    <x v="29"/>
    <x v="1"/>
    <x v="5"/>
    <x v="5"/>
    <x v="3"/>
    <x v="7"/>
    <x v="4"/>
    <x v="1"/>
    <n v="50"/>
    <x v="16"/>
    <x v="0"/>
  </r>
  <r>
    <n v="66149"/>
    <x v="29"/>
    <x v="1"/>
    <x v="6"/>
    <x v="6"/>
    <x v="3"/>
    <x v="7"/>
    <x v="4"/>
    <x v="1"/>
    <n v="50"/>
    <x v="17"/>
    <x v="0"/>
  </r>
  <r>
    <n v="66150"/>
    <x v="30"/>
    <x v="0"/>
    <x v="0"/>
    <x v="0"/>
    <x v="0"/>
    <x v="8"/>
    <x v="5"/>
    <x v="1"/>
    <n v="51"/>
    <x v="0"/>
    <x v="0"/>
  </r>
  <r>
    <n v="66151"/>
    <x v="30"/>
    <x v="0"/>
    <x v="0"/>
    <x v="0"/>
    <x v="1"/>
    <x v="8"/>
    <x v="5"/>
    <x v="1"/>
    <n v="51"/>
    <x v="15"/>
    <x v="0"/>
  </r>
  <r>
    <n v="66152"/>
    <x v="30"/>
    <x v="0"/>
    <x v="1"/>
    <x v="1"/>
    <x v="0"/>
    <x v="8"/>
    <x v="5"/>
    <x v="1"/>
    <n v="51"/>
    <x v="1"/>
    <x v="0"/>
  </r>
  <r>
    <n v="66153"/>
    <x v="30"/>
    <x v="0"/>
    <x v="1"/>
    <x v="1"/>
    <x v="1"/>
    <x v="8"/>
    <x v="5"/>
    <x v="1"/>
    <n v="51"/>
    <x v="2"/>
    <x v="0"/>
  </r>
  <r>
    <n v="66154"/>
    <x v="30"/>
    <x v="0"/>
    <x v="2"/>
    <x v="2"/>
    <x v="1"/>
    <x v="8"/>
    <x v="5"/>
    <x v="1"/>
    <n v="51"/>
    <x v="3"/>
    <x v="0"/>
  </r>
  <r>
    <n v="66155"/>
    <x v="30"/>
    <x v="0"/>
    <x v="3"/>
    <x v="3"/>
    <x v="1"/>
    <x v="8"/>
    <x v="5"/>
    <x v="1"/>
    <n v="51"/>
    <x v="4"/>
    <x v="0"/>
  </r>
  <r>
    <n v="66156"/>
    <x v="30"/>
    <x v="0"/>
    <x v="4"/>
    <x v="4"/>
    <x v="0"/>
    <x v="8"/>
    <x v="5"/>
    <x v="1"/>
    <n v="51"/>
    <x v="5"/>
    <x v="0"/>
  </r>
  <r>
    <n v="66157"/>
    <x v="30"/>
    <x v="0"/>
    <x v="4"/>
    <x v="4"/>
    <x v="1"/>
    <x v="8"/>
    <x v="5"/>
    <x v="1"/>
    <n v="51"/>
    <x v="6"/>
    <x v="0"/>
  </r>
  <r>
    <n v="66158"/>
    <x v="30"/>
    <x v="1"/>
    <x v="5"/>
    <x v="5"/>
    <x v="2"/>
    <x v="8"/>
    <x v="5"/>
    <x v="1"/>
    <n v="51"/>
    <x v="7"/>
    <x v="0"/>
  </r>
  <r>
    <n v="66159"/>
    <x v="30"/>
    <x v="1"/>
    <x v="6"/>
    <x v="6"/>
    <x v="2"/>
    <x v="8"/>
    <x v="5"/>
    <x v="1"/>
    <n v="51"/>
    <x v="8"/>
    <x v="0"/>
  </r>
  <r>
    <n v="66160"/>
    <x v="30"/>
    <x v="0"/>
    <x v="7"/>
    <x v="7"/>
    <x v="0"/>
    <x v="8"/>
    <x v="5"/>
    <x v="1"/>
    <n v="51"/>
    <x v="9"/>
    <x v="0"/>
  </r>
  <r>
    <n v="66161"/>
    <x v="30"/>
    <x v="0"/>
    <x v="8"/>
    <x v="8"/>
    <x v="0"/>
    <x v="8"/>
    <x v="5"/>
    <x v="1"/>
    <n v="51"/>
    <x v="10"/>
    <x v="0"/>
  </r>
  <r>
    <n v="66162"/>
    <x v="30"/>
    <x v="0"/>
    <x v="9"/>
    <x v="9"/>
    <x v="1"/>
    <x v="8"/>
    <x v="5"/>
    <x v="1"/>
    <n v="51"/>
    <x v="11"/>
    <x v="0"/>
  </r>
  <r>
    <n v="66163"/>
    <x v="30"/>
    <x v="0"/>
    <x v="10"/>
    <x v="10"/>
    <x v="1"/>
    <x v="8"/>
    <x v="5"/>
    <x v="1"/>
    <n v="51"/>
    <x v="12"/>
    <x v="0"/>
  </r>
  <r>
    <n v="66164"/>
    <x v="30"/>
    <x v="0"/>
    <x v="11"/>
    <x v="11"/>
    <x v="1"/>
    <x v="8"/>
    <x v="5"/>
    <x v="1"/>
    <n v="51"/>
    <x v="13"/>
    <x v="0"/>
  </r>
  <r>
    <n v="66165"/>
    <x v="30"/>
    <x v="0"/>
    <x v="12"/>
    <x v="12"/>
    <x v="1"/>
    <x v="8"/>
    <x v="5"/>
    <x v="1"/>
    <n v="51"/>
    <x v="14"/>
    <x v="0"/>
  </r>
  <r>
    <n v="66166"/>
    <x v="30"/>
    <x v="1"/>
    <x v="5"/>
    <x v="5"/>
    <x v="3"/>
    <x v="8"/>
    <x v="5"/>
    <x v="1"/>
    <n v="51"/>
    <x v="16"/>
    <x v="0"/>
  </r>
  <r>
    <n v="66167"/>
    <x v="30"/>
    <x v="1"/>
    <x v="6"/>
    <x v="6"/>
    <x v="3"/>
    <x v="8"/>
    <x v="5"/>
    <x v="1"/>
    <n v="51"/>
    <x v="17"/>
    <x v="0"/>
  </r>
  <r>
    <n v="66168"/>
    <x v="28"/>
    <x v="0"/>
    <x v="0"/>
    <x v="0"/>
    <x v="0"/>
    <x v="8"/>
    <x v="5"/>
    <x v="1"/>
    <n v="52"/>
    <x v="0"/>
    <x v="0"/>
  </r>
  <r>
    <n v="66169"/>
    <x v="28"/>
    <x v="0"/>
    <x v="0"/>
    <x v="0"/>
    <x v="1"/>
    <x v="8"/>
    <x v="5"/>
    <x v="1"/>
    <n v="52"/>
    <x v="15"/>
    <x v="0"/>
  </r>
  <r>
    <n v="66170"/>
    <x v="28"/>
    <x v="0"/>
    <x v="1"/>
    <x v="1"/>
    <x v="0"/>
    <x v="8"/>
    <x v="5"/>
    <x v="1"/>
    <n v="52"/>
    <x v="1"/>
    <x v="0"/>
  </r>
  <r>
    <n v="66171"/>
    <x v="28"/>
    <x v="0"/>
    <x v="1"/>
    <x v="1"/>
    <x v="1"/>
    <x v="8"/>
    <x v="5"/>
    <x v="1"/>
    <n v="52"/>
    <x v="2"/>
    <x v="0"/>
  </r>
  <r>
    <n v="66172"/>
    <x v="28"/>
    <x v="0"/>
    <x v="2"/>
    <x v="2"/>
    <x v="1"/>
    <x v="8"/>
    <x v="5"/>
    <x v="1"/>
    <n v="52"/>
    <x v="3"/>
    <x v="0"/>
  </r>
  <r>
    <n v="66173"/>
    <x v="28"/>
    <x v="0"/>
    <x v="3"/>
    <x v="3"/>
    <x v="1"/>
    <x v="8"/>
    <x v="5"/>
    <x v="1"/>
    <n v="52"/>
    <x v="4"/>
    <x v="0"/>
  </r>
  <r>
    <n v="66174"/>
    <x v="28"/>
    <x v="0"/>
    <x v="4"/>
    <x v="4"/>
    <x v="0"/>
    <x v="8"/>
    <x v="5"/>
    <x v="1"/>
    <n v="52"/>
    <x v="5"/>
    <x v="0"/>
  </r>
  <r>
    <n v="66176"/>
    <x v="28"/>
    <x v="1"/>
    <x v="5"/>
    <x v="5"/>
    <x v="2"/>
    <x v="8"/>
    <x v="5"/>
    <x v="1"/>
    <n v="52"/>
    <x v="7"/>
    <x v="0"/>
  </r>
  <r>
    <n v="66177"/>
    <x v="28"/>
    <x v="1"/>
    <x v="6"/>
    <x v="6"/>
    <x v="2"/>
    <x v="8"/>
    <x v="5"/>
    <x v="1"/>
    <n v="52"/>
    <x v="8"/>
    <x v="0"/>
  </r>
  <r>
    <n v="66178"/>
    <x v="28"/>
    <x v="0"/>
    <x v="7"/>
    <x v="7"/>
    <x v="0"/>
    <x v="8"/>
    <x v="5"/>
    <x v="1"/>
    <n v="52"/>
    <x v="9"/>
    <x v="0"/>
  </r>
  <r>
    <n v="66179"/>
    <x v="28"/>
    <x v="0"/>
    <x v="8"/>
    <x v="8"/>
    <x v="0"/>
    <x v="8"/>
    <x v="5"/>
    <x v="1"/>
    <n v="52"/>
    <x v="10"/>
    <x v="0"/>
  </r>
  <r>
    <n v="66180"/>
    <x v="28"/>
    <x v="0"/>
    <x v="9"/>
    <x v="9"/>
    <x v="1"/>
    <x v="8"/>
    <x v="5"/>
    <x v="1"/>
    <n v="52"/>
    <x v="11"/>
    <x v="0"/>
  </r>
  <r>
    <n v="66181"/>
    <x v="28"/>
    <x v="0"/>
    <x v="10"/>
    <x v="10"/>
    <x v="1"/>
    <x v="8"/>
    <x v="5"/>
    <x v="1"/>
    <n v="52"/>
    <x v="12"/>
    <x v="0"/>
  </r>
  <r>
    <n v="66182"/>
    <x v="28"/>
    <x v="0"/>
    <x v="11"/>
    <x v="11"/>
    <x v="1"/>
    <x v="8"/>
    <x v="5"/>
    <x v="1"/>
    <n v="52"/>
    <x v="13"/>
    <x v="0"/>
  </r>
  <r>
    <n v="66183"/>
    <x v="28"/>
    <x v="0"/>
    <x v="12"/>
    <x v="12"/>
    <x v="1"/>
    <x v="8"/>
    <x v="5"/>
    <x v="1"/>
    <n v="52"/>
    <x v="14"/>
    <x v="0"/>
  </r>
  <r>
    <n v="66184"/>
    <x v="28"/>
    <x v="1"/>
    <x v="5"/>
    <x v="5"/>
    <x v="3"/>
    <x v="8"/>
    <x v="5"/>
    <x v="1"/>
    <n v="52"/>
    <x v="16"/>
    <x v="0"/>
  </r>
  <r>
    <n v="66185"/>
    <x v="28"/>
    <x v="1"/>
    <x v="6"/>
    <x v="6"/>
    <x v="3"/>
    <x v="8"/>
    <x v="5"/>
    <x v="1"/>
    <n v="52"/>
    <x v="17"/>
    <x v="0"/>
  </r>
  <r>
    <n v="66186"/>
    <x v="31"/>
    <x v="0"/>
    <x v="0"/>
    <x v="0"/>
    <x v="0"/>
    <x v="8"/>
    <x v="5"/>
    <x v="1"/>
    <n v="53"/>
    <x v="0"/>
    <x v="0"/>
  </r>
  <r>
    <n v="66187"/>
    <x v="31"/>
    <x v="0"/>
    <x v="0"/>
    <x v="0"/>
    <x v="1"/>
    <x v="8"/>
    <x v="5"/>
    <x v="1"/>
    <n v="53"/>
    <x v="15"/>
    <x v="0"/>
  </r>
  <r>
    <n v="66188"/>
    <x v="31"/>
    <x v="0"/>
    <x v="1"/>
    <x v="1"/>
    <x v="0"/>
    <x v="8"/>
    <x v="5"/>
    <x v="1"/>
    <n v="53"/>
    <x v="1"/>
    <x v="0"/>
  </r>
  <r>
    <n v="66189"/>
    <x v="31"/>
    <x v="0"/>
    <x v="1"/>
    <x v="1"/>
    <x v="1"/>
    <x v="8"/>
    <x v="5"/>
    <x v="1"/>
    <n v="53"/>
    <x v="2"/>
    <x v="0"/>
  </r>
  <r>
    <n v="66190"/>
    <x v="31"/>
    <x v="0"/>
    <x v="2"/>
    <x v="2"/>
    <x v="1"/>
    <x v="8"/>
    <x v="5"/>
    <x v="1"/>
    <n v="53"/>
    <x v="3"/>
    <x v="0"/>
  </r>
  <r>
    <n v="66191"/>
    <x v="31"/>
    <x v="0"/>
    <x v="3"/>
    <x v="3"/>
    <x v="1"/>
    <x v="8"/>
    <x v="5"/>
    <x v="1"/>
    <n v="53"/>
    <x v="4"/>
    <x v="0"/>
  </r>
  <r>
    <n v="66192"/>
    <x v="31"/>
    <x v="0"/>
    <x v="4"/>
    <x v="4"/>
    <x v="0"/>
    <x v="8"/>
    <x v="5"/>
    <x v="1"/>
    <n v="53"/>
    <x v="5"/>
    <x v="0"/>
  </r>
  <r>
    <n v="66193"/>
    <x v="31"/>
    <x v="0"/>
    <x v="4"/>
    <x v="4"/>
    <x v="1"/>
    <x v="8"/>
    <x v="5"/>
    <x v="1"/>
    <n v="53"/>
    <x v="6"/>
    <x v="0"/>
  </r>
  <r>
    <n v="66194"/>
    <x v="31"/>
    <x v="1"/>
    <x v="5"/>
    <x v="5"/>
    <x v="2"/>
    <x v="8"/>
    <x v="5"/>
    <x v="1"/>
    <n v="53"/>
    <x v="7"/>
    <x v="0"/>
  </r>
  <r>
    <n v="66195"/>
    <x v="31"/>
    <x v="1"/>
    <x v="6"/>
    <x v="6"/>
    <x v="2"/>
    <x v="8"/>
    <x v="5"/>
    <x v="1"/>
    <n v="53"/>
    <x v="8"/>
    <x v="0"/>
  </r>
  <r>
    <n v="66196"/>
    <x v="31"/>
    <x v="0"/>
    <x v="7"/>
    <x v="7"/>
    <x v="0"/>
    <x v="8"/>
    <x v="5"/>
    <x v="1"/>
    <n v="53"/>
    <x v="9"/>
    <x v="0"/>
  </r>
  <r>
    <n v="66197"/>
    <x v="31"/>
    <x v="0"/>
    <x v="8"/>
    <x v="8"/>
    <x v="0"/>
    <x v="8"/>
    <x v="5"/>
    <x v="1"/>
    <n v="53"/>
    <x v="10"/>
    <x v="0"/>
  </r>
  <r>
    <n v="66198"/>
    <x v="31"/>
    <x v="0"/>
    <x v="9"/>
    <x v="9"/>
    <x v="1"/>
    <x v="8"/>
    <x v="5"/>
    <x v="1"/>
    <n v="53"/>
    <x v="11"/>
    <x v="0"/>
  </r>
  <r>
    <n v="66199"/>
    <x v="31"/>
    <x v="0"/>
    <x v="10"/>
    <x v="10"/>
    <x v="1"/>
    <x v="8"/>
    <x v="5"/>
    <x v="1"/>
    <n v="53"/>
    <x v="12"/>
    <x v="0"/>
  </r>
  <r>
    <n v="66200"/>
    <x v="31"/>
    <x v="0"/>
    <x v="11"/>
    <x v="11"/>
    <x v="1"/>
    <x v="8"/>
    <x v="5"/>
    <x v="1"/>
    <n v="53"/>
    <x v="13"/>
    <x v="0"/>
  </r>
  <r>
    <n v="66201"/>
    <x v="31"/>
    <x v="0"/>
    <x v="12"/>
    <x v="12"/>
    <x v="1"/>
    <x v="8"/>
    <x v="5"/>
    <x v="1"/>
    <n v="53"/>
    <x v="14"/>
    <x v="0"/>
  </r>
  <r>
    <n v="66202"/>
    <x v="31"/>
    <x v="1"/>
    <x v="5"/>
    <x v="5"/>
    <x v="3"/>
    <x v="8"/>
    <x v="5"/>
    <x v="1"/>
    <n v="53"/>
    <x v="16"/>
    <x v="0"/>
  </r>
  <r>
    <n v="66203"/>
    <x v="31"/>
    <x v="1"/>
    <x v="6"/>
    <x v="6"/>
    <x v="3"/>
    <x v="8"/>
    <x v="5"/>
    <x v="1"/>
    <n v="53"/>
    <x v="17"/>
    <x v="0"/>
  </r>
  <r>
    <n v="66204"/>
    <x v="32"/>
    <x v="0"/>
    <x v="0"/>
    <x v="0"/>
    <x v="0"/>
    <x v="8"/>
    <x v="5"/>
    <x v="1"/>
    <n v="54"/>
    <x v="0"/>
    <x v="0"/>
  </r>
  <r>
    <n v="66205"/>
    <x v="32"/>
    <x v="0"/>
    <x v="0"/>
    <x v="0"/>
    <x v="1"/>
    <x v="8"/>
    <x v="5"/>
    <x v="1"/>
    <n v="54"/>
    <x v="15"/>
    <x v="0"/>
  </r>
  <r>
    <n v="66206"/>
    <x v="32"/>
    <x v="0"/>
    <x v="1"/>
    <x v="1"/>
    <x v="0"/>
    <x v="8"/>
    <x v="5"/>
    <x v="1"/>
    <n v="54"/>
    <x v="1"/>
    <x v="0"/>
  </r>
  <r>
    <n v="66207"/>
    <x v="32"/>
    <x v="0"/>
    <x v="1"/>
    <x v="1"/>
    <x v="1"/>
    <x v="8"/>
    <x v="5"/>
    <x v="1"/>
    <n v="54"/>
    <x v="2"/>
    <x v="0"/>
  </r>
  <r>
    <n v="66208"/>
    <x v="32"/>
    <x v="0"/>
    <x v="2"/>
    <x v="2"/>
    <x v="1"/>
    <x v="8"/>
    <x v="5"/>
    <x v="1"/>
    <n v="54"/>
    <x v="3"/>
    <x v="0"/>
  </r>
  <r>
    <n v="66209"/>
    <x v="32"/>
    <x v="0"/>
    <x v="3"/>
    <x v="3"/>
    <x v="1"/>
    <x v="8"/>
    <x v="5"/>
    <x v="1"/>
    <n v="54"/>
    <x v="4"/>
    <x v="0"/>
  </r>
  <r>
    <n v="66210"/>
    <x v="32"/>
    <x v="0"/>
    <x v="4"/>
    <x v="4"/>
    <x v="0"/>
    <x v="8"/>
    <x v="5"/>
    <x v="1"/>
    <n v="54"/>
    <x v="5"/>
    <x v="0"/>
  </r>
  <r>
    <n v="66211"/>
    <x v="32"/>
    <x v="0"/>
    <x v="4"/>
    <x v="4"/>
    <x v="1"/>
    <x v="8"/>
    <x v="5"/>
    <x v="1"/>
    <n v="54"/>
    <x v="6"/>
    <x v="0"/>
  </r>
  <r>
    <n v="66212"/>
    <x v="32"/>
    <x v="1"/>
    <x v="5"/>
    <x v="5"/>
    <x v="2"/>
    <x v="8"/>
    <x v="5"/>
    <x v="1"/>
    <n v="54"/>
    <x v="7"/>
    <x v="0"/>
  </r>
  <r>
    <n v="66213"/>
    <x v="32"/>
    <x v="1"/>
    <x v="6"/>
    <x v="6"/>
    <x v="2"/>
    <x v="8"/>
    <x v="5"/>
    <x v="1"/>
    <n v="54"/>
    <x v="8"/>
    <x v="0"/>
  </r>
  <r>
    <n v="66214"/>
    <x v="32"/>
    <x v="0"/>
    <x v="7"/>
    <x v="7"/>
    <x v="0"/>
    <x v="8"/>
    <x v="5"/>
    <x v="1"/>
    <n v="54"/>
    <x v="9"/>
    <x v="0"/>
  </r>
  <r>
    <n v="66215"/>
    <x v="32"/>
    <x v="0"/>
    <x v="8"/>
    <x v="8"/>
    <x v="0"/>
    <x v="8"/>
    <x v="5"/>
    <x v="1"/>
    <n v="54"/>
    <x v="10"/>
    <x v="0"/>
  </r>
  <r>
    <n v="66216"/>
    <x v="32"/>
    <x v="0"/>
    <x v="9"/>
    <x v="9"/>
    <x v="1"/>
    <x v="8"/>
    <x v="5"/>
    <x v="1"/>
    <n v="54"/>
    <x v="11"/>
    <x v="0"/>
  </r>
  <r>
    <n v="66217"/>
    <x v="32"/>
    <x v="0"/>
    <x v="10"/>
    <x v="10"/>
    <x v="1"/>
    <x v="8"/>
    <x v="5"/>
    <x v="1"/>
    <n v="54"/>
    <x v="12"/>
    <x v="0"/>
  </r>
  <r>
    <n v="66218"/>
    <x v="32"/>
    <x v="0"/>
    <x v="11"/>
    <x v="11"/>
    <x v="1"/>
    <x v="8"/>
    <x v="5"/>
    <x v="1"/>
    <n v="54"/>
    <x v="13"/>
    <x v="0"/>
  </r>
  <r>
    <n v="66219"/>
    <x v="32"/>
    <x v="0"/>
    <x v="12"/>
    <x v="12"/>
    <x v="1"/>
    <x v="8"/>
    <x v="5"/>
    <x v="1"/>
    <n v="54"/>
    <x v="14"/>
    <x v="0"/>
  </r>
  <r>
    <n v="66220"/>
    <x v="32"/>
    <x v="1"/>
    <x v="5"/>
    <x v="5"/>
    <x v="3"/>
    <x v="8"/>
    <x v="5"/>
    <x v="1"/>
    <n v="54"/>
    <x v="16"/>
    <x v="0"/>
  </r>
  <r>
    <n v="66221"/>
    <x v="32"/>
    <x v="1"/>
    <x v="6"/>
    <x v="6"/>
    <x v="3"/>
    <x v="8"/>
    <x v="5"/>
    <x v="1"/>
    <n v="54"/>
    <x v="17"/>
    <x v="0"/>
  </r>
  <r>
    <n v="66222"/>
    <x v="33"/>
    <x v="0"/>
    <x v="0"/>
    <x v="0"/>
    <x v="0"/>
    <x v="8"/>
    <x v="5"/>
    <x v="1"/>
    <n v="55"/>
    <x v="0"/>
    <x v="0"/>
  </r>
  <r>
    <n v="66223"/>
    <x v="33"/>
    <x v="0"/>
    <x v="0"/>
    <x v="0"/>
    <x v="1"/>
    <x v="8"/>
    <x v="5"/>
    <x v="1"/>
    <n v="55"/>
    <x v="15"/>
    <x v="0"/>
  </r>
  <r>
    <n v="66224"/>
    <x v="33"/>
    <x v="0"/>
    <x v="1"/>
    <x v="1"/>
    <x v="0"/>
    <x v="8"/>
    <x v="5"/>
    <x v="1"/>
    <n v="55"/>
    <x v="1"/>
    <x v="0"/>
  </r>
  <r>
    <n v="66225"/>
    <x v="33"/>
    <x v="0"/>
    <x v="1"/>
    <x v="1"/>
    <x v="1"/>
    <x v="8"/>
    <x v="5"/>
    <x v="1"/>
    <n v="55"/>
    <x v="2"/>
    <x v="0"/>
  </r>
  <r>
    <n v="66226"/>
    <x v="33"/>
    <x v="0"/>
    <x v="2"/>
    <x v="2"/>
    <x v="1"/>
    <x v="8"/>
    <x v="5"/>
    <x v="1"/>
    <n v="55"/>
    <x v="3"/>
    <x v="0"/>
  </r>
  <r>
    <n v="66227"/>
    <x v="33"/>
    <x v="0"/>
    <x v="3"/>
    <x v="3"/>
    <x v="1"/>
    <x v="8"/>
    <x v="5"/>
    <x v="1"/>
    <n v="55"/>
    <x v="4"/>
    <x v="0"/>
  </r>
  <r>
    <n v="66228"/>
    <x v="33"/>
    <x v="0"/>
    <x v="4"/>
    <x v="4"/>
    <x v="0"/>
    <x v="8"/>
    <x v="5"/>
    <x v="1"/>
    <n v="55"/>
    <x v="5"/>
    <x v="0"/>
  </r>
  <r>
    <n v="66229"/>
    <x v="33"/>
    <x v="0"/>
    <x v="4"/>
    <x v="4"/>
    <x v="1"/>
    <x v="8"/>
    <x v="5"/>
    <x v="1"/>
    <n v="55"/>
    <x v="6"/>
    <x v="0"/>
  </r>
  <r>
    <n v="66230"/>
    <x v="33"/>
    <x v="1"/>
    <x v="5"/>
    <x v="5"/>
    <x v="2"/>
    <x v="8"/>
    <x v="5"/>
    <x v="1"/>
    <n v="55"/>
    <x v="7"/>
    <x v="0"/>
  </r>
  <r>
    <n v="66231"/>
    <x v="33"/>
    <x v="1"/>
    <x v="6"/>
    <x v="6"/>
    <x v="2"/>
    <x v="8"/>
    <x v="5"/>
    <x v="1"/>
    <n v="55"/>
    <x v="8"/>
    <x v="0"/>
  </r>
  <r>
    <n v="66232"/>
    <x v="33"/>
    <x v="0"/>
    <x v="7"/>
    <x v="7"/>
    <x v="0"/>
    <x v="8"/>
    <x v="5"/>
    <x v="1"/>
    <n v="55"/>
    <x v="9"/>
    <x v="0"/>
  </r>
  <r>
    <n v="66233"/>
    <x v="33"/>
    <x v="0"/>
    <x v="8"/>
    <x v="8"/>
    <x v="0"/>
    <x v="8"/>
    <x v="5"/>
    <x v="1"/>
    <n v="55"/>
    <x v="10"/>
    <x v="0"/>
  </r>
  <r>
    <n v="66234"/>
    <x v="33"/>
    <x v="0"/>
    <x v="9"/>
    <x v="9"/>
    <x v="1"/>
    <x v="8"/>
    <x v="5"/>
    <x v="1"/>
    <n v="55"/>
    <x v="11"/>
    <x v="0"/>
  </r>
  <r>
    <n v="66235"/>
    <x v="33"/>
    <x v="0"/>
    <x v="10"/>
    <x v="10"/>
    <x v="1"/>
    <x v="8"/>
    <x v="5"/>
    <x v="1"/>
    <n v="55"/>
    <x v="12"/>
    <x v="0"/>
  </r>
  <r>
    <n v="66236"/>
    <x v="33"/>
    <x v="0"/>
    <x v="11"/>
    <x v="11"/>
    <x v="1"/>
    <x v="8"/>
    <x v="5"/>
    <x v="1"/>
    <n v="55"/>
    <x v="13"/>
    <x v="0"/>
  </r>
  <r>
    <n v="66237"/>
    <x v="33"/>
    <x v="0"/>
    <x v="12"/>
    <x v="12"/>
    <x v="1"/>
    <x v="8"/>
    <x v="5"/>
    <x v="1"/>
    <n v="55"/>
    <x v="14"/>
    <x v="0"/>
  </r>
  <r>
    <n v="66238"/>
    <x v="33"/>
    <x v="1"/>
    <x v="5"/>
    <x v="5"/>
    <x v="3"/>
    <x v="8"/>
    <x v="5"/>
    <x v="1"/>
    <n v="55"/>
    <x v="16"/>
    <x v="0"/>
  </r>
  <r>
    <n v="66239"/>
    <x v="33"/>
    <x v="1"/>
    <x v="6"/>
    <x v="6"/>
    <x v="3"/>
    <x v="8"/>
    <x v="5"/>
    <x v="1"/>
    <n v="55"/>
    <x v="17"/>
    <x v="0"/>
  </r>
  <r>
    <n v="66240"/>
    <x v="34"/>
    <x v="0"/>
    <x v="0"/>
    <x v="0"/>
    <x v="0"/>
    <x v="9"/>
    <x v="5"/>
    <x v="1"/>
    <n v="56"/>
    <x v="0"/>
    <x v="0"/>
  </r>
  <r>
    <n v="66241"/>
    <x v="34"/>
    <x v="0"/>
    <x v="0"/>
    <x v="0"/>
    <x v="1"/>
    <x v="9"/>
    <x v="5"/>
    <x v="1"/>
    <n v="56"/>
    <x v="15"/>
    <x v="0"/>
  </r>
  <r>
    <n v="66242"/>
    <x v="34"/>
    <x v="0"/>
    <x v="1"/>
    <x v="1"/>
    <x v="0"/>
    <x v="9"/>
    <x v="5"/>
    <x v="1"/>
    <n v="56"/>
    <x v="1"/>
    <x v="0"/>
  </r>
  <r>
    <n v="66243"/>
    <x v="34"/>
    <x v="0"/>
    <x v="1"/>
    <x v="1"/>
    <x v="1"/>
    <x v="9"/>
    <x v="5"/>
    <x v="1"/>
    <n v="56"/>
    <x v="2"/>
    <x v="0"/>
  </r>
  <r>
    <n v="66244"/>
    <x v="34"/>
    <x v="0"/>
    <x v="2"/>
    <x v="2"/>
    <x v="1"/>
    <x v="9"/>
    <x v="5"/>
    <x v="1"/>
    <n v="56"/>
    <x v="3"/>
    <x v="0"/>
  </r>
  <r>
    <n v="66245"/>
    <x v="34"/>
    <x v="0"/>
    <x v="3"/>
    <x v="3"/>
    <x v="1"/>
    <x v="9"/>
    <x v="5"/>
    <x v="1"/>
    <n v="56"/>
    <x v="4"/>
    <x v="0"/>
  </r>
  <r>
    <n v="66246"/>
    <x v="34"/>
    <x v="0"/>
    <x v="4"/>
    <x v="4"/>
    <x v="0"/>
    <x v="9"/>
    <x v="5"/>
    <x v="1"/>
    <n v="56"/>
    <x v="5"/>
    <x v="0"/>
  </r>
  <r>
    <n v="66247"/>
    <x v="34"/>
    <x v="0"/>
    <x v="4"/>
    <x v="4"/>
    <x v="1"/>
    <x v="9"/>
    <x v="5"/>
    <x v="1"/>
    <n v="56"/>
    <x v="6"/>
    <x v="0"/>
  </r>
  <r>
    <n v="66248"/>
    <x v="34"/>
    <x v="1"/>
    <x v="5"/>
    <x v="5"/>
    <x v="2"/>
    <x v="9"/>
    <x v="5"/>
    <x v="1"/>
    <n v="56"/>
    <x v="7"/>
    <x v="0"/>
  </r>
  <r>
    <n v="66249"/>
    <x v="34"/>
    <x v="1"/>
    <x v="6"/>
    <x v="6"/>
    <x v="2"/>
    <x v="9"/>
    <x v="5"/>
    <x v="1"/>
    <n v="56"/>
    <x v="8"/>
    <x v="0"/>
  </r>
  <r>
    <n v="66250"/>
    <x v="34"/>
    <x v="0"/>
    <x v="7"/>
    <x v="7"/>
    <x v="0"/>
    <x v="9"/>
    <x v="5"/>
    <x v="1"/>
    <n v="56"/>
    <x v="9"/>
    <x v="0"/>
  </r>
  <r>
    <n v="66251"/>
    <x v="34"/>
    <x v="0"/>
    <x v="8"/>
    <x v="8"/>
    <x v="0"/>
    <x v="9"/>
    <x v="5"/>
    <x v="1"/>
    <n v="56"/>
    <x v="10"/>
    <x v="0"/>
  </r>
  <r>
    <n v="66252"/>
    <x v="34"/>
    <x v="0"/>
    <x v="9"/>
    <x v="9"/>
    <x v="1"/>
    <x v="9"/>
    <x v="5"/>
    <x v="1"/>
    <n v="56"/>
    <x v="11"/>
    <x v="0"/>
  </r>
  <r>
    <n v="66253"/>
    <x v="34"/>
    <x v="0"/>
    <x v="10"/>
    <x v="10"/>
    <x v="1"/>
    <x v="9"/>
    <x v="5"/>
    <x v="1"/>
    <n v="56"/>
    <x v="12"/>
    <x v="0"/>
  </r>
  <r>
    <n v="66254"/>
    <x v="34"/>
    <x v="0"/>
    <x v="11"/>
    <x v="11"/>
    <x v="1"/>
    <x v="9"/>
    <x v="5"/>
    <x v="1"/>
    <n v="56"/>
    <x v="13"/>
    <x v="0"/>
  </r>
  <r>
    <n v="66255"/>
    <x v="34"/>
    <x v="0"/>
    <x v="12"/>
    <x v="12"/>
    <x v="1"/>
    <x v="9"/>
    <x v="5"/>
    <x v="1"/>
    <n v="56"/>
    <x v="14"/>
    <x v="0"/>
  </r>
  <r>
    <n v="66256"/>
    <x v="34"/>
    <x v="1"/>
    <x v="5"/>
    <x v="5"/>
    <x v="3"/>
    <x v="9"/>
    <x v="5"/>
    <x v="1"/>
    <n v="56"/>
    <x v="16"/>
    <x v="0"/>
  </r>
  <r>
    <n v="66257"/>
    <x v="34"/>
    <x v="1"/>
    <x v="6"/>
    <x v="6"/>
    <x v="3"/>
    <x v="9"/>
    <x v="5"/>
    <x v="1"/>
    <n v="56"/>
    <x v="17"/>
    <x v="0"/>
  </r>
  <r>
    <n v="66258"/>
    <x v="35"/>
    <x v="0"/>
    <x v="0"/>
    <x v="0"/>
    <x v="0"/>
    <x v="6"/>
    <x v="5"/>
    <x v="1"/>
    <n v="57"/>
    <x v="0"/>
    <x v="0"/>
  </r>
  <r>
    <n v="66259"/>
    <x v="35"/>
    <x v="0"/>
    <x v="0"/>
    <x v="0"/>
    <x v="1"/>
    <x v="6"/>
    <x v="5"/>
    <x v="1"/>
    <n v="57"/>
    <x v="15"/>
    <x v="0"/>
  </r>
  <r>
    <n v="66260"/>
    <x v="35"/>
    <x v="0"/>
    <x v="1"/>
    <x v="1"/>
    <x v="0"/>
    <x v="6"/>
    <x v="5"/>
    <x v="1"/>
    <n v="57"/>
    <x v="1"/>
    <x v="0"/>
  </r>
  <r>
    <n v="66261"/>
    <x v="35"/>
    <x v="0"/>
    <x v="1"/>
    <x v="1"/>
    <x v="1"/>
    <x v="6"/>
    <x v="5"/>
    <x v="1"/>
    <n v="57"/>
    <x v="2"/>
    <x v="0"/>
  </r>
  <r>
    <n v="66262"/>
    <x v="35"/>
    <x v="0"/>
    <x v="2"/>
    <x v="2"/>
    <x v="1"/>
    <x v="6"/>
    <x v="5"/>
    <x v="1"/>
    <n v="57"/>
    <x v="3"/>
    <x v="0"/>
  </r>
  <r>
    <n v="66263"/>
    <x v="35"/>
    <x v="0"/>
    <x v="3"/>
    <x v="3"/>
    <x v="1"/>
    <x v="6"/>
    <x v="5"/>
    <x v="1"/>
    <n v="57"/>
    <x v="4"/>
    <x v="0"/>
  </r>
  <r>
    <n v="66264"/>
    <x v="35"/>
    <x v="0"/>
    <x v="4"/>
    <x v="4"/>
    <x v="0"/>
    <x v="6"/>
    <x v="5"/>
    <x v="1"/>
    <n v="57"/>
    <x v="5"/>
    <x v="0"/>
  </r>
  <r>
    <n v="66265"/>
    <x v="35"/>
    <x v="0"/>
    <x v="4"/>
    <x v="4"/>
    <x v="1"/>
    <x v="6"/>
    <x v="5"/>
    <x v="1"/>
    <n v="57"/>
    <x v="6"/>
    <x v="0"/>
  </r>
  <r>
    <n v="66266"/>
    <x v="35"/>
    <x v="1"/>
    <x v="5"/>
    <x v="5"/>
    <x v="2"/>
    <x v="6"/>
    <x v="5"/>
    <x v="1"/>
    <n v="57"/>
    <x v="7"/>
    <x v="0"/>
  </r>
  <r>
    <n v="66267"/>
    <x v="35"/>
    <x v="1"/>
    <x v="6"/>
    <x v="6"/>
    <x v="2"/>
    <x v="6"/>
    <x v="5"/>
    <x v="1"/>
    <n v="57"/>
    <x v="8"/>
    <x v="0"/>
  </r>
  <r>
    <n v="66268"/>
    <x v="35"/>
    <x v="0"/>
    <x v="7"/>
    <x v="7"/>
    <x v="0"/>
    <x v="6"/>
    <x v="5"/>
    <x v="1"/>
    <n v="57"/>
    <x v="9"/>
    <x v="0"/>
  </r>
  <r>
    <n v="66269"/>
    <x v="35"/>
    <x v="0"/>
    <x v="8"/>
    <x v="8"/>
    <x v="0"/>
    <x v="6"/>
    <x v="5"/>
    <x v="1"/>
    <n v="57"/>
    <x v="10"/>
    <x v="0"/>
  </r>
  <r>
    <n v="66270"/>
    <x v="35"/>
    <x v="0"/>
    <x v="9"/>
    <x v="9"/>
    <x v="1"/>
    <x v="6"/>
    <x v="5"/>
    <x v="1"/>
    <n v="57"/>
    <x v="11"/>
    <x v="0"/>
  </r>
  <r>
    <n v="66271"/>
    <x v="35"/>
    <x v="0"/>
    <x v="10"/>
    <x v="10"/>
    <x v="1"/>
    <x v="6"/>
    <x v="5"/>
    <x v="1"/>
    <n v="57"/>
    <x v="12"/>
    <x v="0"/>
  </r>
  <r>
    <n v="66272"/>
    <x v="35"/>
    <x v="0"/>
    <x v="11"/>
    <x v="11"/>
    <x v="1"/>
    <x v="6"/>
    <x v="5"/>
    <x v="1"/>
    <n v="57"/>
    <x v="13"/>
    <x v="0"/>
  </r>
  <r>
    <n v="66273"/>
    <x v="35"/>
    <x v="0"/>
    <x v="12"/>
    <x v="12"/>
    <x v="1"/>
    <x v="6"/>
    <x v="5"/>
    <x v="1"/>
    <n v="57"/>
    <x v="14"/>
    <x v="0"/>
  </r>
  <r>
    <n v="66274"/>
    <x v="35"/>
    <x v="1"/>
    <x v="5"/>
    <x v="5"/>
    <x v="3"/>
    <x v="6"/>
    <x v="5"/>
    <x v="1"/>
    <n v="57"/>
    <x v="16"/>
    <x v="0"/>
  </r>
  <r>
    <n v="66275"/>
    <x v="35"/>
    <x v="1"/>
    <x v="6"/>
    <x v="6"/>
    <x v="3"/>
    <x v="6"/>
    <x v="5"/>
    <x v="1"/>
    <n v="57"/>
    <x v="17"/>
    <x v="0"/>
  </r>
  <r>
    <n v="66276"/>
    <x v="36"/>
    <x v="0"/>
    <x v="0"/>
    <x v="0"/>
    <x v="0"/>
    <x v="6"/>
    <x v="5"/>
    <x v="1"/>
    <n v="58"/>
    <x v="0"/>
    <x v="0"/>
  </r>
  <r>
    <n v="66277"/>
    <x v="36"/>
    <x v="0"/>
    <x v="0"/>
    <x v="0"/>
    <x v="1"/>
    <x v="6"/>
    <x v="5"/>
    <x v="1"/>
    <n v="58"/>
    <x v="15"/>
    <x v="0"/>
  </r>
  <r>
    <n v="66278"/>
    <x v="36"/>
    <x v="0"/>
    <x v="1"/>
    <x v="1"/>
    <x v="0"/>
    <x v="6"/>
    <x v="5"/>
    <x v="1"/>
    <n v="58"/>
    <x v="1"/>
    <x v="0"/>
  </r>
  <r>
    <n v="66279"/>
    <x v="36"/>
    <x v="0"/>
    <x v="1"/>
    <x v="1"/>
    <x v="1"/>
    <x v="6"/>
    <x v="5"/>
    <x v="1"/>
    <n v="58"/>
    <x v="2"/>
    <x v="0"/>
  </r>
  <r>
    <n v="66280"/>
    <x v="36"/>
    <x v="0"/>
    <x v="2"/>
    <x v="2"/>
    <x v="1"/>
    <x v="6"/>
    <x v="5"/>
    <x v="1"/>
    <n v="58"/>
    <x v="3"/>
    <x v="0"/>
  </r>
  <r>
    <n v="66386"/>
    <x v="37"/>
    <x v="0"/>
    <x v="1"/>
    <x v="1"/>
    <x v="0"/>
    <x v="6"/>
    <x v="5"/>
    <x v="1"/>
    <n v="64"/>
    <x v="1"/>
    <x v="0"/>
  </r>
  <r>
    <n v="66281"/>
    <x v="36"/>
    <x v="0"/>
    <x v="3"/>
    <x v="3"/>
    <x v="1"/>
    <x v="6"/>
    <x v="5"/>
    <x v="1"/>
    <n v="58"/>
    <x v="4"/>
    <x v="0"/>
  </r>
  <r>
    <n v="66282"/>
    <x v="36"/>
    <x v="0"/>
    <x v="4"/>
    <x v="4"/>
    <x v="0"/>
    <x v="6"/>
    <x v="5"/>
    <x v="1"/>
    <n v="58"/>
    <x v="5"/>
    <x v="0"/>
  </r>
  <r>
    <n v="66283"/>
    <x v="36"/>
    <x v="0"/>
    <x v="4"/>
    <x v="4"/>
    <x v="1"/>
    <x v="6"/>
    <x v="5"/>
    <x v="1"/>
    <n v="58"/>
    <x v="6"/>
    <x v="0"/>
  </r>
  <r>
    <n v="66284"/>
    <x v="36"/>
    <x v="1"/>
    <x v="5"/>
    <x v="5"/>
    <x v="2"/>
    <x v="6"/>
    <x v="5"/>
    <x v="1"/>
    <n v="58"/>
    <x v="7"/>
    <x v="0"/>
  </r>
  <r>
    <n v="66285"/>
    <x v="36"/>
    <x v="1"/>
    <x v="6"/>
    <x v="6"/>
    <x v="2"/>
    <x v="6"/>
    <x v="5"/>
    <x v="1"/>
    <n v="58"/>
    <x v="8"/>
    <x v="0"/>
  </r>
  <r>
    <n v="66286"/>
    <x v="36"/>
    <x v="0"/>
    <x v="7"/>
    <x v="7"/>
    <x v="0"/>
    <x v="6"/>
    <x v="5"/>
    <x v="1"/>
    <n v="58"/>
    <x v="9"/>
    <x v="0"/>
  </r>
  <r>
    <n v="66287"/>
    <x v="36"/>
    <x v="0"/>
    <x v="8"/>
    <x v="8"/>
    <x v="0"/>
    <x v="6"/>
    <x v="5"/>
    <x v="1"/>
    <n v="58"/>
    <x v="10"/>
    <x v="0"/>
  </r>
  <r>
    <n v="66288"/>
    <x v="36"/>
    <x v="0"/>
    <x v="9"/>
    <x v="9"/>
    <x v="1"/>
    <x v="6"/>
    <x v="5"/>
    <x v="1"/>
    <n v="58"/>
    <x v="11"/>
    <x v="0"/>
  </r>
  <r>
    <n v="66289"/>
    <x v="36"/>
    <x v="0"/>
    <x v="10"/>
    <x v="10"/>
    <x v="1"/>
    <x v="6"/>
    <x v="5"/>
    <x v="1"/>
    <n v="58"/>
    <x v="12"/>
    <x v="0"/>
  </r>
  <r>
    <n v="66290"/>
    <x v="36"/>
    <x v="0"/>
    <x v="11"/>
    <x v="11"/>
    <x v="1"/>
    <x v="6"/>
    <x v="5"/>
    <x v="1"/>
    <n v="58"/>
    <x v="13"/>
    <x v="0"/>
  </r>
  <r>
    <n v="66291"/>
    <x v="36"/>
    <x v="0"/>
    <x v="12"/>
    <x v="12"/>
    <x v="1"/>
    <x v="6"/>
    <x v="5"/>
    <x v="1"/>
    <n v="58"/>
    <x v="14"/>
    <x v="0"/>
  </r>
  <r>
    <n v="66292"/>
    <x v="36"/>
    <x v="1"/>
    <x v="5"/>
    <x v="5"/>
    <x v="3"/>
    <x v="6"/>
    <x v="5"/>
    <x v="1"/>
    <n v="58"/>
    <x v="16"/>
    <x v="0"/>
  </r>
  <r>
    <n v="66293"/>
    <x v="36"/>
    <x v="1"/>
    <x v="6"/>
    <x v="6"/>
    <x v="3"/>
    <x v="6"/>
    <x v="5"/>
    <x v="1"/>
    <n v="58"/>
    <x v="17"/>
    <x v="0"/>
  </r>
  <r>
    <n v="66294"/>
    <x v="38"/>
    <x v="0"/>
    <x v="0"/>
    <x v="0"/>
    <x v="0"/>
    <x v="6"/>
    <x v="5"/>
    <x v="1"/>
    <n v="59"/>
    <x v="0"/>
    <x v="0"/>
  </r>
  <r>
    <n v="66295"/>
    <x v="38"/>
    <x v="0"/>
    <x v="0"/>
    <x v="0"/>
    <x v="1"/>
    <x v="6"/>
    <x v="5"/>
    <x v="1"/>
    <n v="59"/>
    <x v="15"/>
    <x v="0"/>
  </r>
  <r>
    <n v="66296"/>
    <x v="38"/>
    <x v="0"/>
    <x v="1"/>
    <x v="1"/>
    <x v="0"/>
    <x v="6"/>
    <x v="5"/>
    <x v="1"/>
    <n v="59"/>
    <x v="1"/>
    <x v="0"/>
  </r>
  <r>
    <n v="66297"/>
    <x v="38"/>
    <x v="0"/>
    <x v="1"/>
    <x v="1"/>
    <x v="1"/>
    <x v="6"/>
    <x v="5"/>
    <x v="1"/>
    <n v="59"/>
    <x v="2"/>
    <x v="0"/>
  </r>
  <r>
    <n v="66298"/>
    <x v="38"/>
    <x v="0"/>
    <x v="2"/>
    <x v="2"/>
    <x v="1"/>
    <x v="6"/>
    <x v="5"/>
    <x v="1"/>
    <n v="59"/>
    <x v="3"/>
    <x v="0"/>
  </r>
  <r>
    <n v="66299"/>
    <x v="38"/>
    <x v="0"/>
    <x v="3"/>
    <x v="3"/>
    <x v="1"/>
    <x v="6"/>
    <x v="5"/>
    <x v="1"/>
    <n v="59"/>
    <x v="4"/>
    <x v="0"/>
  </r>
  <r>
    <n v="66300"/>
    <x v="38"/>
    <x v="0"/>
    <x v="4"/>
    <x v="4"/>
    <x v="0"/>
    <x v="6"/>
    <x v="5"/>
    <x v="1"/>
    <n v="59"/>
    <x v="5"/>
    <x v="0"/>
  </r>
  <r>
    <n v="66301"/>
    <x v="38"/>
    <x v="0"/>
    <x v="4"/>
    <x v="4"/>
    <x v="1"/>
    <x v="6"/>
    <x v="5"/>
    <x v="1"/>
    <n v="59"/>
    <x v="6"/>
    <x v="0"/>
  </r>
  <r>
    <n v="66302"/>
    <x v="38"/>
    <x v="1"/>
    <x v="5"/>
    <x v="5"/>
    <x v="2"/>
    <x v="6"/>
    <x v="5"/>
    <x v="1"/>
    <n v="59"/>
    <x v="7"/>
    <x v="0"/>
  </r>
  <r>
    <n v="66303"/>
    <x v="38"/>
    <x v="1"/>
    <x v="6"/>
    <x v="6"/>
    <x v="2"/>
    <x v="6"/>
    <x v="5"/>
    <x v="1"/>
    <n v="59"/>
    <x v="8"/>
    <x v="0"/>
  </r>
  <r>
    <n v="66304"/>
    <x v="38"/>
    <x v="0"/>
    <x v="7"/>
    <x v="7"/>
    <x v="0"/>
    <x v="6"/>
    <x v="5"/>
    <x v="1"/>
    <n v="59"/>
    <x v="9"/>
    <x v="0"/>
  </r>
  <r>
    <n v="66305"/>
    <x v="38"/>
    <x v="0"/>
    <x v="8"/>
    <x v="8"/>
    <x v="0"/>
    <x v="6"/>
    <x v="5"/>
    <x v="1"/>
    <n v="59"/>
    <x v="10"/>
    <x v="0"/>
  </r>
  <r>
    <n v="66306"/>
    <x v="38"/>
    <x v="0"/>
    <x v="9"/>
    <x v="9"/>
    <x v="1"/>
    <x v="6"/>
    <x v="5"/>
    <x v="1"/>
    <n v="59"/>
    <x v="11"/>
    <x v="0"/>
  </r>
  <r>
    <n v="66307"/>
    <x v="38"/>
    <x v="0"/>
    <x v="10"/>
    <x v="10"/>
    <x v="1"/>
    <x v="6"/>
    <x v="5"/>
    <x v="1"/>
    <n v="59"/>
    <x v="12"/>
    <x v="0"/>
  </r>
  <r>
    <n v="66308"/>
    <x v="38"/>
    <x v="0"/>
    <x v="11"/>
    <x v="11"/>
    <x v="1"/>
    <x v="6"/>
    <x v="5"/>
    <x v="1"/>
    <n v="59"/>
    <x v="13"/>
    <x v="0"/>
  </r>
  <r>
    <n v="66309"/>
    <x v="38"/>
    <x v="0"/>
    <x v="12"/>
    <x v="12"/>
    <x v="1"/>
    <x v="6"/>
    <x v="5"/>
    <x v="1"/>
    <n v="59"/>
    <x v="14"/>
    <x v="0"/>
  </r>
  <r>
    <n v="66310"/>
    <x v="38"/>
    <x v="1"/>
    <x v="5"/>
    <x v="5"/>
    <x v="3"/>
    <x v="6"/>
    <x v="5"/>
    <x v="1"/>
    <n v="59"/>
    <x v="16"/>
    <x v="0"/>
  </r>
  <r>
    <n v="66311"/>
    <x v="38"/>
    <x v="1"/>
    <x v="6"/>
    <x v="6"/>
    <x v="3"/>
    <x v="6"/>
    <x v="5"/>
    <x v="1"/>
    <n v="59"/>
    <x v="17"/>
    <x v="0"/>
  </r>
  <r>
    <n v="66312"/>
    <x v="39"/>
    <x v="0"/>
    <x v="0"/>
    <x v="0"/>
    <x v="0"/>
    <x v="6"/>
    <x v="5"/>
    <x v="1"/>
    <n v="60"/>
    <x v="0"/>
    <x v="0"/>
  </r>
  <r>
    <n v="66313"/>
    <x v="39"/>
    <x v="0"/>
    <x v="0"/>
    <x v="0"/>
    <x v="1"/>
    <x v="6"/>
    <x v="5"/>
    <x v="1"/>
    <n v="60"/>
    <x v="15"/>
    <x v="0"/>
  </r>
  <r>
    <n v="66314"/>
    <x v="39"/>
    <x v="0"/>
    <x v="1"/>
    <x v="1"/>
    <x v="0"/>
    <x v="6"/>
    <x v="5"/>
    <x v="1"/>
    <n v="60"/>
    <x v="1"/>
    <x v="0"/>
  </r>
  <r>
    <n v="66315"/>
    <x v="39"/>
    <x v="0"/>
    <x v="1"/>
    <x v="1"/>
    <x v="1"/>
    <x v="6"/>
    <x v="5"/>
    <x v="1"/>
    <n v="60"/>
    <x v="2"/>
    <x v="0"/>
  </r>
  <r>
    <n v="66316"/>
    <x v="39"/>
    <x v="0"/>
    <x v="2"/>
    <x v="2"/>
    <x v="1"/>
    <x v="6"/>
    <x v="5"/>
    <x v="1"/>
    <n v="60"/>
    <x v="3"/>
    <x v="0"/>
  </r>
  <r>
    <n v="66317"/>
    <x v="39"/>
    <x v="0"/>
    <x v="3"/>
    <x v="3"/>
    <x v="1"/>
    <x v="6"/>
    <x v="5"/>
    <x v="1"/>
    <n v="60"/>
    <x v="4"/>
    <x v="0"/>
  </r>
  <r>
    <n v="66318"/>
    <x v="39"/>
    <x v="0"/>
    <x v="4"/>
    <x v="4"/>
    <x v="0"/>
    <x v="6"/>
    <x v="5"/>
    <x v="1"/>
    <n v="60"/>
    <x v="5"/>
    <x v="0"/>
  </r>
  <r>
    <n v="66319"/>
    <x v="39"/>
    <x v="0"/>
    <x v="4"/>
    <x v="4"/>
    <x v="1"/>
    <x v="6"/>
    <x v="5"/>
    <x v="1"/>
    <n v="60"/>
    <x v="6"/>
    <x v="0"/>
  </r>
  <r>
    <n v="66320"/>
    <x v="39"/>
    <x v="1"/>
    <x v="5"/>
    <x v="5"/>
    <x v="2"/>
    <x v="6"/>
    <x v="5"/>
    <x v="1"/>
    <n v="60"/>
    <x v="7"/>
    <x v="0"/>
  </r>
  <r>
    <n v="66321"/>
    <x v="39"/>
    <x v="1"/>
    <x v="6"/>
    <x v="6"/>
    <x v="2"/>
    <x v="6"/>
    <x v="5"/>
    <x v="1"/>
    <n v="60"/>
    <x v="8"/>
    <x v="0"/>
  </r>
  <r>
    <n v="66322"/>
    <x v="39"/>
    <x v="0"/>
    <x v="7"/>
    <x v="7"/>
    <x v="0"/>
    <x v="6"/>
    <x v="5"/>
    <x v="1"/>
    <n v="60"/>
    <x v="9"/>
    <x v="0"/>
  </r>
  <r>
    <n v="66323"/>
    <x v="39"/>
    <x v="0"/>
    <x v="8"/>
    <x v="8"/>
    <x v="0"/>
    <x v="6"/>
    <x v="5"/>
    <x v="1"/>
    <n v="60"/>
    <x v="10"/>
    <x v="0"/>
  </r>
  <r>
    <n v="66324"/>
    <x v="39"/>
    <x v="0"/>
    <x v="9"/>
    <x v="9"/>
    <x v="1"/>
    <x v="6"/>
    <x v="5"/>
    <x v="1"/>
    <n v="60"/>
    <x v="11"/>
    <x v="0"/>
  </r>
  <r>
    <n v="66325"/>
    <x v="39"/>
    <x v="0"/>
    <x v="10"/>
    <x v="10"/>
    <x v="1"/>
    <x v="6"/>
    <x v="5"/>
    <x v="1"/>
    <n v="60"/>
    <x v="12"/>
    <x v="0"/>
  </r>
  <r>
    <n v="66326"/>
    <x v="39"/>
    <x v="0"/>
    <x v="11"/>
    <x v="11"/>
    <x v="1"/>
    <x v="6"/>
    <x v="5"/>
    <x v="1"/>
    <n v="60"/>
    <x v="13"/>
    <x v="0"/>
  </r>
  <r>
    <n v="66327"/>
    <x v="39"/>
    <x v="0"/>
    <x v="12"/>
    <x v="12"/>
    <x v="1"/>
    <x v="6"/>
    <x v="5"/>
    <x v="1"/>
    <n v="60"/>
    <x v="14"/>
    <x v="0"/>
  </r>
  <r>
    <n v="66328"/>
    <x v="39"/>
    <x v="1"/>
    <x v="5"/>
    <x v="5"/>
    <x v="3"/>
    <x v="6"/>
    <x v="5"/>
    <x v="1"/>
    <n v="60"/>
    <x v="16"/>
    <x v="0"/>
  </r>
  <r>
    <n v="66329"/>
    <x v="39"/>
    <x v="1"/>
    <x v="6"/>
    <x v="6"/>
    <x v="3"/>
    <x v="6"/>
    <x v="5"/>
    <x v="1"/>
    <n v="60"/>
    <x v="17"/>
    <x v="0"/>
  </r>
  <r>
    <n v="66330"/>
    <x v="40"/>
    <x v="0"/>
    <x v="0"/>
    <x v="0"/>
    <x v="0"/>
    <x v="6"/>
    <x v="5"/>
    <x v="1"/>
    <n v="61"/>
    <x v="0"/>
    <x v="0"/>
  </r>
  <r>
    <n v="66331"/>
    <x v="40"/>
    <x v="0"/>
    <x v="0"/>
    <x v="0"/>
    <x v="1"/>
    <x v="6"/>
    <x v="5"/>
    <x v="1"/>
    <n v="61"/>
    <x v="15"/>
    <x v="0"/>
  </r>
  <r>
    <n v="66332"/>
    <x v="40"/>
    <x v="0"/>
    <x v="1"/>
    <x v="1"/>
    <x v="0"/>
    <x v="6"/>
    <x v="5"/>
    <x v="1"/>
    <n v="61"/>
    <x v="1"/>
    <x v="0"/>
  </r>
  <r>
    <n v="66333"/>
    <x v="40"/>
    <x v="0"/>
    <x v="1"/>
    <x v="1"/>
    <x v="1"/>
    <x v="6"/>
    <x v="5"/>
    <x v="1"/>
    <n v="61"/>
    <x v="2"/>
    <x v="0"/>
  </r>
  <r>
    <n v="66334"/>
    <x v="40"/>
    <x v="0"/>
    <x v="2"/>
    <x v="2"/>
    <x v="1"/>
    <x v="6"/>
    <x v="5"/>
    <x v="1"/>
    <n v="61"/>
    <x v="3"/>
    <x v="0"/>
  </r>
  <r>
    <n v="66335"/>
    <x v="40"/>
    <x v="0"/>
    <x v="3"/>
    <x v="3"/>
    <x v="1"/>
    <x v="6"/>
    <x v="5"/>
    <x v="1"/>
    <n v="61"/>
    <x v="4"/>
    <x v="0"/>
  </r>
  <r>
    <n v="66336"/>
    <x v="40"/>
    <x v="0"/>
    <x v="4"/>
    <x v="4"/>
    <x v="0"/>
    <x v="6"/>
    <x v="5"/>
    <x v="1"/>
    <n v="61"/>
    <x v="5"/>
    <x v="0"/>
  </r>
  <r>
    <n v="66337"/>
    <x v="40"/>
    <x v="0"/>
    <x v="4"/>
    <x v="4"/>
    <x v="1"/>
    <x v="6"/>
    <x v="5"/>
    <x v="1"/>
    <n v="61"/>
    <x v="6"/>
    <x v="0"/>
  </r>
  <r>
    <n v="66338"/>
    <x v="40"/>
    <x v="1"/>
    <x v="5"/>
    <x v="5"/>
    <x v="2"/>
    <x v="6"/>
    <x v="5"/>
    <x v="1"/>
    <n v="61"/>
    <x v="7"/>
    <x v="0"/>
  </r>
  <r>
    <n v="66339"/>
    <x v="40"/>
    <x v="1"/>
    <x v="6"/>
    <x v="6"/>
    <x v="2"/>
    <x v="6"/>
    <x v="5"/>
    <x v="1"/>
    <n v="61"/>
    <x v="8"/>
    <x v="0"/>
  </r>
  <r>
    <n v="66340"/>
    <x v="40"/>
    <x v="0"/>
    <x v="7"/>
    <x v="7"/>
    <x v="0"/>
    <x v="6"/>
    <x v="5"/>
    <x v="1"/>
    <n v="61"/>
    <x v="9"/>
    <x v="0"/>
  </r>
  <r>
    <n v="66341"/>
    <x v="40"/>
    <x v="0"/>
    <x v="8"/>
    <x v="8"/>
    <x v="0"/>
    <x v="6"/>
    <x v="5"/>
    <x v="1"/>
    <n v="61"/>
    <x v="10"/>
    <x v="0"/>
  </r>
  <r>
    <n v="66342"/>
    <x v="40"/>
    <x v="0"/>
    <x v="9"/>
    <x v="9"/>
    <x v="1"/>
    <x v="6"/>
    <x v="5"/>
    <x v="1"/>
    <n v="61"/>
    <x v="11"/>
    <x v="0"/>
  </r>
  <r>
    <n v="66343"/>
    <x v="40"/>
    <x v="0"/>
    <x v="10"/>
    <x v="10"/>
    <x v="1"/>
    <x v="6"/>
    <x v="5"/>
    <x v="1"/>
    <n v="61"/>
    <x v="12"/>
    <x v="0"/>
  </r>
  <r>
    <n v="66344"/>
    <x v="40"/>
    <x v="0"/>
    <x v="11"/>
    <x v="11"/>
    <x v="1"/>
    <x v="6"/>
    <x v="5"/>
    <x v="1"/>
    <n v="61"/>
    <x v="13"/>
    <x v="0"/>
  </r>
  <r>
    <n v="66345"/>
    <x v="40"/>
    <x v="0"/>
    <x v="12"/>
    <x v="12"/>
    <x v="1"/>
    <x v="6"/>
    <x v="5"/>
    <x v="1"/>
    <n v="61"/>
    <x v="14"/>
    <x v="0"/>
  </r>
  <r>
    <n v="66346"/>
    <x v="40"/>
    <x v="1"/>
    <x v="5"/>
    <x v="5"/>
    <x v="3"/>
    <x v="6"/>
    <x v="5"/>
    <x v="1"/>
    <n v="61"/>
    <x v="16"/>
    <x v="0"/>
  </r>
  <r>
    <n v="66347"/>
    <x v="40"/>
    <x v="1"/>
    <x v="6"/>
    <x v="6"/>
    <x v="3"/>
    <x v="6"/>
    <x v="5"/>
    <x v="1"/>
    <n v="61"/>
    <x v="17"/>
    <x v="0"/>
  </r>
  <r>
    <n v="66348"/>
    <x v="41"/>
    <x v="0"/>
    <x v="0"/>
    <x v="0"/>
    <x v="0"/>
    <x v="6"/>
    <x v="5"/>
    <x v="1"/>
    <n v="62"/>
    <x v="0"/>
    <x v="0"/>
  </r>
  <r>
    <n v="66349"/>
    <x v="41"/>
    <x v="0"/>
    <x v="0"/>
    <x v="0"/>
    <x v="1"/>
    <x v="6"/>
    <x v="5"/>
    <x v="1"/>
    <n v="62"/>
    <x v="15"/>
    <x v="0"/>
  </r>
  <r>
    <n v="66350"/>
    <x v="41"/>
    <x v="0"/>
    <x v="1"/>
    <x v="1"/>
    <x v="0"/>
    <x v="6"/>
    <x v="5"/>
    <x v="1"/>
    <n v="62"/>
    <x v="1"/>
    <x v="0"/>
  </r>
  <r>
    <n v="66351"/>
    <x v="41"/>
    <x v="0"/>
    <x v="1"/>
    <x v="1"/>
    <x v="1"/>
    <x v="6"/>
    <x v="5"/>
    <x v="1"/>
    <n v="62"/>
    <x v="2"/>
    <x v="0"/>
  </r>
  <r>
    <n v="66352"/>
    <x v="41"/>
    <x v="0"/>
    <x v="2"/>
    <x v="2"/>
    <x v="1"/>
    <x v="6"/>
    <x v="5"/>
    <x v="1"/>
    <n v="62"/>
    <x v="3"/>
    <x v="0"/>
  </r>
  <r>
    <n v="66353"/>
    <x v="41"/>
    <x v="0"/>
    <x v="3"/>
    <x v="3"/>
    <x v="1"/>
    <x v="6"/>
    <x v="5"/>
    <x v="1"/>
    <n v="62"/>
    <x v="4"/>
    <x v="0"/>
  </r>
  <r>
    <n v="66354"/>
    <x v="41"/>
    <x v="0"/>
    <x v="4"/>
    <x v="4"/>
    <x v="0"/>
    <x v="6"/>
    <x v="5"/>
    <x v="1"/>
    <n v="62"/>
    <x v="5"/>
    <x v="0"/>
  </r>
  <r>
    <n v="66355"/>
    <x v="41"/>
    <x v="0"/>
    <x v="4"/>
    <x v="4"/>
    <x v="1"/>
    <x v="6"/>
    <x v="5"/>
    <x v="1"/>
    <n v="62"/>
    <x v="6"/>
    <x v="0"/>
  </r>
  <r>
    <n v="66356"/>
    <x v="41"/>
    <x v="1"/>
    <x v="5"/>
    <x v="5"/>
    <x v="2"/>
    <x v="6"/>
    <x v="5"/>
    <x v="1"/>
    <n v="62"/>
    <x v="7"/>
    <x v="0"/>
  </r>
  <r>
    <n v="66357"/>
    <x v="41"/>
    <x v="1"/>
    <x v="6"/>
    <x v="6"/>
    <x v="2"/>
    <x v="6"/>
    <x v="5"/>
    <x v="1"/>
    <n v="62"/>
    <x v="8"/>
    <x v="0"/>
  </r>
  <r>
    <n v="66358"/>
    <x v="41"/>
    <x v="0"/>
    <x v="7"/>
    <x v="7"/>
    <x v="0"/>
    <x v="6"/>
    <x v="5"/>
    <x v="1"/>
    <n v="62"/>
    <x v="9"/>
    <x v="0"/>
  </r>
  <r>
    <n v="66359"/>
    <x v="41"/>
    <x v="0"/>
    <x v="8"/>
    <x v="8"/>
    <x v="0"/>
    <x v="6"/>
    <x v="5"/>
    <x v="1"/>
    <n v="62"/>
    <x v="10"/>
    <x v="0"/>
  </r>
  <r>
    <n v="66360"/>
    <x v="41"/>
    <x v="0"/>
    <x v="9"/>
    <x v="9"/>
    <x v="1"/>
    <x v="6"/>
    <x v="5"/>
    <x v="1"/>
    <n v="62"/>
    <x v="11"/>
    <x v="0"/>
  </r>
  <r>
    <n v="66361"/>
    <x v="41"/>
    <x v="0"/>
    <x v="10"/>
    <x v="10"/>
    <x v="1"/>
    <x v="6"/>
    <x v="5"/>
    <x v="1"/>
    <n v="62"/>
    <x v="12"/>
    <x v="0"/>
  </r>
  <r>
    <n v="66362"/>
    <x v="41"/>
    <x v="0"/>
    <x v="11"/>
    <x v="11"/>
    <x v="1"/>
    <x v="6"/>
    <x v="5"/>
    <x v="1"/>
    <n v="62"/>
    <x v="13"/>
    <x v="0"/>
  </r>
  <r>
    <n v="66363"/>
    <x v="41"/>
    <x v="0"/>
    <x v="12"/>
    <x v="12"/>
    <x v="1"/>
    <x v="6"/>
    <x v="5"/>
    <x v="1"/>
    <n v="62"/>
    <x v="14"/>
    <x v="0"/>
  </r>
  <r>
    <n v="66364"/>
    <x v="41"/>
    <x v="1"/>
    <x v="5"/>
    <x v="5"/>
    <x v="3"/>
    <x v="6"/>
    <x v="5"/>
    <x v="1"/>
    <n v="62"/>
    <x v="16"/>
    <x v="0"/>
  </r>
  <r>
    <n v="66365"/>
    <x v="41"/>
    <x v="1"/>
    <x v="6"/>
    <x v="6"/>
    <x v="3"/>
    <x v="6"/>
    <x v="5"/>
    <x v="1"/>
    <n v="62"/>
    <x v="17"/>
    <x v="0"/>
  </r>
  <r>
    <n v="66366"/>
    <x v="42"/>
    <x v="0"/>
    <x v="0"/>
    <x v="0"/>
    <x v="0"/>
    <x v="6"/>
    <x v="5"/>
    <x v="1"/>
    <n v="63"/>
    <x v="0"/>
    <x v="0"/>
  </r>
  <r>
    <n v="66367"/>
    <x v="42"/>
    <x v="0"/>
    <x v="0"/>
    <x v="0"/>
    <x v="1"/>
    <x v="6"/>
    <x v="5"/>
    <x v="1"/>
    <n v="63"/>
    <x v="15"/>
    <x v="0"/>
  </r>
  <r>
    <n v="66368"/>
    <x v="42"/>
    <x v="0"/>
    <x v="1"/>
    <x v="1"/>
    <x v="0"/>
    <x v="6"/>
    <x v="5"/>
    <x v="1"/>
    <n v="63"/>
    <x v="1"/>
    <x v="0"/>
  </r>
  <r>
    <n v="66369"/>
    <x v="42"/>
    <x v="0"/>
    <x v="1"/>
    <x v="1"/>
    <x v="1"/>
    <x v="6"/>
    <x v="5"/>
    <x v="1"/>
    <n v="63"/>
    <x v="2"/>
    <x v="0"/>
  </r>
  <r>
    <n v="66370"/>
    <x v="42"/>
    <x v="0"/>
    <x v="2"/>
    <x v="2"/>
    <x v="1"/>
    <x v="6"/>
    <x v="5"/>
    <x v="1"/>
    <n v="63"/>
    <x v="3"/>
    <x v="0"/>
  </r>
  <r>
    <n v="66371"/>
    <x v="42"/>
    <x v="0"/>
    <x v="3"/>
    <x v="3"/>
    <x v="1"/>
    <x v="6"/>
    <x v="5"/>
    <x v="1"/>
    <n v="63"/>
    <x v="4"/>
    <x v="0"/>
  </r>
  <r>
    <n v="66372"/>
    <x v="42"/>
    <x v="0"/>
    <x v="4"/>
    <x v="4"/>
    <x v="0"/>
    <x v="6"/>
    <x v="5"/>
    <x v="1"/>
    <n v="63"/>
    <x v="5"/>
    <x v="0"/>
  </r>
  <r>
    <n v="66373"/>
    <x v="42"/>
    <x v="0"/>
    <x v="4"/>
    <x v="4"/>
    <x v="1"/>
    <x v="6"/>
    <x v="5"/>
    <x v="1"/>
    <n v="63"/>
    <x v="6"/>
    <x v="0"/>
  </r>
  <r>
    <n v="66374"/>
    <x v="42"/>
    <x v="1"/>
    <x v="5"/>
    <x v="5"/>
    <x v="2"/>
    <x v="6"/>
    <x v="5"/>
    <x v="1"/>
    <n v="63"/>
    <x v="7"/>
    <x v="0"/>
  </r>
  <r>
    <n v="66375"/>
    <x v="42"/>
    <x v="1"/>
    <x v="6"/>
    <x v="6"/>
    <x v="2"/>
    <x v="6"/>
    <x v="5"/>
    <x v="1"/>
    <n v="63"/>
    <x v="8"/>
    <x v="0"/>
  </r>
  <r>
    <n v="66376"/>
    <x v="42"/>
    <x v="0"/>
    <x v="7"/>
    <x v="7"/>
    <x v="0"/>
    <x v="6"/>
    <x v="5"/>
    <x v="1"/>
    <n v="63"/>
    <x v="9"/>
    <x v="0"/>
  </r>
  <r>
    <n v="66377"/>
    <x v="42"/>
    <x v="0"/>
    <x v="8"/>
    <x v="8"/>
    <x v="0"/>
    <x v="6"/>
    <x v="5"/>
    <x v="1"/>
    <n v="63"/>
    <x v="10"/>
    <x v="0"/>
  </r>
  <r>
    <n v="66378"/>
    <x v="42"/>
    <x v="0"/>
    <x v="9"/>
    <x v="9"/>
    <x v="1"/>
    <x v="6"/>
    <x v="5"/>
    <x v="1"/>
    <n v="63"/>
    <x v="11"/>
    <x v="0"/>
  </r>
  <r>
    <n v="66379"/>
    <x v="42"/>
    <x v="0"/>
    <x v="10"/>
    <x v="10"/>
    <x v="1"/>
    <x v="6"/>
    <x v="5"/>
    <x v="1"/>
    <n v="63"/>
    <x v="12"/>
    <x v="0"/>
  </r>
  <r>
    <n v="66380"/>
    <x v="42"/>
    <x v="0"/>
    <x v="11"/>
    <x v="11"/>
    <x v="1"/>
    <x v="6"/>
    <x v="5"/>
    <x v="1"/>
    <n v="63"/>
    <x v="13"/>
    <x v="0"/>
  </r>
  <r>
    <n v="66381"/>
    <x v="42"/>
    <x v="0"/>
    <x v="12"/>
    <x v="12"/>
    <x v="1"/>
    <x v="6"/>
    <x v="5"/>
    <x v="1"/>
    <n v="63"/>
    <x v="14"/>
    <x v="0"/>
  </r>
  <r>
    <n v="66382"/>
    <x v="42"/>
    <x v="1"/>
    <x v="5"/>
    <x v="5"/>
    <x v="3"/>
    <x v="6"/>
    <x v="5"/>
    <x v="1"/>
    <n v="63"/>
    <x v="16"/>
    <x v="0"/>
  </r>
  <r>
    <n v="66383"/>
    <x v="42"/>
    <x v="1"/>
    <x v="6"/>
    <x v="6"/>
    <x v="3"/>
    <x v="6"/>
    <x v="5"/>
    <x v="1"/>
    <n v="63"/>
    <x v="17"/>
    <x v="0"/>
  </r>
  <r>
    <n v="66384"/>
    <x v="37"/>
    <x v="0"/>
    <x v="0"/>
    <x v="0"/>
    <x v="0"/>
    <x v="6"/>
    <x v="5"/>
    <x v="1"/>
    <n v="64"/>
    <x v="0"/>
    <x v="0"/>
  </r>
  <r>
    <n v="66385"/>
    <x v="37"/>
    <x v="0"/>
    <x v="0"/>
    <x v="0"/>
    <x v="1"/>
    <x v="6"/>
    <x v="5"/>
    <x v="1"/>
    <n v="64"/>
    <x v="15"/>
    <x v="0"/>
  </r>
  <r>
    <n v="66387"/>
    <x v="37"/>
    <x v="0"/>
    <x v="1"/>
    <x v="1"/>
    <x v="1"/>
    <x v="6"/>
    <x v="5"/>
    <x v="1"/>
    <n v="64"/>
    <x v="2"/>
    <x v="0"/>
  </r>
  <r>
    <n v="66388"/>
    <x v="37"/>
    <x v="0"/>
    <x v="2"/>
    <x v="2"/>
    <x v="1"/>
    <x v="6"/>
    <x v="5"/>
    <x v="1"/>
    <n v="64"/>
    <x v="3"/>
    <x v="0"/>
  </r>
  <r>
    <n v="66389"/>
    <x v="37"/>
    <x v="0"/>
    <x v="3"/>
    <x v="3"/>
    <x v="1"/>
    <x v="6"/>
    <x v="5"/>
    <x v="1"/>
    <n v="64"/>
    <x v="4"/>
    <x v="0"/>
  </r>
  <r>
    <n v="66390"/>
    <x v="37"/>
    <x v="0"/>
    <x v="4"/>
    <x v="4"/>
    <x v="0"/>
    <x v="6"/>
    <x v="5"/>
    <x v="1"/>
    <n v="64"/>
    <x v="5"/>
    <x v="0"/>
  </r>
  <r>
    <n v="66391"/>
    <x v="37"/>
    <x v="0"/>
    <x v="4"/>
    <x v="4"/>
    <x v="1"/>
    <x v="6"/>
    <x v="5"/>
    <x v="1"/>
    <n v="64"/>
    <x v="6"/>
    <x v="0"/>
  </r>
  <r>
    <n v="66392"/>
    <x v="37"/>
    <x v="1"/>
    <x v="5"/>
    <x v="5"/>
    <x v="2"/>
    <x v="6"/>
    <x v="5"/>
    <x v="1"/>
    <n v="64"/>
    <x v="7"/>
    <x v="0"/>
  </r>
  <r>
    <n v="66393"/>
    <x v="37"/>
    <x v="1"/>
    <x v="6"/>
    <x v="6"/>
    <x v="2"/>
    <x v="6"/>
    <x v="5"/>
    <x v="1"/>
    <n v="64"/>
    <x v="8"/>
    <x v="0"/>
  </r>
  <r>
    <n v="66394"/>
    <x v="37"/>
    <x v="0"/>
    <x v="7"/>
    <x v="7"/>
    <x v="0"/>
    <x v="6"/>
    <x v="5"/>
    <x v="1"/>
    <n v="64"/>
    <x v="9"/>
    <x v="0"/>
  </r>
  <r>
    <n v="66395"/>
    <x v="37"/>
    <x v="0"/>
    <x v="8"/>
    <x v="8"/>
    <x v="0"/>
    <x v="6"/>
    <x v="5"/>
    <x v="1"/>
    <n v="64"/>
    <x v="10"/>
    <x v="0"/>
  </r>
  <r>
    <n v="66396"/>
    <x v="37"/>
    <x v="0"/>
    <x v="9"/>
    <x v="9"/>
    <x v="1"/>
    <x v="6"/>
    <x v="5"/>
    <x v="1"/>
    <n v="64"/>
    <x v="11"/>
    <x v="0"/>
  </r>
  <r>
    <n v="66397"/>
    <x v="37"/>
    <x v="0"/>
    <x v="10"/>
    <x v="10"/>
    <x v="1"/>
    <x v="6"/>
    <x v="5"/>
    <x v="1"/>
    <n v="64"/>
    <x v="12"/>
    <x v="0"/>
  </r>
  <r>
    <n v="66398"/>
    <x v="37"/>
    <x v="0"/>
    <x v="11"/>
    <x v="11"/>
    <x v="1"/>
    <x v="6"/>
    <x v="5"/>
    <x v="1"/>
    <n v="64"/>
    <x v="13"/>
    <x v="0"/>
  </r>
  <r>
    <n v="66399"/>
    <x v="37"/>
    <x v="0"/>
    <x v="12"/>
    <x v="12"/>
    <x v="1"/>
    <x v="6"/>
    <x v="5"/>
    <x v="1"/>
    <n v="64"/>
    <x v="14"/>
    <x v="0"/>
  </r>
  <r>
    <n v="66400"/>
    <x v="37"/>
    <x v="1"/>
    <x v="5"/>
    <x v="5"/>
    <x v="3"/>
    <x v="6"/>
    <x v="5"/>
    <x v="1"/>
    <n v="64"/>
    <x v="16"/>
    <x v="0"/>
  </r>
  <r>
    <n v="66401"/>
    <x v="37"/>
    <x v="1"/>
    <x v="6"/>
    <x v="6"/>
    <x v="3"/>
    <x v="6"/>
    <x v="5"/>
    <x v="1"/>
    <n v="64"/>
    <x v="17"/>
    <x v="0"/>
  </r>
  <r>
    <n v="66402"/>
    <x v="43"/>
    <x v="0"/>
    <x v="0"/>
    <x v="0"/>
    <x v="0"/>
    <x v="6"/>
    <x v="5"/>
    <x v="1"/>
    <n v="65"/>
    <x v="0"/>
    <x v="0"/>
  </r>
  <r>
    <n v="66403"/>
    <x v="43"/>
    <x v="0"/>
    <x v="0"/>
    <x v="0"/>
    <x v="1"/>
    <x v="6"/>
    <x v="5"/>
    <x v="1"/>
    <n v="65"/>
    <x v="15"/>
    <x v="0"/>
  </r>
  <r>
    <n v="66404"/>
    <x v="43"/>
    <x v="0"/>
    <x v="1"/>
    <x v="1"/>
    <x v="0"/>
    <x v="6"/>
    <x v="5"/>
    <x v="1"/>
    <n v="65"/>
    <x v="1"/>
    <x v="0"/>
  </r>
  <r>
    <n v="66405"/>
    <x v="43"/>
    <x v="0"/>
    <x v="1"/>
    <x v="1"/>
    <x v="1"/>
    <x v="6"/>
    <x v="5"/>
    <x v="1"/>
    <n v="65"/>
    <x v="2"/>
    <x v="0"/>
  </r>
  <r>
    <n v="66406"/>
    <x v="43"/>
    <x v="0"/>
    <x v="2"/>
    <x v="2"/>
    <x v="1"/>
    <x v="6"/>
    <x v="5"/>
    <x v="1"/>
    <n v="65"/>
    <x v="3"/>
    <x v="0"/>
  </r>
  <r>
    <n v="66407"/>
    <x v="43"/>
    <x v="0"/>
    <x v="3"/>
    <x v="3"/>
    <x v="1"/>
    <x v="6"/>
    <x v="5"/>
    <x v="1"/>
    <n v="65"/>
    <x v="4"/>
    <x v="0"/>
  </r>
  <r>
    <n v="66408"/>
    <x v="43"/>
    <x v="0"/>
    <x v="4"/>
    <x v="4"/>
    <x v="0"/>
    <x v="6"/>
    <x v="5"/>
    <x v="1"/>
    <n v="65"/>
    <x v="5"/>
    <x v="0"/>
  </r>
  <r>
    <n v="66409"/>
    <x v="43"/>
    <x v="0"/>
    <x v="4"/>
    <x v="4"/>
    <x v="1"/>
    <x v="6"/>
    <x v="5"/>
    <x v="1"/>
    <n v="65"/>
    <x v="6"/>
    <x v="0"/>
  </r>
  <r>
    <n v="66410"/>
    <x v="43"/>
    <x v="1"/>
    <x v="5"/>
    <x v="5"/>
    <x v="2"/>
    <x v="6"/>
    <x v="5"/>
    <x v="1"/>
    <n v="65"/>
    <x v="7"/>
    <x v="0"/>
  </r>
  <r>
    <n v="66411"/>
    <x v="43"/>
    <x v="1"/>
    <x v="6"/>
    <x v="6"/>
    <x v="2"/>
    <x v="6"/>
    <x v="5"/>
    <x v="1"/>
    <n v="65"/>
    <x v="8"/>
    <x v="0"/>
  </r>
  <r>
    <n v="66412"/>
    <x v="43"/>
    <x v="0"/>
    <x v="7"/>
    <x v="7"/>
    <x v="0"/>
    <x v="6"/>
    <x v="5"/>
    <x v="1"/>
    <n v="65"/>
    <x v="9"/>
    <x v="0"/>
  </r>
  <r>
    <n v="66413"/>
    <x v="43"/>
    <x v="0"/>
    <x v="8"/>
    <x v="8"/>
    <x v="0"/>
    <x v="6"/>
    <x v="5"/>
    <x v="1"/>
    <n v="65"/>
    <x v="10"/>
    <x v="0"/>
  </r>
  <r>
    <n v="66414"/>
    <x v="43"/>
    <x v="0"/>
    <x v="9"/>
    <x v="9"/>
    <x v="1"/>
    <x v="6"/>
    <x v="5"/>
    <x v="1"/>
    <n v="65"/>
    <x v="11"/>
    <x v="0"/>
  </r>
  <r>
    <n v="66415"/>
    <x v="43"/>
    <x v="0"/>
    <x v="10"/>
    <x v="10"/>
    <x v="1"/>
    <x v="6"/>
    <x v="5"/>
    <x v="1"/>
    <n v="65"/>
    <x v="12"/>
    <x v="0"/>
  </r>
  <r>
    <n v="66416"/>
    <x v="43"/>
    <x v="0"/>
    <x v="11"/>
    <x v="11"/>
    <x v="1"/>
    <x v="6"/>
    <x v="5"/>
    <x v="1"/>
    <n v="65"/>
    <x v="13"/>
    <x v="0"/>
  </r>
  <r>
    <n v="66417"/>
    <x v="43"/>
    <x v="0"/>
    <x v="12"/>
    <x v="12"/>
    <x v="1"/>
    <x v="6"/>
    <x v="5"/>
    <x v="1"/>
    <n v="65"/>
    <x v="14"/>
    <x v="0"/>
  </r>
  <r>
    <n v="66418"/>
    <x v="43"/>
    <x v="1"/>
    <x v="5"/>
    <x v="5"/>
    <x v="3"/>
    <x v="6"/>
    <x v="5"/>
    <x v="1"/>
    <n v="65"/>
    <x v="16"/>
    <x v="0"/>
  </r>
  <r>
    <n v="66419"/>
    <x v="43"/>
    <x v="1"/>
    <x v="6"/>
    <x v="6"/>
    <x v="3"/>
    <x v="6"/>
    <x v="5"/>
    <x v="1"/>
    <n v="65"/>
    <x v="17"/>
    <x v="0"/>
  </r>
  <r>
    <n v="66420"/>
    <x v="44"/>
    <x v="0"/>
    <x v="0"/>
    <x v="0"/>
    <x v="0"/>
    <x v="10"/>
    <x v="5"/>
    <x v="1"/>
    <n v="66"/>
    <x v="0"/>
    <x v="0"/>
  </r>
  <r>
    <n v="66421"/>
    <x v="44"/>
    <x v="0"/>
    <x v="0"/>
    <x v="0"/>
    <x v="1"/>
    <x v="10"/>
    <x v="5"/>
    <x v="1"/>
    <n v="66"/>
    <x v="15"/>
    <x v="0"/>
  </r>
  <r>
    <n v="66422"/>
    <x v="44"/>
    <x v="0"/>
    <x v="1"/>
    <x v="1"/>
    <x v="0"/>
    <x v="10"/>
    <x v="5"/>
    <x v="1"/>
    <n v="66"/>
    <x v="1"/>
    <x v="0"/>
  </r>
  <r>
    <n v="66423"/>
    <x v="44"/>
    <x v="0"/>
    <x v="1"/>
    <x v="1"/>
    <x v="1"/>
    <x v="10"/>
    <x v="5"/>
    <x v="1"/>
    <n v="66"/>
    <x v="2"/>
    <x v="0"/>
  </r>
  <r>
    <n v="66424"/>
    <x v="44"/>
    <x v="0"/>
    <x v="2"/>
    <x v="2"/>
    <x v="1"/>
    <x v="10"/>
    <x v="5"/>
    <x v="1"/>
    <n v="66"/>
    <x v="3"/>
    <x v="0"/>
  </r>
  <r>
    <n v="66425"/>
    <x v="44"/>
    <x v="0"/>
    <x v="3"/>
    <x v="3"/>
    <x v="1"/>
    <x v="10"/>
    <x v="5"/>
    <x v="1"/>
    <n v="66"/>
    <x v="4"/>
    <x v="0"/>
  </r>
  <r>
    <n v="66426"/>
    <x v="44"/>
    <x v="0"/>
    <x v="4"/>
    <x v="4"/>
    <x v="0"/>
    <x v="10"/>
    <x v="5"/>
    <x v="1"/>
    <n v="66"/>
    <x v="5"/>
    <x v="0"/>
  </r>
  <r>
    <n v="66427"/>
    <x v="44"/>
    <x v="0"/>
    <x v="4"/>
    <x v="4"/>
    <x v="1"/>
    <x v="10"/>
    <x v="5"/>
    <x v="1"/>
    <n v="66"/>
    <x v="6"/>
    <x v="0"/>
  </r>
  <r>
    <n v="66428"/>
    <x v="44"/>
    <x v="1"/>
    <x v="5"/>
    <x v="5"/>
    <x v="2"/>
    <x v="10"/>
    <x v="5"/>
    <x v="1"/>
    <n v="66"/>
    <x v="7"/>
    <x v="0"/>
  </r>
  <r>
    <n v="66429"/>
    <x v="44"/>
    <x v="1"/>
    <x v="6"/>
    <x v="6"/>
    <x v="2"/>
    <x v="10"/>
    <x v="5"/>
    <x v="1"/>
    <n v="66"/>
    <x v="8"/>
    <x v="0"/>
  </r>
  <r>
    <n v="66430"/>
    <x v="44"/>
    <x v="0"/>
    <x v="7"/>
    <x v="7"/>
    <x v="0"/>
    <x v="10"/>
    <x v="5"/>
    <x v="1"/>
    <n v="66"/>
    <x v="9"/>
    <x v="0"/>
  </r>
  <r>
    <n v="66431"/>
    <x v="44"/>
    <x v="0"/>
    <x v="8"/>
    <x v="8"/>
    <x v="0"/>
    <x v="10"/>
    <x v="5"/>
    <x v="1"/>
    <n v="66"/>
    <x v="10"/>
    <x v="0"/>
  </r>
  <r>
    <n v="66432"/>
    <x v="44"/>
    <x v="0"/>
    <x v="9"/>
    <x v="9"/>
    <x v="1"/>
    <x v="10"/>
    <x v="5"/>
    <x v="1"/>
    <n v="66"/>
    <x v="11"/>
    <x v="0"/>
  </r>
  <r>
    <n v="66433"/>
    <x v="44"/>
    <x v="0"/>
    <x v="10"/>
    <x v="10"/>
    <x v="1"/>
    <x v="10"/>
    <x v="5"/>
    <x v="1"/>
    <n v="66"/>
    <x v="12"/>
    <x v="0"/>
  </r>
  <r>
    <n v="66434"/>
    <x v="44"/>
    <x v="0"/>
    <x v="11"/>
    <x v="11"/>
    <x v="1"/>
    <x v="10"/>
    <x v="5"/>
    <x v="1"/>
    <n v="66"/>
    <x v="13"/>
    <x v="0"/>
  </r>
  <r>
    <n v="66435"/>
    <x v="44"/>
    <x v="0"/>
    <x v="12"/>
    <x v="12"/>
    <x v="1"/>
    <x v="10"/>
    <x v="5"/>
    <x v="1"/>
    <n v="66"/>
    <x v="14"/>
    <x v="0"/>
  </r>
  <r>
    <n v="66436"/>
    <x v="44"/>
    <x v="1"/>
    <x v="5"/>
    <x v="5"/>
    <x v="3"/>
    <x v="10"/>
    <x v="5"/>
    <x v="1"/>
    <n v="66"/>
    <x v="16"/>
    <x v="0"/>
  </r>
  <r>
    <n v="66437"/>
    <x v="44"/>
    <x v="1"/>
    <x v="6"/>
    <x v="6"/>
    <x v="3"/>
    <x v="10"/>
    <x v="5"/>
    <x v="1"/>
    <n v="66"/>
    <x v="17"/>
    <x v="0"/>
  </r>
  <r>
    <n v="66438"/>
    <x v="45"/>
    <x v="0"/>
    <x v="0"/>
    <x v="0"/>
    <x v="0"/>
    <x v="10"/>
    <x v="5"/>
    <x v="1"/>
    <n v="67"/>
    <x v="0"/>
    <x v="0"/>
  </r>
  <r>
    <n v="66439"/>
    <x v="45"/>
    <x v="0"/>
    <x v="0"/>
    <x v="0"/>
    <x v="1"/>
    <x v="10"/>
    <x v="5"/>
    <x v="1"/>
    <n v="67"/>
    <x v="15"/>
    <x v="0"/>
  </r>
  <r>
    <n v="66440"/>
    <x v="45"/>
    <x v="0"/>
    <x v="1"/>
    <x v="1"/>
    <x v="0"/>
    <x v="10"/>
    <x v="5"/>
    <x v="1"/>
    <n v="67"/>
    <x v="1"/>
    <x v="0"/>
  </r>
  <r>
    <n v="66441"/>
    <x v="45"/>
    <x v="0"/>
    <x v="1"/>
    <x v="1"/>
    <x v="1"/>
    <x v="10"/>
    <x v="5"/>
    <x v="1"/>
    <n v="67"/>
    <x v="2"/>
    <x v="0"/>
  </r>
  <r>
    <n v="66442"/>
    <x v="45"/>
    <x v="0"/>
    <x v="2"/>
    <x v="2"/>
    <x v="1"/>
    <x v="10"/>
    <x v="5"/>
    <x v="1"/>
    <n v="67"/>
    <x v="3"/>
    <x v="0"/>
  </r>
  <r>
    <n v="66443"/>
    <x v="45"/>
    <x v="0"/>
    <x v="3"/>
    <x v="3"/>
    <x v="1"/>
    <x v="10"/>
    <x v="5"/>
    <x v="1"/>
    <n v="67"/>
    <x v="4"/>
    <x v="0"/>
  </r>
  <r>
    <n v="66444"/>
    <x v="45"/>
    <x v="0"/>
    <x v="4"/>
    <x v="4"/>
    <x v="0"/>
    <x v="10"/>
    <x v="5"/>
    <x v="1"/>
    <n v="67"/>
    <x v="5"/>
    <x v="0"/>
  </r>
  <r>
    <n v="66445"/>
    <x v="45"/>
    <x v="0"/>
    <x v="4"/>
    <x v="4"/>
    <x v="1"/>
    <x v="10"/>
    <x v="5"/>
    <x v="1"/>
    <n v="67"/>
    <x v="6"/>
    <x v="0"/>
  </r>
  <r>
    <n v="66446"/>
    <x v="45"/>
    <x v="1"/>
    <x v="5"/>
    <x v="5"/>
    <x v="2"/>
    <x v="10"/>
    <x v="5"/>
    <x v="1"/>
    <n v="67"/>
    <x v="7"/>
    <x v="0"/>
  </r>
  <r>
    <n v="66447"/>
    <x v="45"/>
    <x v="1"/>
    <x v="6"/>
    <x v="6"/>
    <x v="2"/>
    <x v="10"/>
    <x v="5"/>
    <x v="1"/>
    <n v="67"/>
    <x v="8"/>
    <x v="0"/>
  </r>
  <r>
    <n v="66448"/>
    <x v="45"/>
    <x v="0"/>
    <x v="7"/>
    <x v="7"/>
    <x v="0"/>
    <x v="10"/>
    <x v="5"/>
    <x v="1"/>
    <n v="67"/>
    <x v="9"/>
    <x v="0"/>
  </r>
  <r>
    <n v="66449"/>
    <x v="45"/>
    <x v="0"/>
    <x v="8"/>
    <x v="8"/>
    <x v="0"/>
    <x v="10"/>
    <x v="5"/>
    <x v="1"/>
    <n v="67"/>
    <x v="10"/>
    <x v="0"/>
  </r>
  <r>
    <n v="66450"/>
    <x v="45"/>
    <x v="0"/>
    <x v="9"/>
    <x v="9"/>
    <x v="1"/>
    <x v="10"/>
    <x v="5"/>
    <x v="1"/>
    <n v="67"/>
    <x v="11"/>
    <x v="0"/>
  </r>
  <r>
    <n v="66451"/>
    <x v="45"/>
    <x v="0"/>
    <x v="10"/>
    <x v="10"/>
    <x v="1"/>
    <x v="10"/>
    <x v="5"/>
    <x v="1"/>
    <n v="67"/>
    <x v="12"/>
    <x v="0"/>
  </r>
  <r>
    <n v="66452"/>
    <x v="45"/>
    <x v="0"/>
    <x v="11"/>
    <x v="11"/>
    <x v="1"/>
    <x v="10"/>
    <x v="5"/>
    <x v="1"/>
    <n v="67"/>
    <x v="13"/>
    <x v="0"/>
  </r>
  <r>
    <n v="66453"/>
    <x v="45"/>
    <x v="0"/>
    <x v="12"/>
    <x v="12"/>
    <x v="1"/>
    <x v="10"/>
    <x v="5"/>
    <x v="1"/>
    <n v="67"/>
    <x v="14"/>
    <x v="0"/>
  </r>
  <r>
    <n v="66454"/>
    <x v="45"/>
    <x v="1"/>
    <x v="5"/>
    <x v="5"/>
    <x v="3"/>
    <x v="10"/>
    <x v="5"/>
    <x v="1"/>
    <n v="67"/>
    <x v="16"/>
    <x v="0"/>
  </r>
  <r>
    <n v="66455"/>
    <x v="45"/>
    <x v="1"/>
    <x v="6"/>
    <x v="6"/>
    <x v="3"/>
    <x v="10"/>
    <x v="5"/>
    <x v="1"/>
    <n v="67"/>
    <x v="17"/>
    <x v="0"/>
  </r>
  <r>
    <n v="66456"/>
    <x v="46"/>
    <x v="0"/>
    <x v="0"/>
    <x v="0"/>
    <x v="0"/>
    <x v="10"/>
    <x v="5"/>
    <x v="1"/>
    <n v="68"/>
    <x v="0"/>
    <x v="0"/>
  </r>
  <r>
    <n v="66457"/>
    <x v="46"/>
    <x v="0"/>
    <x v="0"/>
    <x v="0"/>
    <x v="1"/>
    <x v="10"/>
    <x v="5"/>
    <x v="1"/>
    <n v="68"/>
    <x v="15"/>
    <x v="0"/>
  </r>
  <r>
    <n v="66458"/>
    <x v="46"/>
    <x v="0"/>
    <x v="1"/>
    <x v="1"/>
    <x v="0"/>
    <x v="10"/>
    <x v="5"/>
    <x v="1"/>
    <n v="68"/>
    <x v="1"/>
    <x v="0"/>
  </r>
  <r>
    <n v="66459"/>
    <x v="46"/>
    <x v="0"/>
    <x v="1"/>
    <x v="1"/>
    <x v="1"/>
    <x v="10"/>
    <x v="5"/>
    <x v="1"/>
    <n v="68"/>
    <x v="2"/>
    <x v="0"/>
  </r>
  <r>
    <n v="66460"/>
    <x v="46"/>
    <x v="0"/>
    <x v="2"/>
    <x v="2"/>
    <x v="1"/>
    <x v="10"/>
    <x v="5"/>
    <x v="1"/>
    <n v="68"/>
    <x v="3"/>
    <x v="0"/>
  </r>
  <r>
    <n v="66461"/>
    <x v="46"/>
    <x v="0"/>
    <x v="3"/>
    <x v="3"/>
    <x v="1"/>
    <x v="10"/>
    <x v="5"/>
    <x v="1"/>
    <n v="68"/>
    <x v="4"/>
    <x v="0"/>
  </r>
  <r>
    <n v="66462"/>
    <x v="46"/>
    <x v="0"/>
    <x v="4"/>
    <x v="4"/>
    <x v="0"/>
    <x v="10"/>
    <x v="5"/>
    <x v="1"/>
    <n v="68"/>
    <x v="5"/>
    <x v="0"/>
  </r>
  <r>
    <n v="66463"/>
    <x v="46"/>
    <x v="0"/>
    <x v="4"/>
    <x v="4"/>
    <x v="1"/>
    <x v="10"/>
    <x v="5"/>
    <x v="1"/>
    <n v="68"/>
    <x v="6"/>
    <x v="0"/>
  </r>
  <r>
    <n v="66464"/>
    <x v="46"/>
    <x v="1"/>
    <x v="5"/>
    <x v="5"/>
    <x v="2"/>
    <x v="10"/>
    <x v="5"/>
    <x v="1"/>
    <n v="68"/>
    <x v="7"/>
    <x v="0"/>
  </r>
  <r>
    <n v="66465"/>
    <x v="46"/>
    <x v="1"/>
    <x v="6"/>
    <x v="6"/>
    <x v="2"/>
    <x v="10"/>
    <x v="5"/>
    <x v="1"/>
    <n v="68"/>
    <x v="8"/>
    <x v="0"/>
  </r>
  <r>
    <n v="66466"/>
    <x v="46"/>
    <x v="0"/>
    <x v="7"/>
    <x v="7"/>
    <x v="0"/>
    <x v="10"/>
    <x v="5"/>
    <x v="1"/>
    <n v="68"/>
    <x v="9"/>
    <x v="0"/>
  </r>
  <r>
    <n v="66467"/>
    <x v="46"/>
    <x v="0"/>
    <x v="8"/>
    <x v="8"/>
    <x v="0"/>
    <x v="10"/>
    <x v="5"/>
    <x v="1"/>
    <n v="68"/>
    <x v="10"/>
    <x v="0"/>
  </r>
  <r>
    <n v="66468"/>
    <x v="46"/>
    <x v="0"/>
    <x v="9"/>
    <x v="9"/>
    <x v="1"/>
    <x v="10"/>
    <x v="5"/>
    <x v="1"/>
    <n v="68"/>
    <x v="11"/>
    <x v="0"/>
  </r>
  <r>
    <n v="66469"/>
    <x v="46"/>
    <x v="0"/>
    <x v="10"/>
    <x v="10"/>
    <x v="1"/>
    <x v="10"/>
    <x v="5"/>
    <x v="1"/>
    <n v="68"/>
    <x v="12"/>
    <x v="0"/>
  </r>
  <r>
    <n v="66470"/>
    <x v="46"/>
    <x v="0"/>
    <x v="11"/>
    <x v="11"/>
    <x v="1"/>
    <x v="10"/>
    <x v="5"/>
    <x v="1"/>
    <n v="68"/>
    <x v="13"/>
    <x v="0"/>
  </r>
  <r>
    <n v="66471"/>
    <x v="46"/>
    <x v="0"/>
    <x v="12"/>
    <x v="12"/>
    <x v="1"/>
    <x v="10"/>
    <x v="5"/>
    <x v="1"/>
    <n v="68"/>
    <x v="14"/>
    <x v="0"/>
  </r>
  <r>
    <n v="66472"/>
    <x v="46"/>
    <x v="1"/>
    <x v="5"/>
    <x v="5"/>
    <x v="3"/>
    <x v="10"/>
    <x v="5"/>
    <x v="1"/>
    <n v="68"/>
    <x v="16"/>
    <x v="0"/>
  </r>
  <r>
    <n v="66473"/>
    <x v="46"/>
    <x v="1"/>
    <x v="6"/>
    <x v="6"/>
    <x v="3"/>
    <x v="10"/>
    <x v="5"/>
    <x v="1"/>
    <n v="68"/>
    <x v="17"/>
    <x v="0"/>
  </r>
  <r>
    <n v="66474"/>
    <x v="47"/>
    <x v="0"/>
    <x v="0"/>
    <x v="0"/>
    <x v="0"/>
    <x v="10"/>
    <x v="5"/>
    <x v="1"/>
    <n v="69"/>
    <x v="0"/>
    <x v="0"/>
  </r>
  <r>
    <n v="66475"/>
    <x v="47"/>
    <x v="0"/>
    <x v="0"/>
    <x v="0"/>
    <x v="1"/>
    <x v="10"/>
    <x v="5"/>
    <x v="1"/>
    <n v="69"/>
    <x v="15"/>
    <x v="0"/>
  </r>
  <r>
    <n v="66476"/>
    <x v="47"/>
    <x v="0"/>
    <x v="1"/>
    <x v="1"/>
    <x v="0"/>
    <x v="10"/>
    <x v="5"/>
    <x v="1"/>
    <n v="69"/>
    <x v="1"/>
    <x v="0"/>
  </r>
  <r>
    <n v="66477"/>
    <x v="47"/>
    <x v="0"/>
    <x v="1"/>
    <x v="1"/>
    <x v="1"/>
    <x v="10"/>
    <x v="5"/>
    <x v="1"/>
    <n v="69"/>
    <x v="2"/>
    <x v="0"/>
  </r>
  <r>
    <n v="66478"/>
    <x v="47"/>
    <x v="0"/>
    <x v="2"/>
    <x v="2"/>
    <x v="1"/>
    <x v="10"/>
    <x v="5"/>
    <x v="1"/>
    <n v="69"/>
    <x v="3"/>
    <x v="0"/>
  </r>
  <r>
    <n v="66479"/>
    <x v="47"/>
    <x v="0"/>
    <x v="3"/>
    <x v="3"/>
    <x v="1"/>
    <x v="10"/>
    <x v="5"/>
    <x v="1"/>
    <n v="69"/>
    <x v="4"/>
    <x v="0"/>
  </r>
  <r>
    <n v="66480"/>
    <x v="47"/>
    <x v="0"/>
    <x v="4"/>
    <x v="4"/>
    <x v="0"/>
    <x v="10"/>
    <x v="5"/>
    <x v="1"/>
    <n v="69"/>
    <x v="5"/>
    <x v="0"/>
  </r>
  <r>
    <n v="66481"/>
    <x v="47"/>
    <x v="0"/>
    <x v="4"/>
    <x v="4"/>
    <x v="1"/>
    <x v="10"/>
    <x v="5"/>
    <x v="1"/>
    <n v="69"/>
    <x v="6"/>
    <x v="0"/>
  </r>
  <r>
    <n v="66482"/>
    <x v="47"/>
    <x v="1"/>
    <x v="5"/>
    <x v="5"/>
    <x v="2"/>
    <x v="10"/>
    <x v="5"/>
    <x v="1"/>
    <n v="69"/>
    <x v="7"/>
    <x v="0"/>
  </r>
  <r>
    <n v="66483"/>
    <x v="47"/>
    <x v="1"/>
    <x v="6"/>
    <x v="6"/>
    <x v="2"/>
    <x v="10"/>
    <x v="5"/>
    <x v="1"/>
    <n v="69"/>
    <x v="8"/>
    <x v="0"/>
  </r>
  <r>
    <n v="66484"/>
    <x v="47"/>
    <x v="0"/>
    <x v="7"/>
    <x v="7"/>
    <x v="0"/>
    <x v="10"/>
    <x v="5"/>
    <x v="1"/>
    <n v="69"/>
    <x v="9"/>
    <x v="0"/>
  </r>
  <r>
    <n v="66485"/>
    <x v="47"/>
    <x v="0"/>
    <x v="8"/>
    <x v="8"/>
    <x v="0"/>
    <x v="10"/>
    <x v="5"/>
    <x v="1"/>
    <n v="69"/>
    <x v="10"/>
    <x v="0"/>
  </r>
  <r>
    <n v="66486"/>
    <x v="47"/>
    <x v="0"/>
    <x v="9"/>
    <x v="9"/>
    <x v="1"/>
    <x v="10"/>
    <x v="5"/>
    <x v="1"/>
    <n v="69"/>
    <x v="11"/>
    <x v="0"/>
  </r>
  <r>
    <n v="66487"/>
    <x v="47"/>
    <x v="0"/>
    <x v="10"/>
    <x v="10"/>
    <x v="1"/>
    <x v="10"/>
    <x v="5"/>
    <x v="1"/>
    <n v="69"/>
    <x v="12"/>
    <x v="0"/>
  </r>
  <r>
    <n v="66488"/>
    <x v="47"/>
    <x v="0"/>
    <x v="11"/>
    <x v="11"/>
    <x v="1"/>
    <x v="10"/>
    <x v="5"/>
    <x v="1"/>
    <n v="69"/>
    <x v="13"/>
    <x v="0"/>
  </r>
  <r>
    <n v="66489"/>
    <x v="47"/>
    <x v="0"/>
    <x v="12"/>
    <x v="12"/>
    <x v="1"/>
    <x v="10"/>
    <x v="5"/>
    <x v="1"/>
    <n v="69"/>
    <x v="14"/>
    <x v="0"/>
  </r>
  <r>
    <n v="66490"/>
    <x v="47"/>
    <x v="1"/>
    <x v="5"/>
    <x v="5"/>
    <x v="3"/>
    <x v="10"/>
    <x v="5"/>
    <x v="1"/>
    <n v="69"/>
    <x v="16"/>
    <x v="0"/>
  </r>
  <r>
    <n v="66491"/>
    <x v="47"/>
    <x v="1"/>
    <x v="6"/>
    <x v="6"/>
    <x v="3"/>
    <x v="10"/>
    <x v="5"/>
    <x v="1"/>
    <n v="69"/>
    <x v="17"/>
    <x v="0"/>
  </r>
  <r>
    <n v="66492"/>
    <x v="48"/>
    <x v="0"/>
    <x v="0"/>
    <x v="0"/>
    <x v="0"/>
    <x v="11"/>
    <x v="5"/>
    <x v="1"/>
    <n v="70"/>
    <x v="0"/>
    <x v="0"/>
  </r>
  <r>
    <n v="66493"/>
    <x v="48"/>
    <x v="0"/>
    <x v="0"/>
    <x v="0"/>
    <x v="1"/>
    <x v="11"/>
    <x v="5"/>
    <x v="1"/>
    <n v="70"/>
    <x v="15"/>
    <x v="0"/>
  </r>
  <r>
    <n v="66494"/>
    <x v="48"/>
    <x v="0"/>
    <x v="1"/>
    <x v="1"/>
    <x v="0"/>
    <x v="11"/>
    <x v="5"/>
    <x v="1"/>
    <n v="70"/>
    <x v="1"/>
    <x v="0"/>
  </r>
  <r>
    <n v="66495"/>
    <x v="48"/>
    <x v="0"/>
    <x v="1"/>
    <x v="1"/>
    <x v="1"/>
    <x v="11"/>
    <x v="5"/>
    <x v="1"/>
    <n v="70"/>
    <x v="2"/>
    <x v="0"/>
  </r>
  <r>
    <n v="66496"/>
    <x v="48"/>
    <x v="0"/>
    <x v="2"/>
    <x v="2"/>
    <x v="1"/>
    <x v="11"/>
    <x v="5"/>
    <x v="1"/>
    <n v="70"/>
    <x v="3"/>
    <x v="0"/>
  </r>
  <r>
    <n v="66497"/>
    <x v="48"/>
    <x v="0"/>
    <x v="3"/>
    <x v="3"/>
    <x v="1"/>
    <x v="11"/>
    <x v="5"/>
    <x v="1"/>
    <n v="70"/>
    <x v="4"/>
    <x v="0"/>
  </r>
  <r>
    <n v="66498"/>
    <x v="48"/>
    <x v="0"/>
    <x v="4"/>
    <x v="4"/>
    <x v="0"/>
    <x v="11"/>
    <x v="5"/>
    <x v="1"/>
    <n v="70"/>
    <x v="5"/>
    <x v="0"/>
  </r>
  <r>
    <n v="66499"/>
    <x v="48"/>
    <x v="0"/>
    <x v="4"/>
    <x v="4"/>
    <x v="1"/>
    <x v="11"/>
    <x v="5"/>
    <x v="1"/>
    <n v="70"/>
    <x v="6"/>
    <x v="0"/>
  </r>
  <r>
    <n v="66500"/>
    <x v="48"/>
    <x v="1"/>
    <x v="5"/>
    <x v="5"/>
    <x v="2"/>
    <x v="11"/>
    <x v="5"/>
    <x v="1"/>
    <n v="70"/>
    <x v="7"/>
    <x v="0"/>
  </r>
  <r>
    <n v="66501"/>
    <x v="48"/>
    <x v="1"/>
    <x v="6"/>
    <x v="6"/>
    <x v="2"/>
    <x v="11"/>
    <x v="5"/>
    <x v="1"/>
    <n v="70"/>
    <x v="8"/>
    <x v="0"/>
  </r>
  <r>
    <n v="66502"/>
    <x v="48"/>
    <x v="0"/>
    <x v="7"/>
    <x v="7"/>
    <x v="0"/>
    <x v="11"/>
    <x v="5"/>
    <x v="1"/>
    <n v="70"/>
    <x v="9"/>
    <x v="0"/>
  </r>
  <r>
    <n v="66503"/>
    <x v="48"/>
    <x v="0"/>
    <x v="8"/>
    <x v="8"/>
    <x v="0"/>
    <x v="11"/>
    <x v="5"/>
    <x v="1"/>
    <n v="70"/>
    <x v="10"/>
    <x v="0"/>
  </r>
  <r>
    <n v="66504"/>
    <x v="48"/>
    <x v="0"/>
    <x v="9"/>
    <x v="9"/>
    <x v="1"/>
    <x v="11"/>
    <x v="5"/>
    <x v="1"/>
    <n v="70"/>
    <x v="11"/>
    <x v="0"/>
  </r>
  <r>
    <n v="66505"/>
    <x v="48"/>
    <x v="0"/>
    <x v="10"/>
    <x v="10"/>
    <x v="1"/>
    <x v="11"/>
    <x v="5"/>
    <x v="1"/>
    <n v="70"/>
    <x v="12"/>
    <x v="0"/>
  </r>
  <r>
    <n v="66506"/>
    <x v="48"/>
    <x v="0"/>
    <x v="11"/>
    <x v="11"/>
    <x v="1"/>
    <x v="11"/>
    <x v="5"/>
    <x v="1"/>
    <n v="70"/>
    <x v="13"/>
    <x v="0"/>
  </r>
  <r>
    <n v="66507"/>
    <x v="48"/>
    <x v="0"/>
    <x v="12"/>
    <x v="12"/>
    <x v="1"/>
    <x v="11"/>
    <x v="5"/>
    <x v="1"/>
    <n v="70"/>
    <x v="14"/>
    <x v="0"/>
  </r>
  <r>
    <n v="66508"/>
    <x v="48"/>
    <x v="1"/>
    <x v="5"/>
    <x v="5"/>
    <x v="3"/>
    <x v="11"/>
    <x v="5"/>
    <x v="1"/>
    <n v="70"/>
    <x v="16"/>
    <x v="0"/>
  </r>
  <r>
    <n v="66509"/>
    <x v="48"/>
    <x v="1"/>
    <x v="6"/>
    <x v="6"/>
    <x v="3"/>
    <x v="11"/>
    <x v="5"/>
    <x v="1"/>
    <n v="70"/>
    <x v="17"/>
    <x v="0"/>
  </r>
  <r>
    <n v="65608"/>
    <x v="0"/>
    <x v="6"/>
    <x v="5"/>
    <x v="5"/>
    <x v="3"/>
    <x v="0"/>
    <x v="0"/>
    <x v="0"/>
    <n v="20"/>
    <x v="16"/>
    <x v="0"/>
  </r>
  <r>
    <n v="65698"/>
    <x v="5"/>
    <x v="7"/>
    <x v="5"/>
    <x v="5"/>
    <x v="3"/>
    <x v="3"/>
    <x v="3"/>
    <x v="0"/>
    <n v="36"/>
    <x v="16"/>
    <x v="0"/>
  </r>
  <r>
    <n v="65716"/>
    <x v="3"/>
    <x v="8"/>
    <x v="5"/>
    <x v="5"/>
    <x v="3"/>
    <x v="3"/>
    <x v="3"/>
    <x v="0"/>
    <n v="37"/>
    <x v="16"/>
    <x v="0"/>
  </r>
  <r>
    <n v="65734"/>
    <x v="4"/>
    <x v="9"/>
    <x v="5"/>
    <x v="5"/>
    <x v="3"/>
    <x v="3"/>
    <x v="3"/>
    <x v="0"/>
    <n v="38"/>
    <x v="16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90">
  <r>
    <n v="181"/>
    <n v="20"/>
    <n v="28"/>
    <n v="1"/>
    <x v="0"/>
    <x v="0"/>
    <x v="0"/>
    <x v="0"/>
    <x v="0"/>
    <n v="1"/>
    <x v="0"/>
    <x v="0"/>
    <n v="3"/>
    <s v="KHỐI THAM MƯU"/>
    <s v="KHOI_THAM_MUU"/>
    <d v="1900-01-01T20:10:00"/>
    <d v="1899-12-31T06:32:00"/>
  </r>
  <r>
    <n v="191"/>
    <n v="20"/>
    <n v="10"/>
    <n v="1"/>
    <x v="0"/>
    <x v="0"/>
    <x v="0"/>
    <x v="0"/>
    <x v="1"/>
    <n v="1"/>
    <x v="0"/>
    <x v="0"/>
    <n v="3"/>
    <s v="KHỐI THAM MƯU"/>
    <s v="KHOI_THAM_MUU"/>
    <d v="1900-01-01T20:10:00"/>
    <d v="1899-12-31T06:32:00"/>
  </r>
  <r>
    <n v="201"/>
    <n v="20"/>
    <n v="9"/>
    <n v="1"/>
    <x v="0"/>
    <x v="0"/>
    <x v="0"/>
    <x v="0"/>
    <x v="2"/>
    <n v="1"/>
    <x v="0"/>
    <x v="0"/>
    <n v="3"/>
    <s v="KHỐI THAM MƯU"/>
    <s v="KHOI_THAM_MUU"/>
    <d v="1900-01-01T20:10:00"/>
    <d v="1899-12-31T06:32:00"/>
  </r>
  <r>
    <n v="211"/>
    <n v="20"/>
    <n v="8"/>
    <n v="1"/>
    <x v="0"/>
    <x v="0"/>
    <x v="0"/>
    <x v="0"/>
    <x v="3"/>
    <n v="1"/>
    <x v="0"/>
    <x v="0"/>
    <n v="3"/>
    <s v="KHỐI THAM MƯU"/>
    <s v="KHOI_THAM_MUU"/>
    <d v="1900-01-01T20:10:00"/>
    <d v="1899-12-31T06:32:00"/>
  </r>
  <r>
    <n v="221"/>
    <n v="20"/>
    <n v="6"/>
    <n v="1"/>
    <x v="0"/>
    <x v="0"/>
    <x v="0"/>
    <x v="0"/>
    <x v="4"/>
    <n v="1"/>
    <x v="0"/>
    <x v="0"/>
    <n v="3"/>
    <s v="KHỐI THAM MƯU"/>
    <s v="KHOI_THAM_MUU"/>
    <d v="1900-01-01T20:10:00"/>
    <d v="1899-12-31T06:32:00"/>
  </r>
  <r>
    <n v="182"/>
    <n v="20"/>
    <n v="28"/>
    <n v="2"/>
    <x v="0"/>
    <x v="0"/>
    <x v="0"/>
    <x v="0"/>
    <x v="0"/>
    <n v="2"/>
    <x v="1"/>
    <x v="1"/>
    <n v="3"/>
    <s v="KHỐI THAM MƯU"/>
    <s v="KHOI_THAM_MUU"/>
    <d v="1900-01-01T20:10:00"/>
    <d v="1899-12-31T06:32:00"/>
  </r>
  <r>
    <n v="192"/>
    <n v="20"/>
    <n v="10"/>
    <n v="2"/>
    <x v="0"/>
    <x v="0"/>
    <x v="0"/>
    <x v="0"/>
    <x v="1"/>
    <n v="2"/>
    <x v="1"/>
    <x v="1"/>
    <n v="3"/>
    <s v="KHỐI THAM MƯU"/>
    <s v="KHOI_THAM_MUU"/>
    <d v="1900-01-01T20:10:00"/>
    <d v="1899-12-31T06:32:00"/>
  </r>
  <r>
    <n v="202"/>
    <n v="20"/>
    <n v="9"/>
    <n v="2"/>
    <x v="0"/>
    <x v="0"/>
    <x v="0"/>
    <x v="0"/>
    <x v="2"/>
    <n v="2"/>
    <x v="1"/>
    <x v="1"/>
    <n v="3"/>
    <s v="KHỐI THAM MƯU"/>
    <s v="KHOI_THAM_MUU"/>
    <d v="1900-01-01T20:10:00"/>
    <d v="1899-12-31T06:32:00"/>
  </r>
  <r>
    <n v="212"/>
    <n v="20"/>
    <n v="8"/>
    <n v="2"/>
    <x v="0"/>
    <x v="0"/>
    <x v="0"/>
    <x v="0"/>
    <x v="3"/>
    <n v="2"/>
    <x v="1"/>
    <x v="1"/>
    <n v="3"/>
    <s v="KHỐI THAM MƯU"/>
    <s v="KHOI_THAM_MUU"/>
    <d v="1900-01-01T20:10:00"/>
    <d v="1899-12-31T06:32:00"/>
  </r>
  <r>
    <n v="222"/>
    <n v="20"/>
    <n v="6"/>
    <n v="2"/>
    <x v="0"/>
    <x v="0"/>
    <x v="0"/>
    <x v="0"/>
    <x v="4"/>
    <n v="2"/>
    <x v="1"/>
    <x v="1"/>
    <n v="3"/>
    <s v="KHỐI THAM MƯU"/>
    <s v="KHOI_THAM_MUU"/>
    <d v="1900-01-01T20:10:00"/>
    <d v="1899-12-31T06:32:00"/>
  </r>
  <r>
    <n v="183"/>
    <n v="20"/>
    <n v="28"/>
    <n v="3"/>
    <x v="0"/>
    <x v="0"/>
    <x v="0"/>
    <x v="0"/>
    <x v="0"/>
    <n v="6"/>
    <x v="2"/>
    <x v="2"/>
    <n v="3"/>
    <s v="KHỐI THAM MƯU"/>
    <s v="KHOI_THAM_MUU"/>
    <d v="1900-01-01T20:10:00"/>
    <d v="1899-12-31T06:32:00"/>
  </r>
  <r>
    <n v="193"/>
    <n v="20"/>
    <n v="10"/>
    <n v="3"/>
    <x v="0"/>
    <x v="0"/>
    <x v="0"/>
    <x v="0"/>
    <x v="1"/>
    <n v="6"/>
    <x v="2"/>
    <x v="2"/>
    <n v="3"/>
    <s v="KHỐI THAM MƯU"/>
    <s v="KHOI_THAM_MUU"/>
    <d v="1900-01-01T20:10:00"/>
    <d v="1899-12-31T06:32:00"/>
  </r>
  <r>
    <n v="203"/>
    <n v="20"/>
    <n v="9"/>
    <n v="3"/>
    <x v="0"/>
    <x v="0"/>
    <x v="0"/>
    <x v="0"/>
    <x v="2"/>
    <n v="6"/>
    <x v="2"/>
    <x v="2"/>
    <n v="3"/>
    <s v="KHỐI THAM MƯU"/>
    <s v="KHOI_THAM_MUU"/>
    <d v="1900-01-01T20:10:00"/>
    <d v="1899-12-31T06:32:00"/>
  </r>
  <r>
    <n v="213"/>
    <n v="20"/>
    <n v="8"/>
    <n v="3"/>
    <x v="0"/>
    <x v="0"/>
    <x v="0"/>
    <x v="0"/>
    <x v="3"/>
    <n v="6"/>
    <x v="2"/>
    <x v="2"/>
    <n v="3"/>
    <s v="KHỐI THAM MƯU"/>
    <s v="KHOI_THAM_MUU"/>
    <d v="1900-01-01T20:10:00"/>
    <d v="1899-12-31T06:32:00"/>
  </r>
  <r>
    <n v="223"/>
    <n v="20"/>
    <n v="6"/>
    <n v="3"/>
    <x v="0"/>
    <x v="0"/>
    <x v="0"/>
    <x v="0"/>
    <x v="4"/>
    <n v="6"/>
    <x v="2"/>
    <x v="2"/>
    <n v="3"/>
    <s v="KHỐI THAM MƯU"/>
    <s v="KHOI_THAM_MUU"/>
    <d v="1900-01-01T20:10:00"/>
    <d v="1899-12-31T06:32:00"/>
  </r>
  <r>
    <n v="184"/>
    <n v="20"/>
    <n v="28"/>
    <n v="4"/>
    <x v="0"/>
    <x v="0"/>
    <x v="0"/>
    <x v="0"/>
    <x v="0"/>
    <n v="6"/>
    <x v="3"/>
    <x v="2"/>
    <n v="3"/>
    <s v="KHỐI THAM MƯU"/>
    <s v="KHOI_THAM_MUU"/>
    <d v="1900-01-01T20:10:00"/>
    <d v="1899-12-31T06:32:00"/>
  </r>
  <r>
    <n v="194"/>
    <n v="20"/>
    <n v="10"/>
    <n v="4"/>
    <x v="0"/>
    <x v="0"/>
    <x v="0"/>
    <x v="0"/>
    <x v="1"/>
    <n v="6"/>
    <x v="3"/>
    <x v="2"/>
    <n v="3"/>
    <s v="KHỐI THAM MƯU"/>
    <s v="KHOI_THAM_MUU"/>
    <d v="1900-01-01T20:10:00"/>
    <d v="1899-12-31T06:32:00"/>
  </r>
  <r>
    <n v="204"/>
    <n v="20"/>
    <n v="9"/>
    <n v="4"/>
    <x v="0"/>
    <x v="0"/>
    <x v="0"/>
    <x v="0"/>
    <x v="2"/>
    <n v="6"/>
    <x v="3"/>
    <x v="2"/>
    <n v="3"/>
    <s v="KHỐI THAM MƯU"/>
    <s v="KHOI_THAM_MUU"/>
    <d v="1900-01-01T20:10:00"/>
    <d v="1899-12-31T06:32:00"/>
  </r>
  <r>
    <n v="214"/>
    <n v="20"/>
    <n v="8"/>
    <n v="4"/>
    <x v="0"/>
    <x v="0"/>
    <x v="0"/>
    <x v="0"/>
    <x v="3"/>
    <n v="6"/>
    <x v="3"/>
    <x v="2"/>
    <n v="3"/>
    <s v="KHỐI THAM MƯU"/>
    <s v="KHOI_THAM_MUU"/>
    <d v="1900-01-01T20:10:00"/>
    <d v="1899-12-31T06:32:00"/>
  </r>
  <r>
    <n v="224"/>
    <n v="20"/>
    <n v="6"/>
    <n v="4"/>
    <x v="0"/>
    <x v="0"/>
    <x v="0"/>
    <x v="0"/>
    <x v="4"/>
    <n v="6"/>
    <x v="3"/>
    <x v="2"/>
    <n v="3"/>
    <s v="KHỐI THAM MƯU"/>
    <s v="KHOI_THAM_MUU"/>
    <d v="1900-01-01T20:10:00"/>
    <d v="1899-12-31T06:32:00"/>
  </r>
  <r>
    <n v="185"/>
    <n v="20"/>
    <n v="28"/>
    <n v="5"/>
    <x v="0"/>
    <x v="0"/>
    <x v="0"/>
    <x v="0"/>
    <x v="0"/>
    <n v="9"/>
    <x v="4"/>
    <x v="3"/>
    <n v="3"/>
    <s v="KHỐI THAM MƯU"/>
    <s v="KHOI_THAM_MUU"/>
    <d v="1900-01-01T20:10:00"/>
    <d v="1899-12-31T06:32:00"/>
  </r>
  <r>
    <n v="195"/>
    <n v="20"/>
    <n v="10"/>
    <n v="5"/>
    <x v="0"/>
    <x v="0"/>
    <x v="0"/>
    <x v="0"/>
    <x v="1"/>
    <n v="9"/>
    <x v="4"/>
    <x v="3"/>
    <n v="3"/>
    <s v="KHỐI THAM MƯU"/>
    <s v="KHOI_THAM_MUU"/>
    <d v="1900-01-01T20:10:00"/>
    <d v="1899-12-31T06:32:00"/>
  </r>
  <r>
    <n v="205"/>
    <n v="20"/>
    <n v="9"/>
    <n v="5"/>
    <x v="0"/>
    <x v="0"/>
    <x v="0"/>
    <x v="0"/>
    <x v="2"/>
    <n v="9"/>
    <x v="4"/>
    <x v="3"/>
    <n v="3"/>
    <s v="KHỐI THAM MƯU"/>
    <s v="KHOI_THAM_MUU"/>
    <d v="1900-01-01T20:10:00"/>
    <d v="1899-12-31T06:32:00"/>
  </r>
  <r>
    <n v="215"/>
    <n v="20"/>
    <n v="8"/>
    <n v="5"/>
    <x v="0"/>
    <x v="0"/>
    <x v="0"/>
    <x v="0"/>
    <x v="3"/>
    <n v="9"/>
    <x v="4"/>
    <x v="3"/>
    <n v="3"/>
    <s v="KHỐI THAM MƯU"/>
    <s v="KHOI_THAM_MUU"/>
    <d v="1900-01-01T20:10:00"/>
    <d v="1899-12-31T06:32:00"/>
  </r>
  <r>
    <n v="225"/>
    <n v="20"/>
    <n v="6"/>
    <n v="5"/>
    <x v="0"/>
    <x v="0"/>
    <x v="0"/>
    <x v="0"/>
    <x v="4"/>
    <n v="9"/>
    <x v="4"/>
    <x v="3"/>
    <n v="3"/>
    <s v="KHỐI THAM MƯU"/>
    <s v="KHOI_THAM_MUU"/>
    <d v="1900-01-01T20:10:00"/>
    <d v="1899-12-31T06:32:00"/>
  </r>
  <r>
    <n v="186"/>
    <n v="20"/>
    <n v="28"/>
    <n v="6"/>
    <x v="0"/>
    <x v="0"/>
    <x v="0"/>
    <x v="0"/>
    <x v="0"/>
    <n v="9"/>
    <x v="5"/>
    <x v="3"/>
    <n v="3"/>
    <s v="KHỐI THAM MƯU"/>
    <s v="KHOI_THAM_MUU"/>
    <d v="1900-01-01T20:10:00"/>
    <d v="1899-12-31T06:32:00"/>
  </r>
  <r>
    <n v="196"/>
    <n v="20"/>
    <n v="10"/>
    <n v="6"/>
    <x v="0"/>
    <x v="0"/>
    <x v="0"/>
    <x v="0"/>
    <x v="1"/>
    <n v="9"/>
    <x v="5"/>
    <x v="3"/>
    <n v="3"/>
    <s v="KHỐI THAM MƯU"/>
    <s v="KHOI_THAM_MUU"/>
    <d v="1900-01-01T20:10:00"/>
    <d v="1899-12-31T06:32:00"/>
  </r>
  <r>
    <n v="206"/>
    <n v="20"/>
    <n v="9"/>
    <n v="6"/>
    <x v="0"/>
    <x v="0"/>
    <x v="0"/>
    <x v="0"/>
    <x v="2"/>
    <n v="9"/>
    <x v="5"/>
    <x v="3"/>
    <n v="3"/>
    <s v="KHỐI THAM MƯU"/>
    <s v="KHOI_THAM_MUU"/>
    <d v="1900-01-01T20:10:00"/>
    <d v="1899-12-31T06:32:00"/>
  </r>
  <r>
    <n v="216"/>
    <n v="20"/>
    <n v="8"/>
    <n v="6"/>
    <x v="0"/>
    <x v="0"/>
    <x v="0"/>
    <x v="0"/>
    <x v="3"/>
    <n v="9"/>
    <x v="5"/>
    <x v="3"/>
    <n v="3"/>
    <s v="KHỐI THAM MƯU"/>
    <s v="KHOI_THAM_MUU"/>
    <d v="1900-01-01T20:10:00"/>
    <d v="1899-12-31T06:32:00"/>
  </r>
  <r>
    <n v="226"/>
    <n v="20"/>
    <n v="6"/>
    <n v="6"/>
    <x v="0"/>
    <x v="0"/>
    <x v="0"/>
    <x v="0"/>
    <x v="4"/>
    <n v="9"/>
    <x v="5"/>
    <x v="3"/>
    <n v="3"/>
    <s v="KHỐI THAM MƯU"/>
    <s v="KHOI_THAM_MUU"/>
    <d v="1900-01-01T20:10:00"/>
    <d v="1899-12-31T06:32:00"/>
  </r>
  <r>
    <n v="187"/>
    <n v="20"/>
    <n v="28"/>
    <n v="17"/>
    <x v="0"/>
    <x v="0"/>
    <x v="0"/>
    <x v="0"/>
    <x v="0"/>
    <n v="3"/>
    <x v="6"/>
    <x v="3"/>
    <n v="3"/>
    <s v="KHỐI THAM MƯU"/>
    <s v="KHOI_THAM_MUU"/>
    <d v="1900-01-01T20:10:00"/>
    <d v="1899-12-31T06:32:00"/>
  </r>
  <r>
    <n v="197"/>
    <n v="20"/>
    <n v="10"/>
    <n v="17"/>
    <x v="0"/>
    <x v="0"/>
    <x v="0"/>
    <x v="0"/>
    <x v="1"/>
    <n v="3"/>
    <x v="6"/>
    <x v="3"/>
    <n v="3"/>
    <s v="KHỐI THAM MƯU"/>
    <s v="KHOI_THAM_MUU"/>
    <d v="1900-01-01T20:10:00"/>
    <d v="1899-12-31T06:32:00"/>
  </r>
  <r>
    <n v="207"/>
    <n v="20"/>
    <n v="9"/>
    <n v="17"/>
    <x v="0"/>
    <x v="0"/>
    <x v="0"/>
    <x v="0"/>
    <x v="2"/>
    <n v="3"/>
    <x v="6"/>
    <x v="3"/>
    <n v="3"/>
    <s v="KHỐI THAM MƯU"/>
    <s v="KHOI_THAM_MUU"/>
    <d v="1900-01-01T20:10:00"/>
    <d v="1899-12-31T06:32:00"/>
  </r>
  <r>
    <n v="217"/>
    <n v="20"/>
    <n v="8"/>
    <n v="17"/>
    <x v="0"/>
    <x v="0"/>
    <x v="0"/>
    <x v="0"/>
    <x v="3"/>
    <n v="3"/>
    <x v="6"/>
    <x v="3"/>
    <n v="3"/>
    <s v="KHỐI THAM MƯU"/>
    <s v="KHOI_THAM_MUU"/>
    <d v="1900-01-01T20:10:00"/>
    <d v="1899-12-31T06:32:00"/>
  </r>
  <r>
    <n v="227"/>
    <n v="20"/>
    <n v="6"/>
    <n v="17"/>
    <x v="0"/>
    <x v="0"/>
    <x v="0"/>
    <x v="0"/>
    <x v="4"/>
    <n v="3"/>
    <x v="6"/>
    <x v="3"/>
    <n v="3"/>
    <s v="KHỐI THAM MƯU"/>
    <s v="KHOI_THAM_MUU"/>
    <d v="1900-01-01T20:10:00"/>
    <d v="1899-12-31T06:32:00"/>
  </r>
  <r>
    <n v="188"/>
    <n v="20"/>
    <n v="28"/>
    <n v="18"/>
    <x v="0"/>
    <x v="0"/>
    <x v="0"/>
    <x v="0"/>
    <x v="0"/>
    <n v="4"/>
    <x v="7"/>
    <x v="4"/>
    <n v="3"/>
    <s v="KHỐI THAM MƯU"/>
    <s v="KHOI_THAM_MUU"/>
    <d v="1900-01-01T20:10:00"/>
    <d v="1899-12-31T06:32:00"/>
  </r>
  <r>
    <n v="198"/>
    <n v="20"/>
    <n v="10"/>
    <n v="18"/>
    <x v="0"/>
    <x v="0"/>
    <x v="0"/>
    <x v="0"/>
    <x v="1"/>
    <n v="4"/>
    <x v="7"/>
    <x v="4"/>
    <n v="3"/>
    <s v="KHỐI THAM MƯU"/>
    <s v="KHOI_THAM_MUU"/>
    <d v="1900-01-01T20:10:00"/>
    <d v="1899-12-31T06:32:00"/>
  </r>
  <r>
    <n v="208"/>
    <n v="20"/>
    <n v="9"/>
    <n v="18"/>
    <x v="0"/>
    <x v="0"/>
    <x v="0"/>
    <x v="0"/>
    <x v="2"/>
    <n v="4"/>
    <x v="7"/>
    <x v="4"/>
    <n v="3"/>
    <s v="KHỐI THAM MƯU"/>
    <s v="KHOI_THAM_MUU"/>
    <d v="1900-01-01T20:10:00"/>
    <d v="1899-12-31T06:32:00"/>
  </r>
  <r>
    <n v="218"/>
    <n v="20"/>
    <n v="8"/>
    <n v="18"/>
    <x v="0"/>
    <x v="0"/>
    <x v="0"/>
    <x v="0"/>
    <x v="3"/>
    <n v="4"/>
    <x v="7"/>
    <x v="4"/>
    <n v="3"/>
    <s v="KHỐI THAM MƯU"/>
    <s v="KHOI_THAM_MUU"/>
    <d v="1900-01-01T20:10:00"/>
    <d v="1899-12-31T06:32:00"/>
  </r>
  <r>
    <n v="228"/>
    <n v="20"/>
    <n v="6"/>
    <n v="18"/>
    <x v="0"/>
    <x v="0"/>
    <x v="0"/>
    <x v="0"/>
    <x v="4"/>
    <n v="4"/>
    <x v="7"/>
    <x v="4"/>
    <n v="3"/>
    <s v="KHỐI THAM MƯU"/>
    <s v="KHOI_THAM_MUU"/>
    <d v="1900-01-01T20:10:00"/>
    <d v="1899-12-31T06:32:00"/>
  </r>
  <r>
    <n v="189"/>
    <n v="20"/>
    <n v="28"/>
    <n v="19"/>
    <x v="0"/>
    <x v="0"/>
    <x v="0"/>
    <x v="0"/>
    <x v="0"/>
    <n v="5"/>
    <x v="8"/>
    <x v="5"/>
    <n v="3"/>
    <s v="KHỐI THAM MƯU"/>
    <s v="KHOI_THAM_MUU"/>
    <d v="1900-01-01T20:10:00"/>
    <d v="1899-12-31T06:32:00"/>
  </r>
  <r>
    <n v="199"/>
    <n v="20"/>
    <n v="10"/>
    <n v="19"/>
    <x v="0"/>
    <x v="0"/>
    <x v="0"/>
    <x v="0"/>
    <x v="1"/>
    <n v="5"/>
    <x v="8"/>
    <x v="5"/>
    <n v="3"/>
    <s v="KHỐI THAM MƯU"/>
    <s v="KHOI_THAM_MUU"/>
    <d v="1900-01-01T20:10:00"/>
    <d v="1899-12-31T06:32:00"/>
  </r>
  <r>
    <n v="209"/>
    <n v="20"/>
    <n v="9"/>
    <n v="19"/>
    <x v="0"/>
    <x v="0"/>
    <x v="0"/>
    <x v="0"/>
    <x v="2"/>
    <n v="5"/>
    <x v="8"/>
    <x v="5"/>
    <n v="3"/>
    <s v="KHỐI THAM MƯU"/>
    <s v="KHOI_THAM_MUU"/>
    <d v="1900-01-01T20:10:00"/>
    <d v="1899-12-31T06:32:00"/>
  </r>
  <r>
    <n v="219"/>
    <n v="20"/>
    <n v="8"/>
    <n v="19"/>
    <x v="0"/>
    <x v="0"/>
    <x v="0"/>
    <x v="0"/>
    <x v="3"/>
    <n v="5"/>
    <x v="8"/>
    <x v="5"/>
    <n v="3"/>
    <s v="KHỐI THAM MƯU"/>
    <s v="KHOI_THAM_MUU"/>
    <d v="1900-01-01T20:10:00"/>
    <d v="1899-12-31T06:32:00"/>
  </r>
  <r>
    <n v="229"/>
    <n v="20"/>
    <n v="6"/>
    <n v="19"/>
    <x v="0"/>
    <x v="0"/>
    <x v="0"/>
    <x v="0"/>
    <x v="4"/>
    <n v="5"/>
    <x v="8"/>
    <x v="5"/>
    <n v="3"/>
    <s v="KHỐI THAM MƯU"/>
    <s v="KHOI_THAM_MUU"/>
    <d v="1900-01-01T20:10:00"/>
    <d v="1899-12-31T06:32:00"/>
  </r>
  <r>
    <n v="190"/>
    <n v="20"/>
    <n v="28"/>
    <n v="20"/>
    <x v="0"/>
    <x v="0"/>
    <x v="0"/>
    <x v="0"/>
    <x v="0"/>
    <n v="8"/>
    <x v="9"/>
    <x v="6"/>
    <n v="3"/>
    <s v="KHỐI THAM MƯU"/>
    <s v="KHOI_THAM_MUU"/>
    <d v="1900-01-01T20:10:00"/>
    <d v="1899-12-31T06:32:00"/>
  </r>
  <r>
    <n v="200"/>
    <n v="20"/>
    <n v="10"/>
    <n v="20"/>
    <x v="0"/>
    <x v="0"/>
    <x v="0"/>
    <x v="0"/>
    <x v="1"/>
    <n v="8"/>
    <x v="9"/>
    <x v="6"/>
    <n v="3"/>
    <s v="KHỐI THAM MƯU"/>
    <s v="KHOI_THAM_MUU"/>
    <d v="1900-01-01T20:10:00"/>
    <d v="1899-12-31T06:32:00"/>
  </r>
  <r>
    <n v="210"/>
    <n v="20"/>
    <n v="9"/>
    <n v="20"/>
    <x v="0"/>
    <x v="0"/>
    <x v="0"/>
    <x v="0"/>
    <x v="2"/>
    <n v="8"/>
    <x v="9"/>
    <x v="6"/>
    <n v="3"/>
    <s v="KHỐI THAM MƯU"/>
    <s v="KHOI_THAM_MUU"/>
    <d v="1900-01-01T20:10:00"/>
    <d v="1899-12-31T06:32:00"/>
  </r>
  <r>
    <n v="220"/>
    <n v="20"/>
    <n v="8"/>
    <n v="20"/>
    <x v="0"/>
    <x v="0"/>
    <x v="0"/>
    <x v="0"/>
    <x v="3"/>
    <n v="8"/>
    <x v="9"/>
    <x v="6"/>
    <n v="3"/>
    <s v="KHỐI THAM MƯU"/>
    <s v="KHOI_THAM_MUU"/>
    <d v="1900-01-01T20:10:00"/>
    <d v="1899-12-31T06:32:00"/>
  </r>
  <r>
    <n v="230"/>
    <n v="20"/>
    <n v="6"/>
    <n v="20"/>
    <x v="0"/>
    <x v="0"/>
    <x v="0"/>
    <x v="0"/>
    <x v="4"/>
    <n v="8"/>
    <x v="9"/>
    <x v="6"/>
    <n v="3"/>
    <s v="KHỐI THAM MƯU"/>
    <s v="KHOI_THAM_MUU"/>
    <d v="1900-01-01T20:10:00"/>
    <d v="1899-12-31T06:32:00"/>
  </r>
  <r>
    <n v="231"/>
    <n v="20"/>
    <n v="5"/>
    <n v="1"/>
    <x v="0"/>
    <x v="0"/>
    <x v="0"/>
    <x v="0"/>
    <x v="5"/>
    <n v="1"/>
    <x v="0"/>
    <x v="0"/>
    <n v="3"/>
    <s v="KHỐI THAM MƯU"/>
    <s v="KHOI_THAM_MUU"/>
    <d v="1900-01-01T20:10:00"/>
    <d v="1899-12-31T06:32:00"/>
  </r>
  <r>
    <n v="232"/>
    <n v="20"/>
    <n v="5"/>
    <n v="2"/>
    <x v="0"/>
    <x v="0"/>
    <x v="0"/>
    <x v="0"/>
    <x v="5"/>
    <n v="2"/>
    <x v="1"/>
    <x v="1"/>
    <n v="3"/>
    <s v="KHỐI THAM MƯU"/>
    <s v="KHOI_THAM_MUU"/>
    <d v="1900-01-01T20:10:00"/>
    <d v="1899-12-31T06:32:00"/>
  </r>
  <r>
    <n v="233"/>
    <n v="20"/>
    <n v="5"/>
    <n v="3"/>
    <x v="0"/>
    <x v="0"/>
    <x v="0"/>
    <x v="0"/>
    <x v="5"/>
    <n v="6"/>
    <x v="2"/>
    <x v="2"/>
    <n v="3"/>
    <s v="KHỐI THAM MƯU"/>
    <s v="KHOI_THAM_MUU"/>
    <d v="1900-01-01T20:10:00"/>
    <d v="1899-12-31T06:32:00"/>
  </r>
  <r>
    <n v="234"/>
    <n v="20"/>
    <n v="5"/>
    <n v="4"/>
    <x v="0"/>
    <x v="0"/>
    <x v="0"/>
    <x v="0"/>
    <x v="5"/>
    <n v="6"/>
    <x v="3"/>
    <x v="2"/>
    <n v="3"/>
    <s v="KHỐI THAM MƯU"/>
    <s v="KHOI_THAM_MUU"/>
    <d v="1900-01-01T20:10:00"/>
    <d v="1899-12-31T06:32:00"/>
  </r>
  <r>
    <n v="235"/>
    <n v="20"/>
    <n v="5"/>
    <n v="5"/>
    <x v="0"/>
    <x v="0"/>
    <x v="0"/>
    <x v="0"/>
    <x v="5"/>
    <n v="9"/>
    <x v="4"/>
    <x v="3"/>
    <n v="3"/>
    <s v="KHỐI THAM MƯU"/>
    <s v="KHOI_THAM_MUU"/>
    <d v="1900-01-01T20:10:00"/>
    <d v="1899-12-31T06:32:00"/>
  </r>
  <r>
    <n v="236"/>
    <n v="20"/>
    <n v="5"/>
    <n v="6"/>
    <x v="0"/>
    <x v="0"/>
    <x v="0"/>
    <x v="0"/>
    <x v="5"/>
    <n v="9"/>
    <x v="5"/>
    <x v="3"/>
    <n v="3"/>
    <s v="KHỐI THAM MƯU"/>
    <s v="KHOI_THAM_MUU"/>
    <d v="1900-01-01T20:10:00"/>
    <d v="1899-12-31T06:32:00"/>
  </r>
  <r>
    <n v="237"/>
    <n v="20"/>
    <n v="5"/>
    <n v="17"/>
    <x v="0"/>
    <x v="0"/>
    <x v="0"/>
    <x v="0"/>
    <x v="5"/>
    <n v="3"/>
    <x v="6"/>
    <x v="3"/>
    <n v="3"/>
    <s v="KHỐI THAM MƯU"/>
    <s v="KHOI_THAM_MUU"/>
    <d v="1900-01-01T20:10:00"/>
    <d v="1899-12-31T06:32:00"/>
  </r>
  <r>
    <n v="238"/>
    <n v="20"/>
    <n v="5"/>
    <n v="18"/>
    <x v="0"/>
    <x v="0"/>
    <x v="0"/>
    <x v="0"/>
    <x v="5"/>
    <n v="4"/>
    <x v="7"/>
    <x v="4"/>
    <n v="3"/>
    <s v="KHỐI THAM MƯU"/>
    <s v="KHOI_THAM_MUU"/>
    <d v="1900-01-01T20:10:00"/>
    <d v="1899-12-31T06:32:00"/>
  </r>
  <r>
    <n v="239"/>
    <n v="20"/>
    <n v="5"/>
    <n v="19"/>
    <x v="0"/>
    <x v="0"/>
    <x v="0"/>
    <x v="0"/>
    <x v="5"/>
    <n v="5"/>
    <x v="8"/>
    <x v="5"/>
    <n v="3"/>
    <s v="KHỐI THAM MƯU"/>
    <s v="KHOI_THAM_MUU"/>
    <d v="1900-01-01T20:10:00"/>
    <d v="1899-12-31T06:32:00"/>
  </r>
  <r>
    <n v="240"/>
    <n v="20"/>
    <n v="5"/>
    <n v="20"/>
    <x v="0"/>
    <x v="0"/>
    <x v="0"/>
    <x v="0"/>
    <x v="5"/>
    <n v="8"/>
    <x v="9"/>
    <x v="6"/>
    <n v="3"/>
    <s v="KHỐI THAM MƯU"/>
    <s v="KHOI_THAM_MUU"/>
    <d v="1900-01-01T20:10:00"/>
    <d v="1899-12-31T06:32:00"/>
  </r>
  <r>
    <n v="241"/>
    <n v="20"/>
    <n v="4"/>
    <n v="1"/>
    <x v="0"/>
    <x v="0"/>
    <x v="0"/>
    <x v="0"/>
    <x v="6"/>
    <n v="1"/>
    <x v="0"/>
    <x v="0"/>
    <n v="3"/>
    <s v="KHỐI THAM MƯU"/>
    <s v="KHOI_THAM_MUU"/>
    <d v="1900-01-01T20:10:00"/>
    <d v="1899-12-31T06:32:00"/>
  </r>
  <r>
    <n v="242"/>
    <n v="20"/>
    <n v="4"/>
    <n v="2"/>
    <x v="0"/>
    <x v="0"/>
    <x v="0"/>
    <x v="0"/>
    <x v="6"/>
    <n v="2"/>
    <x v="1"/>
    <x v="1"/>
    <n v="3"/>
    <s v="KHỐI THAM MƯU"/>
    <s v="KHOI_THAM_MUU"/>
    <d v="1900-01-01T20:10:00"/>
    <d v="1899-12-31T06:32:00"/>
  </r>
  <r>
    <n v="243"/>
    <n v="20"/>
    <n v="4"/>
    <n v="3"/>
    <x v="0"/>
    <x v="0"/>
    <x v="0"/>
    <x v="0"/>
    <x v="6"/>
    <n v="6"/>
    <x v="2"/>
    <x v="2"/>
    <n v="3"/>
    <s v="KHỐI THAM MƯU"/>
    <s v="KHOI_THAM_MUU"/>
    <d v="1900-01-01T20:10:00"/>
    <d v="1899-12-31T06:32:00"/>
  </r>
  <r>
    <n v="244"/>
    <n v="20"/>
    <n v="4"/>
    <n v="4"/>
    <x v="0"/>
    <x v="0"/>
    <x v="0"/>
    <x v="0"/>
    <x v="6"/>
    <n v="6"/>
    <x v="3"/>
    <x v="2"/>
    <n v="3"/>
    <s v="KHỐI THAM MƯU"/>
    <s v="KHOI_THAM_MUU"/>
    <d v="1900-01-01T20:10:00"/>
    <d v="1899-12-31T06:32:00"/>
  </r>
  <r>
    <n v="245"/>
    <n v="20"/>
    <n v="4"/>
    <n v="5"/>
    <x v="0"/>
    <x v="0"/>
    <x v="0"/>
    <x v="0"/>
    <x v="6"/>
    <n v="9"/>
    <x v="4"/>
    <x v="3"/>
    <n v="3"/>
    <s v="KHỐI THAM MƯU"/>
    <s v="KHOI_THAM_MUU"/>
    <d v="1900-01-01T20:10:00"/>
    <d v="1899-12-31T06:32:00"/>
  </r>
  <r>
    <n v="246"/>
    <n v="20"/>
    <n v="4"/>
    <n v="6"/>
    <x v="0"/>
    <x v="0"/>
    <x v="0"/>
    <x v="0"/>
    <x v="6"/>
    <n v="9"/>
    <x v="5"/>
    <x v="3"/>
    <n v="3"/>
    <s v="KHỐI THAM MƯU"/>
    <s v="KHOI_THAM_MUU"/>
    <d v="1900-01-01T20:10:00"/>
    <d v="1899-12-31T06:32:00"/>
  </r>
  <r>
    <n v="247"/>
    <n v="20"/>
    <n v="4"/>
    <n v="17"/>
    <x v="0"/>
    <x v="0"/>
    <x v="0"/>
    <x v="0"/>
    <x v="6"/>
    <n v="3"/>
    <x v="6"/>
    <x v="3"/>
    <n v="3"/>
    <s v="KHỐI THAM MƯU"/>
    <s v="KHOI_THAM_MUU"/>
    <d v="1900-01-01T20:10:00"/>
    <d v="1899-12-31T06:32:00"/>
  </r>
  <r>
    <n v="248"/>
    <n v="20"/>
    <n v="4"/>
    <n v="18"/>
    <x v="0"/>
    <x v="0"/>
    <x v="0"/>
    <x v="0"/>
    <x v="6"/>
    <n v="4"/>
    <x v="7"/>
    <x v="4"/>
    <n v="3"/>
    <s v="KHỐI THAM MƯU"/>
    <s v="KHOI_THAM_MUU"/>
    <d v="1900-01-01T20:10:00"/>
    <d v="1899-12-31T06:32:00"/>
  </r>
  <r>
    <n v="249"/>
    <n v="20"/>
    <n v="4"/>
    <n v="19"/>
    <x v="0"/>
    <x v="0"/>
    <x v="0"/>
    <x v="0"/>
    <x v="6"/>
    <n v="5"/>
    <x v="8"/>
    <x v="5"/>
    <n v="3"/>
    <s v="KHỐI THAM MƯU"/>
    <s v="KHOI_THAM_MUU"/>
    <d v="1900-01-01T20:10:00"/>
    <d v="1899-12-31T06:32:00"/>
  </r>
  <r>
    <n v="250"/>
    <n v="20"/>
    <n v="4"/>
    <n v="20"/>
    <x v="0"/>
    <x v="0"/>
    <x v="0"/>
    <x v="0"/>
    <x v="6"/>
    <n v="8"/>
    <x v="9"/>
    <x v="6"/>
    <n v="3"/>
    <s v="KHỐI THAM MƯU"/>
    <s v="KHOI_THAM_MUU"/>
    <d v="1900-01-01T20:10:00"/>
    <d v="1899-12-31T06:32:00"/>
  </r>
  <r>
    <n v="251"/>
    <n v="20"/>
    <n v="3"/>
    <n v="1"/>
    <x v="0"/>
    <x v="0"/>
    <x v="0"/>
    <x v="0"/>
    <x v="7"/>
    <n v="1"/>
    <x v="0"/>
    <x v="0"/>
    <n v="3"/>
    <s v="KHỐI THAM MƯU"/>
    <s v="KHOI_THAM_MUU"/>
    <d v="1900-01-01T20:10:00"/>
    <d v="1899-12-31T06:32:00"/>
  </r>
  <r>
    <n v="252"/>
    <n v="20"/>
    <n v="3"/>
    <n v="2"/>
    <x v="0"/>
    <x v="0"/>
    <x v="0"/>
    <x v="0"/>
    <x v="7"/>
    <n v="2"/>
    <x v="1"/>
    <x v="1"/>
    <n v="3"/>
    <s v="KHỐI THAM MƯU"/>
    <s v="KHOI_THAM_MUU"/>
    <d v="1900-01-01T20:10:00"/>
    <d v="1899-12-31T06:32:00"/>
  </r>
  <r>
    <n v="253"/>
    <n v="20"/>
    <n v="3"/>
    <n v="3"/>
    <x v="0"/>
    <x v="0"/>
    <x v="0"/>
    <x v="0"/>
    <x v="7"/>
    <n v="6"/>
    <x v="2"/>
    <x v="2"/>
    <n v="3"/>
    <s v="KHỐI THAM MƯU"/>
    <s v="KHOI_THAM_MUU"/>
    <d v="1900-01-01T20:10:00"/>
    <d v="1899-12-31T06:32:00"/>
  </r>
  <r>
    <n v="254"/>
    <n v="20"/>
    <n v="3"/>
    <n v="4"/>
    <x v="0"/>
    <x v="0"/>
    <x v="0"/>
    <x v="0"/>
    <x v="7"/>
    <n v="6"/>
    <x v="3"/>
    <x v="2"/>
    <n v="3"/>
    <s v="KHỐI THAM MƯU"/>
    <s v="KHOI_THAM_MUU"/>
    <d v="1900-01-01T20:10:00"/>
    <d v="1899-12-31T06:32:00"/>
  </r>
  <r>
    <n v="255"/>
    <n v="20"/>
    <n v="3"/>
    <n v="5"/>
    <x v="0"/>
    <x v="0"/>
    <x v="0"/>
    <x v="0"/>
    <x v="7"/>
    <n v="9"/>
    <x v="4"/>
    <x v="3"/>
    <n v="3"/>
    <s v="KHỐI THAM MƯU"/>
    <s v="KHOI_THAM_MUU"/>
    <d v="1900-01-01T20:10:00"/>
    <d v="1899-12-31T06:32:00"/>
  </r>
  <r>
    <n v="256"/>
    <n v="20"/>
    <n v="3"/>
    <n v="6"/>
    <x v="0"/>
    <x v="0"/>
    <x v="0"/>
    <x v="0"/>
    <x v="7"/>
    <n v="9"/>
    <x v="5"/>
    <x v="3"/>
    <n v="3"/>
    <s v="KHỐI THAM MƯU"/>
    <s v="KHOI_THAM_MUU"/>
    <d v="1900-01-01T20:10:00"/>
    <d v="1899-12-31T06:32:00"/>
  </r>
  <r>
    <n v="257"/>
    <n v="20"/>
    <n v="3"/>
    <n v="17"/>
    <x v="0"/>
    <x v="0"/>
    <x v="0"/>
    <x v="0"/>
    <x v="7"/>
    <n v="3"/>
    <x v="6"/>
    <x v="3"/>
    <n v="3"/>
    <s v="KHỐI THAM MƯU"/>
    <s v="KHOI_THAM_MUU"/>
    <d v="1900-01-01T20:10:00"/>
    <d v="1899-12-31T06:32:00"/>
  </r>
  <r>
    <n v="258"/>
    <n v="20"/>
    <n v="3"/>
    <n v="18"/>
    <x v="0"/>
    <x v="0"/>
    <x v="0"/>
    <x v="0"/>
    <x v="7"/>
    <n v="4"/>
    <x v="7"/>
    <x v="4"/>
    <n v="3"/>
    <s v="KHỐI THAM MƯU"/>
    <s v="KHOI_THAM_MUU"/>
    <d v="1900-01-01T20:10:00"/>
    <d v="1899-12-31T06:32:00"/>
  </r>
  <r>
    <n v="259"/>
    <n v="20"/>
    <n v="3"/>
    <n v="19"/>
    <x v="0"/>
    <x v="0"/>
    <x v="0"/>
    <x v="0"/>
    <x v="7"/>
    <n v="5"/>
    <x v="8"/>
    <x v="5"/>
    <n v="3"/>
    <s v="KHỐI THAM MƯU"/>
    <s v="KHOI_THAM_MUU"/>
    <d v="1900-01-01T20:10:00"/>
    <d v="1899-12-31T06:32:00"/>
  </r>
  <r>
    <n v="260"/>
    <n v="20"/>
    <n v="3"/>
    <n v="20"/>
    <x v="0"/>
    <x v="0"/>
    <x v="0"/>
    <x v="0"/>
    <x v="7"/>
    <n v="8"/>
    <x v="9"/>
    <x v="6"/>
    <n v="3"/>
    <s v="KHỐI THAM MƯU"/>
    <s v="KHOI_THAM_MUU"/>
    <d v="1900-01-01T20:10:00"/>
    <d v="1899-12-31T06:32:00"/>
  </r>
  <r>
    <n v="261"/>
    <n v="20"/>
    <n v="54"/>
    <n v="1"/>
    <x v="0"/>
    <x v="0"/>
    <x v="0"/>
    <x v="0"/>
    <x v="8"/>
    <n v="1"/>
    <x v="0"/>
    <x v="0"/>
    <n v="3"/>
    <s v="KHỐI THAM MƯU"/>
    <s v="KHOI_THAM_MUU"/>
    <d v="1900-01-01T20:10:00"/>
    <d v="1899-12-31T06:32:00"/>
  </r>
  <r>
    <n v="262"/>
    <n v="20"/>
    <n v="54"/>
    <n v="2"/>
    <x v="0"/>
    <x v="0"/>
    <x v="0"/>
    <x v="0"/>
    <x v="8"/>
    <n v="2"/>
    <x v="1"/>
    <x v="1"/>
    <n v="3"/>
    <s v="KHỐI THAM MƯU"/>
    <s v="KHOI_THAM_MUU"/>
    <d v="1900-01-01T20:10:00"/>
    <d v="1899-12-31T06:32:00"/>
  </r>
  <r>
    <n v="263"/>
    <n v="20"/>
    <n v="54"/>
    <n v="3"/>
    <x v="0"/>
    <x v="0"/>
    <x v="0"/>
    <x v="0"/>
    <x v="8"/>
    <n v="6"/>
    <x v="2"/>
    <x v="2"/>
    <n v="3"/>
    <s v="KHỐI THAM MƯU"/>
    <s v="KHOI_THAM_MUU"/>
    <d v="1900-01-01T20:10:00"/>
    <d v="1899-12-31T06:32:00"/>
  </r>
  <r>
    <n v="264"/>
    <n v="20"/>
    <n v="54"/>
    <n v="4"/>
    <x v="0"/>
    <x v="0"/>
    <x v="0"/>
    <x v="0"/>
    <x v="8"/>
    <n v="6"/>
    <x v="3"/>
    <x v="2"/>
    <n v="3"/>
    <s v="KHỐI THAM MƯU"/>
    <s v="KHOI_THAM_MUU"/>
    <d v="1900-01-01T20:10:00"/>
    <d v="1899-12-31T06:32:00"/>
  </r>
  <r>
    <n v="265"/>
    <n v="20"/>
    <n v="54"/>
    <n v="5"/>
    <x v="0"/>
    <x v="0"/>
    <x v="0"/>
    <x v="0"/>
    <x v="8"/>
    <n v="9"/>
    <x v="4"/>
    <x v="3"/>
    <n v="3"/>
    <s v="KHỐI THAM MƯU"/>
    <s v="KHOI_THAM_MUU"/>
    <d v="1900-01-01T20:10:00"/>
    <d v="1899-12-31T06:32:00"/>
  </r>
  <r>
    <n v="266"/>
    <n v="20"/>
    <n v="54"/>
    <n v="6"/>
    <x v="0"/>
    <x v="0"/>
    <x v="0"/>
    <x v="0"/>
    <x v="8"/>
    <n v="9"/>
    <x v="5"/>
    <x v="3"/>
    <n v="3"/>
    <s v="KHỐI THAM MƯU"/>
    <s v="KHOI_THAM_MUU"/>
    <d v="1900-01-01T20:10:00"/>
    <d v="1899-12-31T06:32:00"/>
  </r>
  <r>
    <n v="267"/>
    <n v="20"/>
    <n v="54"/>
    <n v="17"/>
    <x v="0"/>
    <x v="0"/>
    <x v="0"/>
    <x v="0"/>
    <x v="8"/>
    <n v="3"/>
    <x v="6"/>
    <x v="3"/>
    <n v="3"/>
    <s v="KHỐI THAM MƯU"/>
    <s v="KHOI_THAM_MUU"/>
    <d v="1900-01-01T20:10:00"/>
    <d v="1899-12-31T06:32:00"/>
  </r>
  <r>
    <n v="268"/>
    <n v="20"/>
    <n v="54"/>
    <n v="18"/>
    <x v="0"/>
    <x v="0"/>
    <x v="0"/>
    <x v="0"/>
    <x v="8"/>
    <n v="4"/>
    <x v="7"/>
    <x v="4"/>
    <n v="3"/>
    <s v="KHỐI THAM MƯU"/>
    <s v="KHOI_THAM_MUU"/>
    <d v="1900-01-01T20:10:00"/>
    <d v="1899-12-31T06:32:00"/>
  </r>
  <r>
    <n v="269"/>
    <n v="20"/>
    <n v="54"/>
    <n v="19"/>
    <x v="0"/>
    <x v="0"/>
    <x v="0"/>
    <x v="0"/>
    <x v="8"/>
    <n v="5"/>
    <x v="8"/>
    <x v="5"/>
    <n v="3"/>
    <s v="KHỐI THAM MƯU"/>
    <s v="KHOI_THAM_MUU"/>
    <d v="1900-01-01T20:10:00"/>
    <d v="1899-12-31T06:32:00"/>
  </r>
  <r>
    <n v="270"/>
    <n v="20"/>
    <n v="54"/>
    <n v="20"/>
    <x v="0"/>
    <x v="0"/>
    <x v="0"/>
    <x v="0"/>
    <x v="8"/>
    <n v="8"/>
    <x v="9"/>
    <x v="6"/>
    <n v="3"/>
    <s v="KHỐI THAM MƯU"/>
    <s v="KHOI_THAM_MUU"/>
    <d v="1900-01-01T20:10:00"/>
    <d v="1899-12-31T06:32:0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90">
  <r>
    <n v="181"/>
    <n v="20"/>
    <n v="28"/>
    <n v="1"/>
    <x v="0"/>
    <x v="0"/>
    <s v="400:40"/>
    <x v="0"/>
    <x v="0"/>
    <n v="1"/>
    <x v="0"/>
    <x v="0"/>
    <n v="3"/>
    <s v="KHỐI THAM MƯU"/>
    <x v="0"/>
    <x v="0"/>
    <x v="0"/>
    <x v="0"/>
    <m/>
    <m/>
    <m/>
    <m/>
  </r>
  <r>
    <n v="191"/>
    <n v="20"/>
    <n v="10"/>
    <n v="1"/>
    <x v="0"/>
    <x v="0"/>
    <s v="400:40"/>
    <x v="0"/>
    <x v="1"/>
    <n v="1"/>
    <x v="0"/>
    <x v="0"/>
    <n v="3"/>
    <s v="KHỐI THAM MƯU"/>
    <x v="0"/>
    <x v="0"/>
    <x v="0"/>
    <x v="0"/>
    <m/>
    <m/>
    <m/>
    <m/>
  </r>
  <r>
    <n v="201"/>
    <n v="20"/>
    <n v="9"/>
    <n v="1"/>
    <x v="0"/>
    <x v="0"/>
    <s v="400:40"/>
    <x v="0"/>
    <x v="2"/>
    <n v="1"/>
    <x v="0"/>
    <x v="0"/>
    <n v="3"/>
    <s v="KHỐI THAM MƯU"/>
    <x v="0"/>
    <x v="0"/>
    <x v="0"/>
    <x v="0"/>
    <m/>
    <m/>
    <m/>
    <m/>
  </r>
  <r>
    <n v="211"/>
    <n v="20"/>
    <n v="8"/>
    <n v="1"/>
    <x v="0"/>
    <x v="0"/>
    <s v="400:40"/>
    <x v="0"/>
    <x v="3"/>
    <n v="1"/>
    <x v="0"/>
    <x v="0"/>
    <n v="3"/>
    <s v="KHỐI THAM MƯU"/>
    <x v="0"/>
    <x v="0"/>
    <x v="0"/>
    <x v="0"/>
    <m/>
    <m/>
    <m/>
    <m/>
  </r>
  <r>
    <n v="221"/>
    <n v="20"/>
    <n v="6"/>
    <n v="1"/>
    <x v="0"/>
    <x v="0"/>
    <s v="400:40"/>
    <x v="0"/>
    <x v="4"/>
    <n v="1"/>
    <x v="0"/>
    <x v="0"/>
    <n v="3"/>
    <s v="KHỐI THAM MƯU"/>
    <x v="0"/>
    <x v="0"/>
    <x v="0"/>
    <x v="0"/>
    <m/>
    <m/>
    <m/>
    <m/>
  </r>
  <r>
    <n v="182"/>
    <n v="20"/>
    <n v="28"/>
    <n v="2"/>
    <x v="0"/>
    <x v="0"/>
    <s v="400:40"/>
    <x v="0"/>
    <x v="0"/>
    <n v="2"/>
    <x v="1"/>
    <x v="1"/>
    <n v="3"/>
    <s v="KHỐI THAM MƯU"/>
    <x v="0"/>
    <x v="0"/>
    <x v="0"/>
    <x v="0"/>
    <m/>
    <m/>
    <m/>
    <m/>
  </r>
  <r>
    <n v="192"/>
    <n v="20"/>
    <n v="10"/>
    <n v="2"/>
    <x v="0"/>
    <x v="0"/>
    <s v="400:40"/>
    <x v="0"/>
    <x v="1"/>
    <n v="2"/>
    <x v="1"/>
    <x v="1"/>
    <n v="3"/>
    <s v="KHỐI THAM MƯU"/>
    <x v="0"/>
    <x v="0"/>
    <x v="0"/>
    <x v="0"/>
    <m/>
    <m/>
    <m/>
    <m/>
  </r>
  <r>
    <n v="202"/>
    <n v="20"/>
    <n v="9"/>
    <n v="2"/>
    <x v="0"/>
    <x v="0"/>
    <s v="400:40"/>
    <x v="0"/>
    <x v="2"/>
    <n v="2"/>
    <x v="1"/>
    <x v="1"/>
    <n v="3"/>
    <s v="KHỐI THAM MƯU"/>
    <x v="0"/>
    <x v="0"/>
    <x v="0"/>
    <x v="0"/>
    <m/>
    <m/>
    <m/>
    <m/>
  </r>
  <r>
    <n v="212"/>
    <n v="20"/>
    <n v="8"/>
    <n v="2"/>
    <x v="0"/>
    <x v="0"/>
    <s v="400:40"/>
    <x v="0"/>
    <x v="3"/>
    <n v="2"/>
    <x v="1"/>
    <x v="1"/>
    <n v="3"/>
    <s v="KHỐI THAM MƯU"/>
    <x v="0"/>
    <x v="0"/>
    <x v="0"/>
    <x v="0"/>
    <m/>
    <m/>
    <m/>
    <m/>
  </r>
  <r>
    <n v="222"/>
    <n v="20"/>
    <n v="6"/>
    <n v="2"/>
    <x v="0"/>
    <x v="0"/>
    <s v="400:40"/>
    <x v="0"/>
    <x v="4"/>
    <n v="2"/>
    <x v="1"/>
    <x v="1"/>
    <n v="3"/>
    <s v="KHỐI THAM MƯU"/>
    <x v="0"/>
    <x v="0"/>
    <x v="0"/>
    <x v="0"/>
    <m/>
    <m/>
    <m/>
    <m/>
  </r>
  <r>
    <n v="183"/>
    <n v="20"/>
    <n v="28"/>
    <n v="3"/>
    <x v="0"/>
    <x v="0"/>
    <s v="400:40"/>
    <x v="0"/>
    <x v="0"/>
    <n v="6"/>
    <x v="2"/>
    <x v="2"/>
    <n v="3"/>
    <s v="KHỐI THAM MƯU"/>
    <x v="0"/>
    <x v="0"/>
    <x v="0"/>
    <x v="0"/>
    <m/>
    <m/>
    <m/>
    <m/>
  </r>
  <r>
    <n v="193"/>
    <n v="20"/>
    <n v="10"/>
    <n v="3"/>
    <x v="0"/>
    <x v="0"/>
    <s v="400:40"/>
    <x v="0"/>
    <x v="1"/>
    <n v="6"/>
    <x v="2"/>
    <x v="2"/>
    <n v="3"/>
    <s v="KHỐI THAM MƯU"/>
    <x v="0"/>
    <x v="0"/>
    <x v="0"/>
    <x v="0"/>
    <m/>
    <m/>
    <m/>
    <m/>
  </r>
  <r>
    <n v="203"/>
    <n v="20"/>
    <n v="9"/>
    <n v="3"/>
    <x v="0"/>
    <x v="0"/>
    <s v="400:40"/>
    <x v="0"/>
    <x v="2"/>
    <n v="6"/>
    <x v="2"/>
    <x v="2"/>
    <n v="3"/>
    <s v="KHỐI THAM MƯU"/>
    <x v="0"/>
    <x v="0"/>
    <x v="0"/>
    <x v="0"/>
    <m/>
    <m/>
    <m/>
    <m/>
  </r>
  <r>
    <n v="213"/>
    <n v="20"/>
    <n v="8"/>
    <n v="3"/>
    <x v="0"/>
    <x v="0"/>
    <s v="400:40"/>
    <x v="0"/>
    <x v="3"/>
    <n v="6"/>
    <x v="2"/>
    <x v="2"/>
    <n v="3"/>
    <s v="KHỐI THAM MƯU"/>
    <x v="0"/>
    <x v="0"/>
    <x v="0"/>
    <x v="0"/>
    <m/>
    <m/>
    <m/>
    <m/>
  </r>
  <r>
    <n v="223"/>
    <n v="20"/>
    <n v="6"/>
    <n v="3"/>
    <x v="0"/>
    <x v="0"/>
    <s v="400:40"/>
    <x v="0"/>
    <x v="4"/>
    <n v="6"/>
    <x v="2"/>
    <x v="2"/>
    <n v="3"/>
    <s v="KHỐI THAM MƯU"/>
    <x v="0"/>
    <x v="0"/>
    <x v="0"/>
    <x v="0"/>
    <m/>
    <m/>
    <m/>
    <m/>
  </r>
  <r>
    <n v="184"/>
    <n v="20"/>
    <n v="28"/>
    <n v="4"/>
    <x v="0"/>
    <x v="0"/>
    <s v="400:40"/>
    <x v="0"/>
    <x v="0"/>
    <n v="6"/>
    <x v="3"/>
    <x v="2"/>
    <n v="3"/>
    <s v="KHỐI THAM MƯU"/>
    <x v="0"/>
    <x v="0"/>
    <x v="0"/>
    <x v="0"/>
    <m/>
    <m/>
    <m/>
    <m/>
  </r>
  <r>
    <n v="194"/>
    <n v="20"/>
    <n v="10"/>
    <n v="4"/>
    <x v="0"/>
    <x v="0"/>
    <s v="400:40"/>
    <x v="0"/>
    <x v="1"/>
    <n v="6"/>
    <x v="3"/>
    <x v="2"/>
    <n v="3"/>
    <s v="KHỐI THAM MƯU"/>
    <x v="0"/>
    <x v="0"/>
    <x v="0"/>
    <x v="0"/>
    <m/>
    <m/>
    <m/>
    <m/>
  </r>
  <r>
    <n v="204"/>
    <n v="20"/>
    <n v="9"/>
    <n v="4"/>
    <x v="0"/>
    <x v="0"/>
    <s v="400:40"/>
    <x v="0"/>
    <x v="2"/>
    <n v="6"/>
    <x v="3"/>
    <x v="2"/>
    <n v="3"/>
    <s v="KHỐI THAM MƯU"/>
    <x v="0"/>
    <x v="0"/>
    <x v="0"/>
    <x v="0"/>
    <m/>
    <m/>
    <m/>
    <m/>
  </r>
  <r>
    <n v="214"/>
    <n v="20"/>
    <n v="8"/>
    <n v="4"/>
    <x v="0"/>
    <x v="0"/>
    <s v="400:40"/>
    <x v="0"/>
    <x v="3"/>
    <n v="6"/>
    <x v="3"/>
    <x v="2"/>
    <n v="3"/>
    <s v="KHỐI THAM MƯU"/>
    <x v="0"/>
    <x v="0"/>
    <x v="0"/>
    <x v="0"/>
    <m/>
    <m/>
    <m/>
    <m/>
  </r>
  <r>
    <n v="224"/>
    <n v="20"/>
    <n v="6"/>
    <n v="4"/>
    <x v="0"/>
    <x v="0"/>
    <s v="400:40"/>
    <x v="0"/>
    <x v="4"/>
    <n v="6"/>
    <x v="3"/>
    <x v="2"/>
    <n v="3"/>
    <s v="KHỐI THAM MƯU"/>
    <x v="0"/>
    <x v="0"/>
    <x v="0"/>
    <x v="0"/>
    <m/>
    <m/>
    <m/>
    <m/>
  </r>
  <r>
    <n v="185"/>
    <n v="20"/>
    <n v="28"/>
    <n v="5"/>
    <x v="0"/>
    <x v="0"/>
    <s v="400:40"/>
    <x v="0"/>
    <x v="0"/>
    <n v="9"/>
    <x v="4"/>
    <x v="3"/>
    <n v="3"/>
    <s v="KHỐI THAM MƯU"/>
    <x v="0"/>
    <x v="0"/>
    <x v="0"/>
    <x v="0"/>
    <m/>
    <m/>
    <m/>
    <m/>
  </r>
  <r>
    <n v="195"/>
    <n v="20"/>
    <n v="10"/>
    <n v="5"/>
    <x v="0"/>
    <x v="0"/>
    <s v="400:40"/>
    <x v="0"/>
    <x v="1"/>
    <n v="9"/>
    <x v="4"/>
    <x v="3"/>
    <n v="3"/>
    <s v="KHỐI THAM MƯU"/>
    <x v="0"/>
    <x v="0"/>
    <x v="0"/>
    <x v="0"/>
    <m/>
    <m/>
    <m/>
    <m/>
  </r>
  <r>
    <n v="205"/>
    <n v="20"/>
    <n v="9"/>
    <n v="5"/>
    <x v="0"/>
    <x v="0"/>
    <s v="400:40"/>
    <x v="0"/>
    <x v="2"/>
    <n v="9"/>
    <x v="4"/>
    <x v="3"/>
    <n v="3"/>
    <s v="KHỐI THAM MƯU"/>
    <x v="0"/>
    <x v="0"/>
    <x v="0"/>
    <x v="0"/>
    <m/>
    <m/>
    <m/>
    <m/>
  </r>
  <r>
    <n v="215"/>
    <n v="20"/>
    <n v="8"/>
    <n v="5"/>
    <x v="0"/>
    <x v="0"/>
    <s v="400:40"/>
    <x v="0"/>
    <x v="3"/>
    <n v="9"/>
    <x v="4"/>
    <x v="3"/>
    <n v="3"/>
    <s v="KHỐI THAM MƯU"/>
    <x v="0"/>
    <x v="0"/>
    <x v="0"/>
    <x v="0"/>
    <m/>
    <m/>
    <m/>
    <m/>
  </r>
  <r>
    <n v="225"/>
    <n v="20"/>
    <n v="6"/>
    <n v="5"/>
    <x v="0"/>
    <x v="0"/>
    <s v="400:40"/>
    <x v="0"/>
    <x v="4"/>
    <n v="9"/>
    <x v="4"/>
    <x v="3"/>
    <n v="3"/>
    <s v="KHỐI THAM MƯU"/>
    <x v="0"/>
    <x v="0"/>
    <x v="0"/>
    <x v="0"/>
    <m/>
    <m/>
    <m/>
    <m/>
  </r>
  <r>
    <n v="186"/>
    <n v="20"/>
    <n v="28"/>
    <n v="6"/>
    <x v="0"/>
    <x v="0"/>
    <s v="400:40"/>
    <x v="0"/>
    <x v="0"/>
    <n v="9"/>
    <x v="5"/>
    <x v="3"/>
    <n v="3"/>
    <s v="KHỐI THAM MƯU"/>
    <x v="0"/>
    <x v="0"/>
    <x v="0"/>
    <x v="0"/>
    <m/>
    <m/>
    <m/>
    <m/>
  </r>
  <r>
    <n v="196"/>
    <n v="20"/>
    <n v="10"/>
    <n v="6"/>
    <x v="0"/>
    <x v="0"/>
    <s v="400:40"/>
    <x v="0"/>
    <x v="1"/>
    <n v="9"/>
    <x v="5"/>
    <x v="3"/>
    <n v="3"/>
    <s v="KHỐI THAM MƯU"/>
    <x v="0"/>
    <x v="0"/>
    <x v="0"/>
    <x v="0"/>
    <m/>
    <m/>
    <m/>
    <m/>
  </r>
  <r>
    <n v="206"/>
    <n v="20"/>
    <n v="9"/>
    <n v="6"/>
    <x v="0"/>
    <x v="0"/>
    <s v="400:40"/>
    <x v="0"/>
    <x v="2"/>
    <n v="9"/>
    <x v="5"/>
    <x v="3"/>
    <n v="3"/>
    <s v="KHỐI THAM MƯU"/>
    <x v="0"/>
    <x v="0"/>
    <x v="0"/>
    <x v="0"/>
    <m/>
    <m/>
    <m/>
    <m/>
  </r>
  <r>
    <n v="216"/>
    <n v="20"/>
    <n v="8"/>
    <n v="6"/>
    <x v="0"/>
    <x v="0"/>
    <s v="400:40"/>
    <x v="0"/>
    <x v="3"/>
    <n v="9"/>
    <x v="5"/>
    <x v="3"/>
    <n v="3"/>
    <s v="KHỐI THAM MƯU"/>
    <x v="0"/>
    <x v="0"/>
    <x v="0"/>
    <x v="0"/>
    <m/>
    <m/>
    <m/>
    <m/>
  </r>
  <r>
    <n v="226"/>
    <n v="20"/>
    <n v="6"/>
    <n v="6"/>
    <x v="0"/>
    <x v="0"/>
    <s v="400:40"/>
    <x v="0"/>
    <x v="4"/>
    <n v="9"/>
    <x v="5"/>
    <x v="3"/>
    <n v="3"/>
    <s v="KHỐI THAM MƯU"/>
    <x v="0"/>
    <x v="0"/>
    <x v="0"/>
    <x v="0"/>
    <m/>
    <m/>
    <m/>
    <m/>
  </r>
  <r>
    <n v="187"/>
    <n v="20"/>
    <n v="28"/>
    <n v="17"/>
    <x v="0"/>
    <x v="0"/>
    <s v="400:40"/>
    <x v="0"/>
    <x v="0"/>
    <n v="3"/>
    <x v="6"/>
    <x v="3"/>
    <n v="3"/>
    <s v="KHỐI THAM MƯU"/>
    <x v="0"/>
    <x v="0"/>
    <x v="0"/>
    <x v="0"/>
    <m/>
    <m/>
    <m/>
    <m/>
  </r>
  <r>
    <n v="197"/>
    <n v="20"/>
    <n v="10"/>
    <n v="17"/>
    <x v="0"/>
    <x v="0"/>
    <s v="400:40"/>
    <x v="0"/>
    <x v="1"/>
    <n v="3"/>
    <x v="6"/>
    <x v="3"/>
    <n v="3"/>
    <s v="KHỐI THAM MƯU"/>
    <x v="0"/>
    <x v="0"/>
    <x v="0"/>
    <x v="0"/>
    <m/>
    <m/>
    <m/>
    <m/>
  </r>
  <r>
    <n v="207"/>
    <n v="20"/>
    <n v="9"/>
    <n v="17"/>
    <x v="0"/>
    <x v="0"/>
    <s v="400:40"/>
    <x v="0"/>
    <x v="2"/>
    <n v="3"/>
    <x v="6"/>
    <x v="3"/>
    <n v="3"/>
    <s v="KHỐI THAM MƯU"/>
    <x v="0"/>
    <x v="0"/>
    <x v="0"/>
    <x v="0"/>
    <m/>
    <m/>
    <m/>
    <m/>
  </r>
  <r>
    <n v="217"/>
    <n v="20"/>
    <n v="8"/>
    <n v="17"/>
    <x v="0"/>
    <x v="0"/>
    <s v="400:40"/>
    <x v="0"/>
    <x v="3"/>
    <n v="3"/>
    <x v="6"/>
    <x v="3"/>
    <n v="3"/>
    <s v="KHỐI THAM MƯU"/>
    <x v="0"/>
    <x v="0"/>
    <x v="0"/>
    <x v="0"/>
    <m/>
    <m/>
    <m/>
    <m/>
  </r>
  <r>
    <n v="227"/>
    <n v="20"/>
    <n v="6"/>
    <n v="17"/>
    <x v="0"/>
    <x v="0"/>
    <s v="400:40"/>
    <x v="0"/>
    <x v="4"/>
    <n v="3"/>
    <x v="6"/>
    <x v="3"/>
    <n v="3"/>
    <s v="KHỐI THAM MƯU"/>
    <x v="0"/>
    <x v="0"/>
    <x v="0"/>
    <x v="0"/>
    <m/>
    <m/>
    <m/>
    <m/>
  </r>
  <r>
    <n v="188"/>
    <n v="20"/>
    <n v="28"/>
    <n v="18"/>
    <x v="0"/>
    <x v="0"/>
    <s v="400:40"/>
    <x v="0"/>
    <x v="0"/>
    <n v="4"/>
    <x v="7"/>
    <x v="4"/>
    <n v="3"/>
    <s v="KHỐI THAM MƯU"/>
    <x v="0"/>
    <x v="0"/>
    <x v="0"/>
    <x v="0"/>
    <m/>
    <m/>
    <m/>
    <m/>
  </r>
  <r>
    <n v="198"/>
    <n v="20"/>
    <n v="10"/>
    <n v="18"/>
    <x v="0"/>
    <x v="0"/>
    <s v="400:40"/>
    <x v="0"/>
    <x v="1"/>
    <n v="4"/>
    <x v="7"/>
    <x v="4"/>
    <n v="3"/>
    <s v="KHỐI THAM MƯU"/>
    <x v="0"/>
    <x v="0"/>
    <x v="0"/>
    <x v="0"/>
    <m/>
    <m/>
    <m/>
    <m/>
  </r>
  <r>
    <n v="208"/>
    <n v="20"/>
    <n v="9"/>
    <n v="18"/>
    <x v="0"/>
    <x v="0"/>
    <s v="400:40"/>
    <x v="0"/>
    <x v="2"/>
    <n v="4"/>
    <x v="7"/>
    <x v="4"/>
    <n v="3"/>
    <s v="KHỐI THAM MƯU"/>
    <x v="0"/>
    <x v="0"/>
    <x v="0"/>
    <x v="0"/>
    <m/>
    <m/>
    <m/>
    <m/>
  </r>
  <r>
    <n v="218"/>
    <n v="20"/>
    <n v="8"/>
    <n v="18"/>
    <x v="0"/>
    <x v="0"/>
    <s v="400:40"/>
    <x v="0"/>
    <x v="3"/>
    <n v="4"/>
    <x v="7"/>
    <x v="4"/>
    <n v="3"/>
    <s v="KHỐI THAM MƯU"/>
    <x v="0"/>
    <x v="0"/>
    <x v="0"/>
    <x v="0"/>
    <m/>
    <m/>
    <m/>
    <m/>
  </r>
  <r>
    <n v="228"/>
    <n v="20"/>
    <n v="6"/>
    <n v="18"/>
    <x v="0"/>
    <x v="0"/>
    <s v="400:40"/>
    <x v="0"/>
    <x v="4"/>
    <n v="4"/>
    <x v="7"/>
    <x v="4"/>
    <n v="3"/>
    <s v="KHỐI THAM MƯU"/>
    <x v="0"/>
    <x v="0"/>
    <x v="0"/>
    <x v="0"/>
    <m/>
    <m/>
    <m/>
    <m/>
  </r>
  <r>
    <n v="189"/>
    <n v="20"/>
    <n v="28"/>
    <n v="19"/>
    <x v="0"/>
    <x v="0"/>
    <s v="400:40"/>
    <x v="0"/>
    <x v="0"/>
    <n v="5"/>
    <x v="8"/>
    <x v="5"/>
    <n v="3"/>
    <s v="KHỐI THAM MƯU"/>
    <x v="0"/>
    <x v="0"/>
    <x v="0"/>
    <x v="0"/>
    <m/>
    <m/>
    <m/>
    <m/>
  </r>
  <r>
    <n v="199"/>
    <n v="20"/>
    <n v="10"/>
    <n v="19"/>
    <x v="0"/>
    <x v="0"/>
    <s v="400:40"/>
    <x v="0"/>
    <x v="1"/>
    <n v="5"/>
    <x v="8"/>
    <x v="5"/>
    <n v="3"/>
    <s v="KHỐI THAM MƯU"/>
    <x v="0"/>
    <x v="0"/>
    <x v="0"/>
    <x v="0"/>
    <m/>
    <m/>
    <m/>
    <m/>
  </r>
  <r>
    <n v="209"/>
    <n v="20"/>
    <n v="9"/>
    <n v="19"/>
    <x v="0"/>
    <x v="0"/>
    <s v="400:40"/>
    <x v="0"/>
    <x v="2"/>
    <n v="5"/>
    <x v="8"/>
    <x v="5"/>
    <n v="3"/>
    <s v="KHỐI THAM MƯU"/>
    <x v="0"/>
    <x v="0"/>
    <x v="0"/>
    <x v="0"/>
    <m/>
    <m/>
    <m/>
    <m/>
  </r>
  <r>
    <n v="219"/>
    <n v="20"/>
    <n v="8"/>
    <n v="19"/>
    <x v="0"/>
    <x v="0"/>
    <s v="400:40"/>
    <x v="0"/>
    <x v="3"/>
    <n v="5"/>
    <x v="8"/>
    <x v="5"/>
    <n v="3"/>
    <s v="KHỐI THAM MƯU"/>
    <x v="0"/>
    <x v="0"/>
    <x v="0"/>
    <x v="0"/>
    <m/>
    <m/>
    <m/>
    <m/>
  </r>
  <r>
    <n v="229"/>
    <n v="20"/>
    <n v="6"/>
    <n v="19"/>
    <x v="0"/>
    <x v="0"/>
    <s v="400:40"/>
    <x v="0"/>
    <x v="4"/>
    <n v="5"/>
    <x v="8"/>
    <x v="5"/>
    <n v="3"/>
    <s v="KHỐI THAM MƯU"/>
    <x v="0"/>
    <x v="0"/>
    <x v="0"/>
    <x v="0"/>
    <m/>
    <m/>
    <m/>
    <m/>
  </r>
  <r>
    <n v="190"/>
    <n v="20"/>
    <n v="28"/>
    <n v="20"/>
    <x v="0"/>
    <x v="0"/>
    <s v="400:40"/>
    <x v="0"/>
    <x v="0"/>
    <n v="8"/>
    <x v="9"/>
    <x v="6"/>
    <n v="3"/>
    <s v="KHỐI THAM MƯU"/>
    <x v="0"/>
    <x v="0"/>
    <x v="0"/>
    <x v="0"/>
    <m/>
    <m/>
    <m/>
    <m/>
  </r>
  <r>
    <n v="200"/>
    <n v="20"/>
    <n v="10"/>
    <n v="20"/>
    <x v="0"/>
    <x v="0"/>
    <s v="400:40"/>
    <x v="0"/>
    <x v="1"/>
    <n v="8"/>
    <x v="9"/>
    <x v="6"/>
    <n v="3"/>
    <s v="KHỐI THAM MƯU"/>
    <x v="0"/>
    <x v="0"/>
    <x v="0"/>
    <x v="0"/>
    <m/>
    <m/>
    <m/>
    <m/>
  </r>
  <r>
    <n v="210"/>
    <n v="20"/>
    <n v="9"/>
    <n v="20"/>
    <x v="0"/>
    <x v="0"/>
    <s v="400:40"/>
    <x v="0"/>
    <x v="2"/>
    <n v="8"/>
    <x v="9"/>
    <x v="6"/>
    <n v="3"/>
    <s v="KHỐI THAM MƯU"/>
    <x v="0"/>
    <x v="0"/>
    <x v="0"/>
    <x v="0"/>
    <m/>
    <m/>
    <m/>
    <m/>
  </r>
  <r>
    <n v="220"/>
    <n v="20"/>
    <n v="8"/>
    <n v="20"/>
    <x v="0"/>
    <x v="0"/>
    <s v="400:40"/>
    <x v="0"/>
    <x v="3"/>
    <n v="8"/>
    <x v="9"/>
    <x v="6"/>
    <n v="3"/>
    <s v="KHỐI THAM MƯU"/>
    <x v="0"/>
    <x v="0"/>
    <x v="0"/>
    <x v="0"/>
    <m/>
    <m/>
    <m/>
    <m/>
  </r>
  <r>
    <n v="230"/>
    <n v="20"/>
    <n v="6"/>
    <n v="20"/>
    <x v="0"/>
    <x v="0"/>
    <s v="400:40"/>
    <x v="0"/>
    <x v="4"/>
    <n v="8"/>
    <x v="9"/>
    <x v="6"/>
    <n v="3"/>
    <s v="KHỐI THAM MƯU"/>
    <x v="0"/>
    <x v="0"/>
    <x v="0"/>
    <x v="0"/>
    <m/>
    <m/>
    <m/>
    <m/>
  </r>
  <r>
    <n v="231"/>
    <n v="20"/>
    <n v="5"/>
    <n v="1"/>
    <x v="0"/>
    <x v="0"/>
    <s v="400:40"/>
    <x v="0"/>
    <x v="5"/>
    <n v="1"/>
    <x v="0"/>
    <x v="0"/>
    <n v="3"/>
    <s v="KHỐI THAM MƯU"/>
    <x v="0"/>
    <x v="1"/>
    <x v="0"/>
    <x v="1"/>
    <m/>
    <m/>
    <m/>
    <m/>
  </r>
  <r>
    <n v="232"/>
    <n v="20"/>
    <n v="5"/>
    <n v="2"/>
    <x v="0"/>
    <x v="0"/>
    <s v="400:40"/>
    <x v="0"/>
    <x v="5"/>
    <n v="2"/>
    <x v="1"/>
    <x v="1"/>
    <n v="3"/>
    <s v="KHỐI THAM MƯU"/>
    <x v="0"/>
    <x v="0"/>
    <x v="0"/>
    <x v="0"/>
    <m/>
    <m/>
    <m/>
    <m/>
  </r>
  <r>
    <n v="233"/>
    <n v="20"/>
    <n v="5"/>
    <n v="3"/>
    <x v="0"/>
    <x v="0"/>
    <s v="400:40"/>
    <x v="0"/>
    <x v="5"/>
    <n v="6"/>
    <x v="2"/>
    <x v="2"/>
    <n v="3"/>
    <s v="KHỐI THAM MƯU"/>
    <x v="0"/>
    <x v="0"/>
    <x v="0"/>
    <x v="0"/>
    <m/>
    <m/>
    <m/>
    <m/>
  </r>
  <r>
    <n v="234"/>
    <n v="20"/>
    <n v="5"/>
    <n v="4"/>
    <x v="0"/>
    <x v="0"/>
    <s v="400:40"/>
    <x v="0"/>
    <x v="5"/>
    <n v="6"/>
    <x v="3"/>
    <x v="2"/>
    <n v="3"/>
    <s v="KHỐI THAM MƯU"/>
    <x v="0"/>
    <x v="0"/>
    <x v="0"/>
    <x v="0"/>
    <m/>
    <m/>
    <m/>
    <m/>
  </r>
  <r>
    <n v="235"/>
    <n v="20"/>
    <n v="5"/>
    <n v="5"/>
    <x v="0"/>
    <x v="0"/>
    <s v="400:40"/>
    <x v="0"/>
    <x v="5"/>
    <n v="9"/>
    <x v="4"/>
    <x v="3"/>
    <n v="3"/>
    <s v="KHỐI THAM MƯU"/>
    <x v="0"/>
    <x v="0"/>
    <x v="0"/>
    <x v="0"/>
    <m/>
    <m/>
    <m/>
    <m/>
  </r>
  <r>
    <n v="236"/>
    <n v="20"/>
    <n v="5"/>
    <n v="6"/>
    <x v="0"/>
    <x v="0"/>
    <s v="400:40"/>
    <x v="0"/>
    <x v="5"/>
    <n v="9"/>
    <x v="5"/>
    <x v="3"/>
    <n v="3"/>
    <s v="KHỐI THAM MƯU"/>
    <x v="0"/>
    <x v="0"/>
    <x v="0"/>
    <x v="0"/>
    <m/>
    <m/>
    <m/>
    <m/>
  </r>
  <r>
    <n v="237"/>
    <n v="20"/>
    <n v="5"/>
    <n v="17"/>
    <x v="0"/>
    <x v="0"/>
    <s v="400:40"/>
    <x v="0"/>
    <x v="5"/>
    <n v="3"/>
    <x v="6"/>
    <x v="3"/>
    <n v="3"/>
    <s v="KHỐI THAM MƯU"/>
    <x v="0"/>
    <x v="0"/>
    <x v="0"/>
    <x v="0"/>
    <m/>
    <m/>
    <m/>
    <m/>
  </r>
  <r>
    <n v="238"/>
    <n v="20"/>
    <n v="5"/>
    <n v="18"/>
    <x v="0"/>
    <x v="0"/>
    <s v="400:40"/>
    <x v="0"/>
    <x v="5"/>
    <n v="4"/>
    <x v="7"/>
    <x v="4"/>
    <n v="3"/>
    <s v="KHỐI THAM MƯU"/>
    <x v="0"/>
    <x v="0"/>
    <x v="0"/>
    <x v="0"/>
    <m/>
    <m/>
    <m/>
    <m/>
  </r>
  <r>
    <n v="239"/>
    <n v="20"/>
    <n v="5"/>
    <n v="19"/>
    <x v="0"/>
    <x v="0"/>
    <s v="400:40"/>
    <x v="0"/>
    <x v="5"/>
    <n v="5"/>
    <x v="8"/>
    <x v="5"/>
    <n v="3"/>
    <s v="KHỐI THAM MƯU"/>
    <x v="0"/>
    <x v="0"/>
    <x v="0"/>
    <x v="0"/>
    <m/>
    <m/>
    <m/>
    <m/>
  </r>
  <r>
    <n v="240"/>
    <n v="20"/>
    <n v="5"/>
    <n v="20"/>
    <x v="0"/>
    <x v="0"/>
    <s v="400:40"/>
    <x v="0"/>
    <x v="5"/>
    <n v="8"/>
    <x v="9"/>
    <x v="6"/>
    <n v="3"/>
    <s v="KHỐI THAM MƯU"/>
    <x v="0"/>
    <x v="0"/>
    <x v="0"/>
    <x v="0"/>
    <m/>
    <m/>
    <m/>
    <m/>
  </r>
  <r>
    <n v="241"/>
    <n v="20"/>
    <n v="4"/>
    <n v="1"/>
    <x v="0"/>
    <x v="0"/>
    <s v="400:40"/>
    <x v="0"/>
    <x v="6"/>
    <n v="1"/>
    <x v="0"/>
    <x v="0"/>
    <n v="3"/>
    <s v="KHỐI THAM MƯU"/>
    <x v="1"/>
    <x v="0"/>
    <x v="1"/>
    <x v="0"/>
    <m/>
    <m/>
    <m/>
    <m/>
  </r>
  <r>
    <n v="242"/>
    <n v="20"/>
    <n v="4"/>
    <n v="2"/>
    <x v="0"/>
    <x v="0"/>
    <s v="400:40"/>
    <x v="0"/>
    <x v="6"/>
    <n v="2"/>
    <x v="1"/>
    <x v="1"/>
    <n v="3"/>
    <s v="KHỐI THAM MƯU"/>
    <x v="0"/>
    <x v="0"/>
    <x v="0"/>
    <x v="0"/>
    <m/>
    <m/>
    <m/>
    <m/>
  </r>
  <r>
    <n v="243"/>
    <n v="20"/>
    <n v="4"/>
    <n v="3"/>
    <x v="0"/>
    <x v="0"/>
    <s v="400:40"/>
    <x v="0"/>
    <x v="6"/>
    <n v="6"/>
    <x v="2"/>
    <x v="2"/>
    <n v="3"/>
    <s v="KHỐI THAM MƯU"/>
    <x v="0"/>
    <x v="0"/>
    <x v="0"/>
    <x v="0"/>
    <m/>
    <m/>
    <m/>
    <m/>
  </r>
  <r>
    <n v="244"/>
    <n v="20"/>
    <n v="4"/>
    <n v="4"/>
    <x v="0"/>
    <x v="0"/>
    <s v="400:40"/>
    <x v="0"/>
    <x v="6"/>
    <n v="6"/>
    <x v="3"/>
    <x v="2"/>
    <n v="3"/>
    <s v="KHỐI THAM MƯU"/>
    <x v="0"/>
    <x v="0"/>
    <x v="0"/>
    <x v="0"/>
    <m/>
    <m/>
    <m/>
    <m/>
  </r>
  <r>
    <n v="245"/>
    <n v="20"/>
    <n v="4"/>
    <n v="5"/>
    <x v="0"/>
    <x v="0"/>
    <s v="400:40"/>
    <x v="0"/>
    <x v="6"/>
    <n v="9"/>
    <x v="4"/>
    <x v="3"/>
    <n v="3"/>
    <s v="KHỐI THAM MƯU"/>
    <x v="0"/>
    <x v="2"/>
    <x v="0"/>
    <x v="2"/>
    <m/>
    <m/>
    <m/>
    <m/>
  </r>
  <r>
    <n v="246"/>
    <n v="20"/>
    <n v="4"/>
    <n v="6"/>
    <x v="0"/>
    <x v="0"/>
    <s v="400:40"/>
    <x v="0"/>
    <x v="6"/>
    <n v="9"/>
    <x v="5"/>
    <x v="3"/>
    <n v="3"/>
    <s v="KHỐI THAM MƯU"/>
    <x v="0"/>
    <x v="0"/>
    <x v="0"/>
    <x v="0"/>
    <m/>
    <m/>
    <m/>
    <m/>
  </r>
  <r>
    <n v="247"/>
    <n v="20"/>
    <n v="4"/>
    <n v="17"/>
    <x v="0"/>
    <x v="0"/>
    <s v="400:40"/>
    <x v="0"/>
    <x v="6"/>
    <n v="3"/>
    <x v="6"/>
    <x v="3"/>
    <n v="3"/>
    <s v="KHỐI THAM MƯU"/>
    <x v="0"/>
    <x v="3"/>
    <x v="0"/>
    <x v="3"/>
    <m/>
    <m/>
    <m/>
    <m/>
  </r>
  <r>
    <n v="248"/>
    <n v="20"/>
    <n v="4"/>
    <n v="18"/>
    <x v="0"/>
    <x v="0"/>
    <s v="400:40"/>
    <x v="0"/>
    <x v="6"/>
    <n v="4"/>
    <x v="7"/>
    <x v="4"/>
    <n v="3"/>
    <s v="KHỐI THAM MƯU"/>
    <x v="0"/>
    <x v="0"/>
    <x v="0"/>
    <x v="0"/>
    <m/>
    <m/>
    <m/>
    <m/>
  </r>
  <r>
    <n v="249"/>
    <n v="20"/>
    <n v="4"/>
    <n v="19"/>
    <x v="0"/>
    <x v="0"/>
    <s v="400:40"/>
    <x v="0"/>
    <x v="6"/>
    <n v="5"/>
    <x v="8"/>
    <x v="5"/>
    <n v="3"/>
    <s v="KHỐI THAM MƯU"/>
    <x v="0"/>
    <x v="0"/>
    <x v="0"/>
    <x v="0"/>
    <m/>
    <m/>
    <m/>
    <m/>
  </r>
  <r>
    <n v="250"/>
    <n v="20"/>
    <n v="4"/>
    <n v="20"/>
    <x v="0"/>
    <x v="0"/>
    <s v="400:40"/>
    <x v="0"/>
    <x v="6"/>
    <n v="8"/>
    <x v="9"/>
    <x v="6"/>
    <n v="3"/>
    <s v="KHỐI THAM MƯU"/>
    <x v="0"/>
    <x v="0"/>
    <x v="0"/>
    <x v="0"/>
    <m/>
    <m/>
    <m/>
    <m/>
  </r>
  <r>
    <n v="251"/>
    <n v="20"/>
    <n v="3"/>
    <n v="1"/>
    <x v="0"/>
    <x v="0"/>
    <s v="400:40"/>
    <x v="0"/>
    <x v="7"/>
    <n v="1"/>
    <x v="0"/>
    <x v="0"/>
    <n v="3"/>
    <s v="KHỐI THAM MƯU"/>
    <x v="2"/>
    <x v="4"/>
    <x v="2"/>
    <x v="4"/>
    <m/>
    <m/>
    <m/>
    <m/>
  </r>
  <r>
    <n v="252"/>
    <n v="20"/>
    <n v="3"/>
    <n v="2"/>
    <x v="0"/>
    <x v="0"/>
    <s v="400:40"/>
    <x v="0"/>
    <x v="7"/>
    <n v="2"/>
    <x v="1"/>
    <x v="1"/>
    <n v="3"/>
    <s v="KHỐI THAM MƯU"/>
    <x v="0"/>
    <x v="0"/>
    <x v="0"/>
    <x v="0"/>
    <m/>
    <m/>
    <m/>
    <m/>
  </r>
  <r>
    <n v="253"/>
    <n v="20"/>
    <n v="3"/>
    <n v="3"/>
    <x v="0"/>
    <x v="0"/>
    <s v="400:40"/>
    <x v="0"/>
    <x v="7"/>
    <n v="6"/>
    <x v="2"/>
    <x v="2"/>
    <n v="3"/>
    <s v="KHỐI THAM MƯU"/>
    <x v="0"/>
    <x v="0"/>
    <x v="0"/>
    <x v="0"/>
    <m/>
    <m/>
    <m/>
    <m/>
  </r>
  <r>
    <n v="254"/>
    <n v="20"/>
    <n v="3"/>
    <n v="4"/>
    <x v="0"/>
    <x v="0"/>
    <s v="400:40"/>
    <x v="0"/>
    <x v="7"/>
    <n v="6"/>
    <x v="3"/>
    <x v="2"/>
    <n v="3"/>
    <s v="KHỐI THAM MƯU"/>
    <x v="0"/>
    <x v="0"/>
    <x v="0"/>
    <x v="0"/>
    <m/>
    <m/>
    <m/>
    <m/>
  </r>
  <r>
    <n v="255"/>
    <n v="20"/>
    <n v="3"/>
    <n v="5"/>
    <x v="0"/>
    <x v="0"/>
    <s v="400:40"/>
    <x v="0"/>
    <x v="7"/>
    <n v="9"/>
    <x v="4"/>
    <x v="3"/>
    <n v="3"/>
    <s v="KHỐI THAM MƯU"/>
    <x v="0"/>
    <x v="0"/>
    <x v="0"/>
    <x v="0"/>
    <m/>
    <m/>
    <m/>
    <m/>
  </r>
  <r>
    <n v="256"/>
    <n v="20"/>
    <n v="3"/>
    <n v="6"/>
    <x v="0"/>
    <x v="0"/>
    <s v="400:40"/>
    <x v="0"/>
    <x v="7"/>
    <n v="9"/>
    <x v="5"/>
    <x v="3"/>
    <n v="3"/>
    <s v="KHỐI THAM MƯU"/>
    <x v="0"/>
    <x v="5"/>
    <x v="0"/>
    <x v="5"/>
    <m/>
    <m/>
    <m/>
    <m/>
  </r>
  <r>
    <n v="257"/>
    <n v="20"/>
    <n v="3"/>
    <n v="17"/>
    <x v="0"/>
    <x v="0"/>
    <s v="400:40"/>
    <x v="0"/>
    <x v="7"/>
    <n v="3"/>
    <x v="6"/>
    <x v="3"/>
    <n v="3"/>
    <s v="KHỐI THAM MƯU"/>
    <x v="3"/>
    <x v="6"/>
    <x v="3"/>
    <x v="6"/>
    <m/>
    <m/>
    <m/>
    <m/>
  </r>
  <r>
    <n v="258"/>
    <n v="20"/>
    <n v="3"/>
    <n v="18"/>
    <x v="0"/>
    <x v="0"/>
    <s v="400:40"/>
    <x v="0"/>
    <x v="7"/>
    <n v="4"/>
    <x v="7"/>
    <x v="4"/>
    <n v="3"/>
    <s v="KHỐI THAM MƯU"/>
    <x v="0"/>
    <x v="0"/>
    <x v="0"/>
    <x v="0"/>
    <m/>
    <m/>
    <m/>
    <m/>
  </r>
  <r>
    <n v="259"/>
    <n v="20"/>
    <n v="3"/>
    <n v="19"/>
    <x v="0"/>
    <x v="0"/>
    <s v="400:40"/>
    <x v="0"/>
    <x v="7"/>
    <n v="5"/>
    <x v="8"/>
    <x v="5"/>
    <n v="3"/>
    <s v="KHỐI THAM MƯU"/>
    <x v="0"/>
    <x v="0"/>
    <x v="0"/>
    <x v="0"/>
    <m/>
    <m/>
    <m/>
    <m/>
  </r>
  <r>
    <n v="260"/>
    <n v="20"/>
    <n v="3"/>
    <n v="20"/>
    <x v="0"/>
    <x v="0"/>
    <s v="400:40"/>
    <x v="0"/>
    <x v="7"/>
    <n v="8"/>
    <x v="9"/>
    <x v="6"/>
    <n v="3"/>
    <s v="KHỐI THAM MƯU"/>
    <x v="0"/>
    <x v="0"/>
    <x v="0"/>
    <x v="0"/>
    <m/>
    <m/>
    <m/>
    <m/>
  </r>
  <r>
    <n v="261"/>
    <n v="20"/>
    <n v="54"/>
    <n v="1"/>
    <x v="0"/>
    <x v="0"/>
    <s v="400:40"/>
    <x v="0"/>
    <x v="8"/>
    <n v="1"/>
    <x v="0"/>
    <x v="0"/>
    <n v="3"/>
    <s v="KHỐI THAM MƯU"/>
    <x v="0"/>
    <x v="0"/>
    <x v="0"/>
    <x v="0"/>
    <m/>
    <m/>
    <m/>
    <m/>
  </r>
  <r>
    <n v="262"/>
    <n v="20"/>
    <n v="54"/>
    <n v="2"/>
    <x v="0"/>
    <x v="0"/>
    <s v="400:40"/>
    <x v="0"/>
    <x v="8"/>
    <n v="2"/>
    <x v="1"/>
    <x v="1"/>
    <n v="3"/>
    <s v="KHỐI THAM MƯU"/>
    <x v="0"/>
    <x v="0"/>
    <x v="0"/>
    <x v="0"/>
    <m/>
    <m/>
    <m/>
    <m/>
  </r>
  <r>
    <n v="263"/>
    <n v="20"/>
    <n v="54"/>
    <n v="3"/>
    <x v="0"/>
    <x v="0"/>
    <s v="400:40"/>
    <x v="0"/>
    <x v="8"/>
    <n v="6"/>
    <x v="2"/>
    <x v="2"/>
    <n v="3"/>
    <s v="KHỐI THAM MƯU"/>
    <x v="0"/>
    <x v="0"/>
    <x v="0"/>
    <x v="0"/>
    <m/>
    <m/>
    <m/>
    <m/>
  </r>
  <r>
    <n v="264"/>
    <n v="20"/>
    <n v="54"/>
    <n v="4"/>
    <x v="0"/>
    <x v="0"/>
    <s v="400:40"/>
    <x v="0"/>
    <x v="8"/>
    <n v="6"/>
    <x v="3"/>
    <x v="2"/>
    <n v="3"/>
    <s v="KHỐI THAM MƯU"/>
    <x v="0"/>
    <x v="0"/>
    <x v="0"/>
    <x v="0"/>
    <m/>
    <m/>
    <m/>
    <m/>
  </r>
  <r>
    <n v="265"/>
    <n v="20"/>
    <n v="54"/>
    <n v="5"/>
    <x v="0"/>
    <x v="0"/>
    <s v="400:40"/>
    <x v="0"/>
    <x v="8"/>
    <n v="9"/>
    <x v="4"/>
    <x v="3"/>
    <n v="3"/>
    <s v="KHỐI THAM MƯU"/>
    <x v="0"/>
    <x v="0"/>
    <x v="0"/>
    <x v="0"/>
    <m/>
    <m/>
    <m/>
    <m/>
  </r>
  <r>
    <n v="266"/>
    <n v="20"/>
    <n v="54"/>
    <n v="6"/>
    <x v="0"/>
    <x v="0"/>
    <s v="400:40"/>
    <x v="0"/>
    <x v="8"/>
    <n v="9"/>
    <x v="5"/>
    <x v="3"/>
    <n v="3"/>
    <s v="KHỐI THAM MƯU"/>
    <x v="0"/>
    <x v="0"/>
    <x v="0"/>
    <x v="0"/>
    <m/>
    <m/>
    <m/>
    <m/>
  </r>
  <r>
    <n v="267"/>
    <n v="20"/>
    <n v="54"/>
    <n v="17"/>
    <x v="0"/>
    <x v="0"/>
    <s v="400:40"/>
    <x v="0"/>
    <x v="8"/>
    <n v="3"/>
    <x v="6"/>
    <x v="3"/>
    <n v="3"/>
    <s v="KHỐI THAM MƯU"/>
    <x v="0"/>
    <x v="0"/>
    <x v="0"/>
    <x v="0"/>
    <m/>
    <m/>
    <m/>
    <m/>
  </r>
  <r>
    <n v="268"/>
    <n v="20"/>
    <n v="54"/>
    <n v="18"/>
    <x v="0"/>
    <x v="0"/>
    <s v="400:40"/>
    <x v="0"/>
    <x v="8"/>
    <n v="4"/>
    <x v="7"/>
    <x v="4"/>
    <n v="3"/>
    <s v="KHỐI THAM MƯU"/>
    <x v="0"/>
    <x v="0"/>
    <x v="0"/>
    <x v="0"/>
    <m/>
    <m/>
    <m/>
    <m/>
  </r>
  <r>
    <n v="269"/>
    <n v="20"/>
    <n v="54"/>
    <n v="19"/>
    <x v="0"/>
    <x v="0"/>
    <s v="400:40"/>
    <x v="0"/>
    <x v="8"/>
    <n v="5"/>
    <x v="8"/>
    <x v="5"/>
    <n v="3"/>
    <s v="KHỐI THAM MƯU"/>
    <x v="0"/>
    <x v="0"/>
    <x v="0"/>
    <x v="0"/>
    <m/>
    <m/>
    <m/>
    <m/>
  </r>
  <r>
    <n v="270"/>
    <n v="20"/>
    <n v="54"/>
    <n v="20"/>
    <x v="0"/>
    <x v="0"/>
    <s v="400:40"/>
    <x v="0"/>
    <x v="8"/>
    <n v="8"/>
    <x v="9"/>
    <x v="6"/>
    <n v="3"/>
    <s v="KHỐI THAM MƯU"/>
    <x v="0"/>
    <x v="0"/>
    <x v="0"/>
    <x v="0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nxt_pv_table" cacheId="0" applyNumberFormats="0" applyBorderFormats="0" applyFontFormats="0" applyPatternFormats="0" applyAlignmentFormats="0" applyWidthHeightFormats="1" dataCaption="Values" updatedVersion="6" minRefreshableVersion="3" showDrill="0" rowGrandTotals="0" colGrandTotals="0" mergeItem="1" createdVersion="6" indent="0" outline="1" outlineData="1" multipleFieldFilters="0" rowHeaderCaption="Tên Xăng Dầu" fieldListSortAscending="1">
  <location ref="G9:AC84" firstHeaderRow="1" firstDataRow="4" firstDataCol="1"/>
  <pivotFields count="13"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efaultSubtotal="0">
      <items count="49">
        <item x="36"/>
        <item x="9"/>
        <item x="25"/>
        <item x="40"/>
        <item x="34"/>
        <item x="31"/>
        <item x="32"/>
        <item x="5"/>
        <item x="4"/>
        <item x="28"/>
        <item x="30"/>
        <item x="2"/>
        <item x="16"/>
        <item x="19"/>
        <item x="37"/>
        <item x="41"/>
        <item x="42"/>
        <item x="10"/>
        <item x="33"/>
        <item x="11"/>
        <item x="22"/>
        <item x="17"/>
        <item x="18"/>
        <item x="6"/>
        <item x="7"/>
        <item x="23"/>
        <item x="44"/>
        <item x="45"/>
        <item x="26"/>
        <item x="27"/>
        <item x="46"/>
        <item x="47"/>
        <item x="24"/>
        <item x="20"/>
        <item x="8"/>
        <item x="13"/>
        <item x="43"/>
        <item x="29"/>
        <item x="21"/>
        <item x="15"/>
        <item x="14"/>
        <item x="12"/>
        <item x="38"/>
        <item x="39"/>
        <item x="35"/>
        <item x="0"/>
        <item x="1"/>
        <item x="48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 defaultSubtotal="0">
      <items count="14">
        <item x="10"/>
        <item sd="0" x="5"/>
        <item sd="0" x="6"/>
        <item x="11"/>
        <item x="4"/>
        <item x="1"/>
        <item x="8"/>
        <item x="12"/>
        <item x="7"/>
        <item x="2"/>
        <item x="0"/>
        <item x="9"/>
        <item m="1" x="13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 defaultSubtotal="0">
      <items count="15">
        <item x="12"/>
        <item x="0"/>
        <item n="(blank)" m="1" x="13"/>
        <item x="5"/>
        <item x="6"/>
        <item x="4"/>
        <item x="7"/>
        <item x="8"/>
        <item x="1"/>
        <item x="9"/>
        <item x="10"/>
        <item x="11"/>
        <item x="2"/>
        <item m="1" x="14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subtotalTop="0" showAll="0" sumSubtotal="1">
      <items count="6">
        <item x="2"/>
        <item x="0"/>
        <item x="1"/>
        <item x="3"/>
        <item m="1" x="4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umSubtotal="1">
      <items count="15">
        <item x="3"/>
        <item x="4"/>
        <item x="8"/>
        <item x="2"/>
        <item x="6"/>
        <item x="9"/>
        <item x="5"/>
        <item x="1"/>
        <item x="11"/>
        <item x="7"/>
        <item x="10"/>
        <item x="0"/>
        <item m="1" x="12"/>
        <item m="1" x="1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efaultSubtotal="0">
      <items count="8">
        <item x="4"/>
        <item x="5"/>
        <item sd="0" m="1" x="6"/>
        <item x="0"/>
        <item x="1"/>
        <item x="2"/>
        <item x="3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umSubtotal="1">
      <items count="5">
        <item x="0"/>
        <item n="DM nhờn" m="1" x="2"/>
        <item n="DM nhờn2" x="1"/>
        <item m="1" x="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8"/>
    <field x="7"/>
    <field x="6"/>
    <field x="1"/>
  </rowFields>
  <rowItems count="72">
    <i>
      <x/>
    </i>
    <i r="1">
      <x v="3"/>
    </i>
    <i r="2">
      <x v="11"/>
    </i>
    <i r="3">
      <x v="45"/>
    </i>
    <i r="3">
      <x v="46"/>
    </i>
    <i r="1">
      <x v="4"/>
    </i>
    <i r="2">
      <x v="7"/>
    </i>
    <i r="3">
      <x v="11"/>
    </i>
    <i r="1">
      <x v="5"/>
    </i>
    <i r="2">
      <x v="3"/>
    </i>
    <i r="3">
      <x v="8"/>
    </i>
    <i r="3">
      <x v="48"/>
    </i>
    <i r="1">
      <x v="6"/>
    </i>
    <i r="2">
      <x/>
    </i>
    <i r="3">
      <x v="7"/>
    </i>
    <i r="3">
      <x v="8"/>
    </i>
    <i r="3">
      <x v="48"/>
    </i>
    <i>
      <x v="2"/>
    </i>
    <i r="1">
      <x/>
    </i>
    <i r="2">
      <x v="1"/>
    </i>
    <i r="3">
      <x v="1"/>
    </i>
    <i r="3">
      <x v="17"/>
    </i>
    <i r="3">
      <x v="19"/>
    </i>
    <i r="3">
      <x v="23"/>
    </i>
    <i r="3">
      <x v="24"/>
    </i>
    <i r="3">
      <x v="34"/>
    </i>
    <i r="3">
      <x v="35"/>
    </i>
    <i r="3">
      <x v="39"/>
    </i>
    <i r="3">
      <x v="40"/>
    </i>
    <i r="3">
      <x v="41"/>
    </i>
    <i r="2">
      <x v="4"/>
    </i>
    <i r="3">
      <x v="20"/>
    </i>
    <i r="3">
      <x v="38"/>
    </i>
    <i r="2">
      <x v="6"/>
    </i>
    <i r="3">
      <x v="12"/>
    </i>
    <i r="3">
      <x v="13"/>
    </i>
    <i r="3">
      <x v="21"/>
    </i>
    <i r="3">
      <x v="22"/>
    </i>
    <i r="3">
      <x v="33"/>
    </i>
    <i r="2">
      <x v="9"/>
    </i>
    <i r="3">
      <x v="2"/>
    </i>
    <i r="3">
      <x v="25"/>
    </i>
    <i r="3">
      <x v="28"/>
    </i>
    <i r="3">
      <x v="29"/>
    </i>
    <i r="3">
      <x v="32"/>
    </i>
    <i r="3">
      <x v="37"/>
    </i>
    <i r="1">
      <x v="1"/>
    </i>
    <i r="2">
      <x v="2"/>
    </i>
    <i r="3">
      <x v="5"/>
    </i>
    <i r="3">
      <x v="6"/>
    </i>
    <i r="3">
      <x v="9"/>
    </i>
    <i r="3">
      <x v="10"/>
    </i>
    <i r="3">
      <x v="18"/>
    </i>
    <i r="2">
      <x v="4"/>
    </i>
    <i r="3">
      <x/>
    </i>
    <i r="3">
      <x v="3"/>
    </i>
    <i r="3">
      <x v="14"/>
    </i>
    <i r="3">
      <x v="15"/>
    </i>
    <i r="3">
      <x v="16"/>
    </i>
    <i r="3">
      <x v="36"/>
    </i>
    <i r="3">
      <x v="42"/>
    </i>
    <i r="3">
      <x v="43"/>
    </i>
    <i r="3">
      <x v="44"/>
    </i>
    <i r="2">
      <x v="5"/>
    </i>
    <i r="3">
      <x v="4"/>
    </i>
    <i r="2">
      <x v="8"/>
    </i>
    <i r="3">
      <x v="47"/>
    </i>
    <i r="2">
      <x v="10"/>
    </i>
    <i r="3">
      <x v="26"/>
    </i>
    <i r="3">
      <x v="27"/>
    </i>
    <i r="3">
      <x v="30"/>
    </i>
    <i r="3">
      <x v="31"/>
    </i>
  </rowItems>
  <colFields count="3">
    <field x="5"/>
    <field x="4"/>
    <field x="3"/>
  </colFields>
  <colItems count="22">
    <i>
      <x/>
      <x v="3"/>
      <x v="1"/>
    </i>
    <i r="1">
      <x v="4"/>
      <x v="2"/>
    </i>
    <i t="sum">
      <x/>
    </i>
    <i>
      <x v="1"/>
      <x v="1"/>
      <x v="10"/>
    </i>
    <i r="1">
      <x v="5"/>
      <x v="4"/>
    </i>
    <i r="1">
      <x v="6"/>
      <x v="8"/>
    </i>
    <i r="1">
      <x v="7"/>
      <x v="6"/>
    </i>
    <i r="1">
      <x v="8"/>
      <x v="5"/>
    </i>
    <i t="sum">
      <x v="1"/>
    </i>
    <i>
      <x v="2"/>
      <x/>
      <x v="7"/>
    </i>
    <i r="1">
      <x v="1"/>
      <x v="10"/>
    </i>
    <i r="1">
      <x v="5"/>
      <x v="4"/>
    </i>
    <i r="1">
      <x v="8"/>
      <x v="5"/>
    </i>
    <i r="1">
      <x v="9"/>
      <x v="11"/>
    </i>
    <i r="1">
      <x v="10"/>
      <x/>
    </i>
    <i r="1">
      <x v="11"/>
      <x v="3"/>
    </i>
    <i r="1">
      <x v="12"/>
      <x v="9"/>
    </i>
    <i r="1">
      <x v="14"/>
      <x v="13"/>
    </i>
    <i t="sum">
      <x v="2"/>
    </i>
    <i>
      <x v="3"/>
      <x v="3"/>
      <x v="1"/>
    </i>
    <i r="1">
      <x v="4"/>
      <x v="2"/>
    </i>
    <i t="sum">
      <x v="3"/>
    </i>
  </colItems>
  <dataFields count="1">
    <dataField name="Tên Xăng Dầu" fld="2" baseField="0" baseItem="0"/>
  </dataFields>
  <formats count="136">
    <format dxfId="189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0"/>
          </reference>
        </references>
      </pivotArea>
    </format>
    <format dxfId="188">
      <pivotArea dataOnly="0" labelOnly="1" fieldPosition="0">
        <references count="3">
          <reference field="3" count="1">
            <x v="10"/>
          </reference>
          <reference field="4" count="1" selected="0">
            <x v="1"/>
          </reference>
          <reference field="5" count="1" selected="0">
            <x v="1"/>
          </reference>
        </references>
      </pivotArea>
    </format>
    <format dxfId="187">
      <pivotArea dataOnly="0" labelOnly="1" fieldPosition="0">
        <references count="3">
          <reference field="3" count="4">
            <x v="4"/>
            <x v="5"/>
            <x v="6"/>
            <x v="8"/>
          </reference>
          <reference field="4" count="1" selected="0">
            <x v="2"/>
          </reference>
          <reference field="5" count="1" selected="0">
            <x v="1"/>
          </reference>
        </references>
      </pivotArea>
    </format>
    <format dxfId="186">
      <pivotArea dataOnly="0" labelOnly="1" fieldPosition="0">
        <references count="3">
          <reference field="3" count="2">
            <x v="7"/>
            <x v="10"/>
          </reference>
          <reference field="4" count="1" selected="0">
            <x v="0"/>
          </reference>
          <reference field="5" count="1" selected="0">
            <x v="2"/>
          </reference>
        </references>
      </pivotArea>
    </format>
    <format dxfId="185">
      <pivotArea dataOnly="0" labelOnly="1" fieldPosition="0">
        <references count="3">
          <reference field="3" count="5">
            <x v="0"/>
            <x v="3"/>
            <x v="5"/>
            <x v="9"/>
            <x v="11"/>
          </reference>
          <reference field="4" count="1" selected="0">
            <x v="2"/>
          </reference>
          <reference field="5" count="1" selected="0">
            <x v="2"/>
          </reference>
        </references>
      </pivotArea>
    </format>
    <format dxfId="184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3"/>
          </reference>
        </references>
      </pivotArea>
    </format>
    <format dxfId="183">
      <pivotArea dataOnly="0" labelOnly="1" fieldPosition="0">
        <references count="1">
          <reference field="5" count="0"/>
        </references>
      </pivotArea>
    </format>
    <format dxfId="182">
      <pivotArea dataOnly="0" labelOnly="1" fieldPosition="0">
        <references count="2">
          <reference field="4" count="1">
            <x v="2"/>
          </reference>
          <reference field="5" count="1" selected="0">
            <x v="0"/>
          </reference>
        </references>
      </pivotArea>
    </format>
    <format dxfId="181">
      <pivotArea dataOnly="0" labelOnly="1" fieldPosition="0">
        <references count="2">
          <reference field="4" count="2">
            <x v="1"/>
            <x v="2"/>
          </reference>
          <reference field="5" count="1" selected="0">
            <x v="1"/>
          </reference>
        </references>
      </pivotArea>
    </format>
    <format dxfId="180">
      <pivotArea dataOnly="0" labelOnly="1" fieldPosition="0">
        <references count="2">
          <reference field="4" count="2">
            <x v="0"/>
            <x v="2"/>
          </reference>
          <reference field="5" count="1" selected="0">
            <x v="2"/>
          </reference>
        </references>
      </pivotArea>
    </format>
    <format dxfId="179">
      <pivotArea dataOnly="0" labelOnly="1" fieldPosition="0">
        <references count="1">
          <reference field="5" count="0"/>
        </references>
      </pivotArea>
    </format>
    <format dxfId="178">
      <pivotArea dataOnly="0" labelOnly="1" fieldPosition="0">
        <references count="2">
          <reference field="4" count="1">
            <x v="2"/>
          </reference>
          <reference field="5" count="1" selected="0">
            <x v="0"/>
          </reference>
        </references>
      </pivotArea>
    </format>
    <format dxfId="177">
      <pivotArea dataOnly="0" labelOnly="1" fieldPosition="0">
        <references count="2">
          <reference field="4" count="2">
            <x v="0"/>
            <x v="2"/>
          </reference>
          <reference field="5" count="1" selected="0">
            <x v="2"/>
          </reference>
        </references>
      </pivotArea>
    </format>
    <format dxfId="176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0"/>
          </reference>
        </references>
      </pivotArea>
    </format>
    <format dxfId="175">
      <pivotArea dataOnly="0" labelOnly="1" fieldPosition="0">
        <references count="3">
          <reference field="3" count="2">
            <x v="7"/>
            <x v="10"/>
          </reference>
          <reference field="4" count="1" selected="0">
            <x v="0"/>
          </reference>
          <reference field="5" count="1" selected="0">
            <x v="2"/>
          </reference>
        </references>
      </pivotArea>
    </format>
    <format dxfId="174">
      <pivotArea dataOnly="0" labelOnly="1" fieldPosition="0">
        <references count="3">
          <reference field="3" count="5">
            <x v="0"/>
            <x v="3"/>
            <x v="5"/>
            <x v="9"/>
            <x v="11"/>
          </reference>
          <reference field="4" count="1" selected="0">
            <x v="2"/>
          </reference>
          <reference field="5" count="1" selected="0">
            <x v="2"/>
          </reference>
        </references>
      </pivotArea>
    </format>
    <format dxfId="173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3"/>
          </reference>
        </references>
      </pivotArea>
    </format>
    <format dxfId="172">
      <pivotArea dataOnly="0" labelOnly="1" fieldPosition="0">
        <references count="3">
          <reference field="3" count="1">
            <x v="5"/>
          </reference>
          <reference field="4" count="1" selected="0">
            <x v="2"/>
          </reference>
          <reference field="5" count="1" selected="0">
            <x v="1"/>
          </reference>
        </references>
      </pivotArea>
    </format>
    <format dxfId="171">
      <pivotArea dataOnly="0" labelOnly="1" fieldPosition="0">
        <references count="1">
          <reference field="6" count="0"/>
        </references>
      </pivotArea>
    </format>
    <format dxfId="170">
      <pivotArea dataOnly="0" labelOnly="1" fieldPosition="0">
        <references count="1">
          <reference field="8" count="1">
            <x v="0"/>
          </reference>
        </references>
      </pivotArea>
    </format>
    <format dxfId="169">
      <pivotArea dataOnly="0" labelOnly="1" fieldPosition="0">
        <references count="1">
          <reference field="8" count="1">
            <x v="2"/>
          </reference>
        </references>
      </pivotArea>
    </format>
    <format dxfId="168">
      <pivotArea outline="0" collapsedLevelsAreSubtotals="1" fieldPosition="0"/>
    </format>
    <format dxfId="167">
      <pivotArea outline="0" collapsedLevelsAreSubtotals="1" fieldPosition="0"/>
    </format>
    <format dxfId="166">
      <pivotArea collapsedLevelsAreSubtotals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165">
      <pivotArea dataOnly="0" labelOnly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164">
      <pivotArea collapsedLevelsAreSubtotals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163">
      <pivotArea dataOnly="0" labelOnly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162">
      <pivotArea collapsedLevelsAreSubtotals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161">
      <pivotArea dataOnly="0" labelOnly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160">
      <pivotArea collapsedLevelsAreSubtotals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159">
      <pivotArea dataOnly="0" labelOnly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158">
      <pivotArea dataOnly="0" labelOnly="1" fieldPosition="0">
        <references count="2">
          <reference field="7" count="1">
            <x v="0"/>
          </reference>
          <reference field="8" count="1" selected="0">
            <x v="2"/>
          </reference>
        </references>
      </pivotArea>
    </format>
    <format dxfId="157">
      <pivotArea dataOnly="0" labelOnly="1" fieldPosition="0">
        <references count="2">
          <reference field="7" count="1">
            <x v="1"/>
          </reference>
          <reference field="8" count="1" selected="0">
            <x v="2"/>
          </reference>
        </references>
      </pivotArea>
    </format>
    <format dxfId="156">
      <pivotArea collapsedLevelsAreSubtotals="1" fieldPosition="0">
        <references count="2">
          <reference field="7" count="1">
            <x v="0"/>
          </reference>
          <reference field="8" count="1" selected="0">
            <x v="2"/>
          </reference>
        </references>
      </pivotArea>
    </format>
    <format dxfId="155">
      <pivotArea dataOnly="0" labelOnly="1" fieldPosition="0">
        <references count="2">
          <reference field="7" count="1">
            <x v="0"/>
          </reference>
          <reference field="8" count="1" selected="0">
            <x v="2"/>
          </reference>
        </references>
      </pivotArea>
    </format>
    <format dxfId="154">
      <pivotArea collapsedLevelsAreSubtotals="1" fieldPosition="0">
        <references count="1">
          <reference field="8" count="1">
            <x v="2"/>
          </reference>
        </references>
      </pivotArea>
    </format>
    <format dxfId="153">
      <pivotArea dataOnly="0" labelOnly="1" fieldPosition="0">
        <references count="1">
          <reference field="8" count="1">
            <x v="2"/>
          </reference>
        </references>
      </pivotArea>
    </format>
    <format dxfId="152">
      <pivotArea collapsedLevelsAreSubtotals="1" fieldPosition="0">
        <references count="3">
          <reference field="6" count="1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151">
      <pivotArea dataOnly="0" labelOnly="1" fieldPosition="0">
        <references count="3">
          <reference field="6" count="1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150">
      <pivotArea collapsedLevelsAreSubtotals="1" fieldPosition="0">
        <references count="3">
          <reference field="6" count="1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149">
      <pivotArea dataOnly="0" labelOnly="1" fieldPosition="0">
        <references count="3">
          <reference field="6" count="1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148">
      <pivotArea collapsedLevelsAreSubtotals="1" fieldPosition="0">
        <references count="3">
          <reference field="6" count="1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147">
      <pivotArea dataOnly="0" labelOnly="1" fieldPosition="0">
        <references count="3">
          <reference field="6" count="1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146">
      <pivotArea collapsedLevelsAreSubtotals="1" fieldPosition="0">
        <references count="3">
          <reference field="6" count="1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145">
      <pivotArea dataOnly="0" labelOnly="1" fieldPosition="0">
        <references count="3">
          <reference field="6" count="1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144">
      <pivotArea collapsedLevelsAreSubtotals="1" fieldPosition="0">
        <references count="2">
          <reference field="7" count="1">
            <x v="1"/>
          </reference>
          <reference field="8" count="1" selected="0">
            <x v="2"/>
          </reference>
        </references>
      </pivotArea>
    </format>
    <format dxfId="143">
      <pivotArea dataOnly="0" labelOnly="1" fieldPosition="0">
        <references count="2">
          <reference field="7" count="1">
            <x v="1"/>
          </reference>
          <reference field="8" count="1" selected="0">
            <x v="2"/>
          </reference>
        </references>
      </pivotArea>
    </format>
    <format dxfId="142">
      <pivotArea collapsedLevelsAreSubtotals="1" fieldPosition="0">
        <references count="3">
          <reference field="6" count="1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41">
      <pivotArea dataOnly="0" labelOnly="1" fieldPosition="0">
        <references count="3">
          <reference field="6" count="1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40">
      <pivotArea collapsedLevelsAreSubtotals="1" fieldPosition="0">
        <references count="3">
          <reference field="6" count="1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39">
      <pivotArea dataOnly="0" labelOnly="1" fieldPosition="0">
        <references count="3">
          <reference field="6" count="1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38">
      <pivotArea collapsedLevelsAreSubtotals="1" fieldPosition="0">
        <references count="3">
          <reference field="6" count="1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37">
      <pivotArea dataOnly="0" labelOnly="1" fieldPosition="0">
        <references count="3">
          <reference field="6" count="1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36">
      <pivotArea collapsedLevelsAreSubtotals="1" fieldPosition="0">
        <references count="3">
          <reference field="6" count="1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35">
      <pivotArea dataOnly="0" labelOnly="1" fieldPosition="0">
        <references count="3">
          <reference field="6" count="1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34">
      <pivotArea collapsedLevelsAreSubtotals="1" fieldPosition="0">
        <references count="3">
          <reference field="6" count="1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33">
      <pivotArea dataOnly="0" labelOnly="1" fieldPosition="0">
        <references count="3">
          <reference field="6" count="1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32">
      <pivotArea outline="0" collapsedLevelsAreSubtotals="1" fieldPosition="0"/>
    </format>
    <format dxfId="131">
      <pivotArea dataOnly="0" labelOnly="1" fieldPosition="0">
        <references count="1">
          <reference field="8" count="0"/>
        </references>
      </pivotArea>
    </format>
    <format dxfId="130">
      <pivotArea dataOnly="0" labelOnly="1" fieldPosition="0">
        <references count="2">
          <reference field="7" count="4">
            <x v="3"/>
            <x v="4"/>
            <x v="5"/>
            <x v="6"/>
          </reference>
          <reference field="8" count="1" selected="0">
            <x v="0"/>
          </reference>
        </references>
      </pivotArea>
    </format>
    <format dxfId="129">
      <pivotArea dataOnly="0" labelOnly="1" fieldPosition="0">
        <references count="2">
          <reference field="7" count="2">
            <x v="0"/>
            <x v="1"/>
          </reference>
          <reference field="8" count="1" selected="0">
            <x v="2"/>
          </reference>
        </references>
      </pivotArea>
    </format>
    <format dxfId="128">
      <pivotArea dataOnly="0" labelOnly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127">
      <pivotArea dataOnly="0" labelOnly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126">
      <pivotArea dataOnly="0" labelOnly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125">
      <pivotArea dataOnly="0" labelOnly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124">
      <pivotArea dataOnly="0" labelOnly="1" fieldPosition="0">
        <references count="3">
          <reference field="6" count="4">
            <x v="1"/>
            <x v="4"/>
            <x v="6"/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123">
      <pivotArea dataOnly="0" labelOnly="1" fieldPosition="0">
        <references count="3">
          <reference field="6" count="5">
            <x v="2"/>
            <x v="4"/>
            <x v="5"/>
            <x v="8"/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22">
      <pivotArea dataOnly="0" labelOnly="1" fieldPosition="0">
        <references count="4">
          <reference field="1" count="2">
            <x v="45"/>
            <x v="46"/>
          </reference>
          <reference field="6" count="1" selected="0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121">
      <pivotArea dataOnly="0" labelOnly="1" fieldPosition="0">
        <references count="4">
          <reference field="1" count="1">
            <x v="11"/>
          </reference>
          <reference field="6" count="1" selected="0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120">
      <pivotArea dataOnly="0" labelOnly="1" fieldPosition="0">
        <references count="4">
          <reference field="1" count="2">
            <x v="8"/>
            <x v="48"/>
          </reference>
          <reference field="6" count="1" selected="0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119">
      <pivotArea dataOnly="0" labelOnly="1" fieldPosition="0">
        <references count="4">
          <reference field="1" count="3">
            <x v="7"/>
            <x v="8"/>
            <x v="48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118">
      <pivotArea dataOnly="0" labelOnly="1" fieldPosition="0">
        <references count="4">
          <reference field="1" count="10">
            <x v="1"/>
            <x v="17"/>
            <x v="19"/>
            <x v="23"/>
            <x v="24"/>
            <x v="34"/>
            <x v="35"/>
            <x v="39"/>
            <x v="40"/>
            <x v="41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117">
      <pivotArea dataOnly="0" labelOnly="1" fieldPosition="0">
        <references count="4">
          <reference field="1" count="2">
            <x v="20"/>
            <x v="38"/>
          </reference>
          <reference field="6" count="1" selected="0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116">
      <pivotArea dataOnly="0" labelOnly="1" fieldPosition="0">
        <references count="4">
          <reference field="1" count="5">
            <x v="12"/>
            <x v="13"/>
            <x v="21"/>
            <x v="22"/>
            <x v="33"/>
          </reference>
          <reference field="6" count="1" selected="0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115">
      <pivotArea dataOnly="0" labelOnly="1" fieldPosition="0">
        <references count="4">
          <reference field="1" count="6">
            <x v="2"/>
            <x v="25"/>
            <x v="28"/>
            <x v="29"/>
            <x v="32"/>
            <x v="37"/>
          </reference>
          <reference field="6" count="1" selected="0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114">
      <pivotArea dataOnly="0" labelOnly="1" fieldPosition="0">
        <references count="4">
          <reference field="1" count="5">
            <x v="5"/>
            <x v="6"/>
            <x v="9"/>
            <x v="10"/>
            <x v="18"/>
          </reference>
          <reference field="6" count="1" selected="0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13">
      <pivotArea dataOnly="0" labelOnly="1" fieldPosition="0">
        <references count="4">
          <reference field="1" count="9">
            <x v="0"/>
            <x v="3"/>
            <x v="14"/>
            <x v="15"/>
            <x v="16"/>
            <x v="36"/>
            <x v="42"/>
            <x v="43"/>
            <x v="44"/>
          </reference>
          <reference field="6" count="1" selected="0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12">
      <pivotArea dataOnly="0" labelOnly="1" fieldPosition="0">
        <references count="4">
          <reference field="1" count="1">
            <x v="4"/>
          </reference>
          <reference field="6" count="1" selected="0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11">
      <pivotArea dataOnly="0" labelOnly="1" fieldPosition="0">
        <references count="4">
          <reference field="1" count="1">
            <x v="47"/>
          </reference>
          <reference field="6" count="1" selected="0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10">
      <pivotArea dataOnly="0" labelOnly="1" fieldPosition="0">
        <references count="4">
          <reference field="1" count="4">
            <x v="26"/>
            <x v="27"/>
            <x v="30"/>
            <x v="31"/>
          </reference>
          <reference field="6" count="1" selected="0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09">
      <pivotArea type="all" dataOnly="0" outline="0" fieldPosition="0"/>
    </format>
    <format dxfId="108">
      <pivotArea outline="0" collapsedLevelsAreSubtotals="1" fieldPosition="0"/>
    </format>
    <format dxfId="107">
      <pivotArea type="origin" dataOnly="0" labelOnly="1" outline="0" fieldPosition="0"/>
    </format>
    <format dxfId="106">
      <pivotArea field="5" type="button" dataOnly="0" labelOnly="1" outline="0" axis="axisCol" fieldPosition="0"/>
    </format>
    <format dxfId="105">
      <pivotArea field="4" type="button" dataOnly="0" labelOnly="1" outline="0" axis="axisCol" fieldPosition="1"/>
    </format>
    <format dxfId="104">
      <pivotArea field="3" type="button" dataOnly="0" labelOnly="1" outline="0" axis="axisCol" fieldPosition="2"/>
    </format>
    <format dxfId="103">
      <pivotArea type="topRight" dataOnly="0" labelOnly="1" outline="0" fieldPosition="0"/>
    </format>
    <format dxfId="102">
      <pivotArea field="8" type="button" dataOnly="0" labelOnly="1" outline="0" axis="axisRow" fieldPosition="0"/>
    </format>
    <format dxfId="101">
      <pivotArea dataOnly="0" labelOnly="1" fieldPosition="0">
        <references count="1">
          <reference field="8" count="0"/>
        </references>
      </pivotArea>
    </format>
    <format dxfId="100">
      <pivotArea dataOnly="0" labelOnly="1" fieldPosition="0">
        <references count="2">
          <reference field="7" count="4">
            <x v="3"/>
            <x v="4"/>
            <x v="5"/>
            <x v="6"/>
          </reference>
          <reference field="8" count="1" selected="0">
            <x v="0"/>
          </reference>
        </references>
      </pivotArea>
    </format>
    <format dxfId="99">
      <pivotArea dataOnly="0" labelOnly="1" fieldPosition="0">
        <references count="2">
          <reference field="7" count="2">
            <x v="0"/>
            <x v="1"/>
          </reference>
          <reference field="8" count="1" selected="0">
            <x v="2"/>
          </reference>
        </references>
      </pivotArea>
    </format>
    <format dxfId="98">
      <pivotArea dataOnly="0" labelOnly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97">
      <pivotArea dataOnly="0" labelOnly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96">
      <pivotArea dataOnly="0" labelOnly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95">
      <pivotArea dataOnly="0" labelOnly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94">
      <pivotArea dataOnly="0" labelOnly="1" fieldPosition="0">
        <references count="3">
          <reference field="6" count="4">
            <x v="1"/>
            <x v="4"/>
            <x v="6"/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3">
      <pivotArea dataOnly="0" labelOnly="1" fieldPosition="0">
        <references count="3">
          <reference field="6" count="5">
            <x v="2"/>
            <x v="4"/>
            <x v="5"/>
            <x v="8"/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92">
      <pivotArea dataOnly="0" labelOnly="1" fieldPosition="0">
        <references count="4">
          <reference field="1" count="2">
            <x v="45"/>
            <x v="46"/>
          </reference>
          <reference field="6" count="1" selected="0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91">
      <pivotArea dataOnly="0" labelOnly="1" fieldPosition="0">
        <references count="4">
          <reference field="1" count="1">
            <x v="11"/>
          </reference>
          <reference field="6" count="1" selected="0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90">
      <pivotArea dataOnly="0" labelOnly="1" fieldPosition="0">
        <references count="4">
          <reference field="1" count="2">
            <x v="8"/>
            <x v="48"/>
          </reference>
          <reference field="6" count="1" selected="0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89">
      <pivotArea dataOnly="0" labelOnly="1" fieldPosition="0">
        <references count="4">
          <reference field="1" count="3">
            <x v="7"/>
            <x v="8"/>
            <x v="48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88">
      <pivotArea dataOnly="0" labelOnly="1" fieldPosition="0">
        <references count="4">
          <reference field="1" count="10">
            <x v="1"/>
            <x v="17"/>
            <x v="19"/>
            <x v="23"/>
            <x v="24"/>
            <x v="34"/>
            <x v="35"/>
            <x v="39"/>
            <x v="40"/>
            <x v="41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87">
      <pivotArea dataOnly="0" labelOnly="1" fieldPosition="0">
        <references count="4">
          <reference field="1" count="2">
            <x v="20"/>
            <x v="38"/>
          </reference>
          <reference field="6" count="1" selected="0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86">
      <pivotArea dataOnly="0" labelOnly="1" fieldPosition="0">
        <references count="4">
          <reference field="1" count="5">
            <x v="12"/>
            <x v="13"/>
            <x v="21"/>
            <x v="22"/>
            <x v="33"/>
          </reference>
          <reference field="6" count="1" selected="0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85">
      <pivotArea dataOnly="0" labelOnly="1" fieldPosition="0">
        <references count="4">
          <reference field="1" count="6">
            <x v="2"/>
            <x v="25"/>
            <x v="28"/>
            <x v="29"/>
            <x v="32"/>
            <x v="37"/>
          </reference>
          <reference field="6" count="1" selected="0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84">
      <pivotArea dataOnly="0" labelOnly="1" fieldPosition="0">
        <references count="4">
          <reference field="1" count="5">
            <x v="5"/>
            <x v="6"/>
            <x v="9"/>
            <x v="10"/>
            <x v="18"/>
          </reference>
          <reference field="6" count="1" selected="0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3">
      <pivotArea dataOnly="0" labelOnly="1" fieldPosition="0">
        <references count="4">
          <reference field="1" count="9">
            <x v="0"/>
            <x v="3"/>
            <x v="14"/>
            <x v="15"/>
            <x v="16"/>
            <x v="36"/>
            <x v="42"/>
            <x v="43"/>
            <x v="44"/>
          </reference>
          <reference field="6" count="1" selected="0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2">
      <pivotArea dataOnly="0" labelOnly="1" fieldPosition="0">
        <references count="4">
          <reference field="1" count="1">
            <x v="4"/>
          </reference>
          <reference field="6" count="1" selected="0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1">
      <pivotArea dataOnly="0" labelOnly="1" fieldPosition="0">
        <references count="4">
          <reference field="1" count="1">
            <x v="47"/>
          </reference>
          <reference field="6" count="1" selected="0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0">
      <pivotArea dataOnly="0" labelOnly="1" fieldPosition="0">
        <references count="4">
          <reference field="1" count="4">
            <x v="26"/>
            <x v="27"/>
            <x v="30"/>
            <x v="31"/>
          </reference>
          <reference field="6" count="1" selected="0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79">
      <pivotArea dataOnly="0" labelOnly="1" outline="0" fieldPosition="0">
        <references count="1">
          <reference field="5" count="0"/>
        </references>
      </pivotArea>
    </format>
    <format dxfId="78">
      <pivotArea dataOnly="0" labelOnly="1" outline="0" fieldPosition="0">
        <references count="1">
          <reference field="5" count="0" sumSubtotal="1"/>
        </references>
      </pivotArea>
    </format>
    <format dxfId="77">
      <pivotArea dataOnly="0" labelOnly="1" fieldPosition="0">
        <references count="2">
          <reference field="4" count="2">
            <x v="3"/>
            <x v="4"/>
          </reference>
          <reference field="5" count="1" selected="0">
            <x v="0"/>
          </reference>
        </references>
      </pivotArea>
    </format>
    <format dxfId="76">
      <pivotArea dataOnly="0" labelOnly="1" fieldPosition="0">
        <references count="2">
          <reference field="4" count="5">
            <x v="1"/>
            <x v="5"/>
            <x v="6"/>
            <x v="7"/>
            <x v="8"/>
          </reference>
          <reference field="5" count="1" selected="0">
            <x v="1"/>
          </reference>
        </references>
      </pivotArea>
    </format>
    <format dxfId="75">
      <pivotArea dataOnly="0" labelOnly="1" fieldPosition="0">
        <references count="2">
          <reference field="4" count="6">
            <x v="0"/>
            <x v="8"/>
            <x v="9"/>
            <x v="10"/>
            <x v="11"/>
            <x v="12"/>
          </reference>
          <reference field="5" count="1" selected="0">
            <x v="2"/>
          </reference>
        </references>
      </pivotArea>
    </format>
    <format dxfId="74">
      <pivotArea dataOnly="0" labelOnly="1" fieldPosition="0">
        <references count="2">
          <reference field="4" count="2">
            <x v="3"/>
            <x v="4"/>
          </reference>
          <reference field="5" count="1" selected="0">
            <x v="3"/>
          </reference>
        </references>
      </pivotArea>
    </format>
    <format dxfId="73">
      <pivotArea dataOnly="0" labelOnly="1" fieldPosition="0">
        <references count="3">
          <reference field="3" count="1">
            <x v="1"/>
          </reference>
          <reference field="4" count="1" selected="0">
            <x v="3"/>
          </reference>
          <reference field="5" count="1" selected="0">
            <x v="0"/>
          </reference>
        </references>
      </pivotArea>
    </format>
    <format dxfId="72">
      <pivotArea dataOnly="0" labelOnly="1" fieldPosition="0">
        <references count="3">
          <reference field="3" count="1">
            <x v="2"/>
          </reference>
          <reference field="4" count="1" selected="0">
            <x v="4"/>
          </reference>
          <reference field="5" count="1" selected="0">
            <x v="0"/>
          </reference>
        </references>
      </pivotArea>
    </format>
    <format dxfId="71">
      <pivotArea dataOnly="0" labelOnly="1" fieldPosition="0">
        <references count="3">
          <reference field="3" count="1">
            <x v="10"/>
          </reference>
          <reference field="4" count="1" selected="0">
            <x v="1"/>
          </reference>
          <reference field="5" count="1" selected="0">
            <x v="1"/>
          </reference>
        </references>
      </pivotArea>
    </format>
    <format dxfId="70">
      <pivotArea dataOnly="0" labelOnly="1" fieldPosition="0">
        <references count="3">
          <reference field="3" count="1">
            <x v="4"/>
          </reference>
          <reference field="4" count="1" selected="0">
            <x v="5"/>
          </reference>
          <reference field="5" count="1" selected="0">
            <x v="1"/>
          </reference>
        </references>
      </pivotArea>
    </format>
    <format dxfId="69">
      <pivotArea dataOnly="0" labelOnly="1" fieldPosition="0">
        <references count="3">
          <reference field="3" count="1">
            <x v="8"/>
          </reference>
          <reference field="4" count="1" selected="0">
            <x v="6"/>
          </reference>
          <reference field="5" count="1" selected="0">
            <x v="1"/>
          </reference>
        </references>
      </pivotArea>
    </format>
    <format dxfId="68">
      <pivotArea dataOnly="0" labelOnly="1" fieldPosition="0">
        <references count="3">
          <reference field="3" count="1">
            <x v="6"/>
          </reference>
          <reference field="4" count="1" selected="0">
            <x v="7"/>
          </reference>
          <reference field="5" count="1" selected="0">
            <x v="1"/>
          </reference>
        </references>
      </pivotArea>
    </format>
    <format dxfId="67">
      <pivotArea dataOnly="0" labelOnly="1" fieldPosition="0">
        <references count="3">
          <reference field="3" count="1">
            <x v="5"/>
          </reference>
          <reference field="4" count="1" selected="0">
            <x v="8"/>
          </reference>
          <reference field="5" count="1" selected="0">
            <x v="1"/>
          </reference>
        </references>
      </pivotArea>
    </format>
    <format dxfId="66">
      <pivotArea dataOnly="0" labelOnly="1" fieldPosition="0">
        <references count="3">
          <reference field="3" count="2">
            <x v="7"/>
            <x v="10"/>
          </reference>
          <reference field="4" count="1" selected="0">
            <x v="0"/>
          </reference>
          <reference field="5" count="1" selected="0">
            <x v="2"/>
          </reference>
        </references>
      </pivotArea>
    </format>
    <format dxfId="65">
      <pivotArea dataOnly="0" labelOnly="1" fieldPosition="0">
        <references count="3">
          <reference field="3" count="1">
            <x v="5"/>
          </reference>
          <reference field="4" count="1" selected="0">
            <x v="8"/>
          </reference>
          <reference field="5" count="1" selected="0">
            <x v="2"/>
          </reference>
        </references>
      </pivotArea>
    </format>
    <format dxfId="64">
      <pivotArea dataOnly="0" labelOnly="1" fieldPosition="0">
        <references count="3">
          <reference field="3" count="1">
            <x v="11"/>
          </reference>
          <reference field="4" count="1" selected="0">
            <x v="9"/>
          </reference>
          <reference field="5" count="1" selected="0">
            <x v="2"/>
          </reference>
        </references>
      </pivotArea>
    </format>
    <format dxfId="63">
      <pivotArea dataOnly="0" labelOnly="1" fieldPosition="0">
        <references count="3">
          <reference field="3" count="1">
            <x v="0"/>
          </reference>
          <reference field="4" count="1" selected="0">
            <x v="10"/>
          </reference>
          <reference field="5" count="1" selected="0">
            <x v="2"/>
          </reference>
        </references>
      </pivotArea>
    </format>
    <format dxfId="62">
      <pivotArea dataOnly="0" labelOnly="1" fieldPosition="0">
        <references count="3">
          <reference field="3" count="1">
            <x v="3"/>
          </reference>
          <reference field="4" count="1" selected="0">
            <x v="11"/>
          </reference>
          <reference field="5" count="1" selected="0">
            <x v="2"/>
          </reference>
        </references>
      </pivotArea>
    </format>
    <format dxfId="61">
      <pivotArea dataOnly="0" labelOnly="1" fieldPosition="0">
        <references count="3">
          <reference field="3" count="1">
            <x v="9"/>
          </reference>
          <reference field="4" count="1" selected="0">
            <x v="12"/>
          </reference>
          <reference field="5" count="1" selected="0">
            <x v="2"/>
          </reference>
        </references>
      </pivotArea>
    </format>
    <format dxfId="60">
      <pivotArea dataOnly="0" labelOnly="1" fieldPosition="0">
        <references count="3">
          <reference field="3" count="1">
            <x v="1"/>
          </reference>
          <reference field="4" count="1" selected="0">
            <x v="3"/>
          </reference>
          <reference field="5" count="1" selected="0">
            <x v="3"/>
          </reference>
        </references>
      </pivotArea>
    </format>
    <format dxfId="59">
      <pivotArea dataOnly="0" labelOnly="1" fieldPosition="0">
        <references count="3">
          <reference field="3" count="1">
            <x v="2"/>
          </reference>
          <reference field="4" count="1" selected="0">
            <x v="4"/>
          </reference>
          <reference field="5" count="1" selected="0">
            <x v="3"/>
          </reference>
        </references>
      </pivotArea>
    </format>
    <format dxfId="58">
      <pivotArea dataOnly="0" labelOnly="1" fieldPosition="0">
        <references count="1">
          <reference field="8" count="1">
            <x v="0"/>
          </reference>
        </references>
      </pivotArea>
    </format>
    <format dxfId="57">
      <pivotArea dataOnly="0" labelOnly="1" fieldPosition="0">
        <references count="1">
          <reference field="8" count="1">
            <x v="0"/>
          </reference>
        </references>
      </pivotArea>
    </format>
    <format dxfId="56">
      <pivotArea collapsedLevelsAreSubtotals="1" fieldPosition="0">
        <references count="1">
          <reference field="8" count="1">
            <x v="0"/>
          </reference>
        </references>
      </pivotArea>
    </format>
    <format dxfId="55">
      <pivotArea dataOnly="0" labelOnly="1" fieldPosition="0">
        <references count="1">
          <reference field="8" count="1">
            <x v="0"/>
          </reference>
        </references>
      </pivotArea>
    </format>
    <format dxfId="54">
      <pivotArea collapsedLevelsAreSubtotals="1" fieldPosition="0">
        <references count="7">
          <reference field="1" count="1">
            <x v="7"/>
          </reference>
          <reference field="3" count="1" selected="0">
            <x v="8"/>
          </reference>
          <reference field="4" count="1" selected="0">
            <x v="6"/>
          </reference>
          <reference field="5" count="1" selected="0">
            <x v="1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</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gridDropZones="1" multipleFieldFilters="0">
  <location ref="A3:M44" firstHeaderRow="2" firstDataRow="2" firstDataCol="7"/>
  <pivotFields count="18"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axis="axisRow" compact="0" numFmtId="166" outline="0" subtotalTop="0" showAll="0" defaultSubtotal="0">
      <items count="2">
        <item m="1" x="1"/>
        <item x="0"/>
      </items>
    </pivotField>
    <pivotField axis="axisRow" compact="0" numFmtId="166" outline="0" subtotalTop="0" showAll="0" defaultSubtotal="0">
      <items count="1">
        <item x="0"/>
      </items>
    </pivotField>
    <pivotField axis="axisRow" compact="0" outline="0" subtotalTop="0" showAll="0" defaultSubtotal="0">
      <items count="1">
        <item x="0"/>
      </items>
    </pivotField>
    <pivotField axis="axisRow" compact="0" outline="0" subtotalTop="0" showAll="0" defaultSubtotal="0">
      <items count="1">
        <item x="0"/>
      </items>
    </pivotField>
    <pivotField axis="axisRow" compact="0" outline="0" subtotalTop="0" showAll="0" defaultSubtotal="0">
      <items count="9">
        <item h="1" x="3"/>
        <item h="1" x="1"/>
        <item h="1" x="0"/>
        <item h="1" x="2"/>
        <item x="6"/>
        <item x="7"/>
        <item x="5"/>
        <item x="4"/>
        <item h="1" x="8"/>
      </items>
    </pivotField>
    <pivotField compact="0" outline="0" subtotalTop="0" showAll="0" defaultSubtotal="0"/>
    <pivotField axis="axisRow" compact="0" outline="0" subtotalTop="0" showAll="0" defaultSubtotal="0">
      <items count="12">
        <item x="0"/>
        <item x="4"/>
        <item x="2"/>
        <item x="3"/>
        <item x="1"/>
        <item m="1" x="10"/>
        <item m="1" x="11"/>
        <item x="5"/>
        <item x="6"/>
        <item x="7"/>
        <item x="8"/>
        <item x="9"/>
      </items>
    </pivotField>
    <pivotField axis="axisRow" compact="0" outline="0" subtotalTop="0" showAll="0" defaultSubtotal="0">
      <items count="8">
        <item x="3"/>
        <item x="2"/>
        <item x="1"/>
        <item x="0"/>
        <item m="1" x="7"/>
        <item x="4"/>
        <item x="5"/>
        <item x="6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66" outline="0" subtotalTop="0" showAll="0" defaultSubtotal="0"/>
    <pivotField compact="0" numFmtId="166" outline="0" subtotalTop="0" showAll="0" defaultSubtotal="0"/>
    <pivotField compact="0" outline="0" dragToRow="0" dragToCol="0" dragToPage="0" showAll="0" defaultSubtotal="0"/>
  </pivotFields>
  <rowFields count="7">
    <field x="8"/>
    <field x="11"/>
    <field x="10"/>
    <field x="4"/>
    <field x="5"/>
    <field x="6"/>
    <field x="7"/>
  </rowFields>
  <rowItems count="40">
    <i>
      <x v="4"/>
      <x/>
      <x v="1"/>
      <x v="1"/>
      <x/>
      <x/>
      <x/>
    </i>
    <i r="2">
      <x v="7"/>
      <x v="1"/>
      <x/>
      <x/>
      <x/>
    </i>
    <i r="2">
      <x v="8"/>
      <x v="1"/>
      <x/>
      <x/>
      <x/>
    </i>
    <i r="1">
      <x v="1"/>
      <x v="2"/>
      <x v="1"/>
      <x/>
      <x/>
      <x/>
    </i>
    <i r="2">
      <x v="3"/>
      <x v="1"/>
      <x/>
      <x/>
      <x/>
    </i>
    <i r="1">
      <x v="2"/>
      <x v="4"/>
      <x v="1"/>
      <x/>
      <x/>
      <x/>
    </i>
    <i r="1">
      <x v="3"/>
      <x/>
      <x v="1"/>
      <x/>
      <x/>
      <x/>
    </i>
    <i r="1">
      <x v="5"/>
      <x v="9"/>
      <x v="1"/>
      <x/>
      <x/>
      <x/>
    </i>
    <i r="1">
      <x v="6"/>
      <x v="10"/>
      <x v="1"/>
      <x/>
      <x/>
      <x/>
    </i>
    <i r="1">
      <x v="7"/>
      <x v="11"/>
      <x v="1"/>
      <x/>
      <x/>
      <x/>
    </i>
    <i>
      <x v="5"/>
      <x/>
      <x v="1"/>
      <x v="1"/>
      <x/>
      <x/>
      <x/>
    </i>
    <i r="2">
      <x v="7"/>
      <x v="1"/>
      <x/>
      <x/>
      <x/>
    </i>
    <i r="2">
      <x v="8"/>
      <x v="1"/>
      <x/>
      <x/>
      <x/>
    </i>
    <i r="1">
      <x v="1"/>
      <x v="2"/>
      <x v="1"/>
      <x/>
      <x/>
      <x/>
    </i>
    <i r="2">
      <x v="3"/>
      <x v="1"/>
      <x/>
      <x/>
      <x/>
    </i>
    <i r="1">
      <x v="2"/>
      <x v="4"/>
      <x v="1"/>
      <x/>
      <x/>
      <x/>
    </i>
    <i r="1">
      <x v="3"/>
      <x/>
      <x v="1"/>
      <x/>
      <x/>
      <x/>
    </i>
    <i r="1">
      <x v="5"/>
      <x v="9"/>
      <x v="1"/>
      <x/>
      <x/>
      <x/>
    </i>
    <i r="1">
      <x v="6"/>
      <x v="10"/>
      <x v="1"/>
      <x/>
      <x/>
      <x/>
    </i>
    <i r="1">
      <x v="7"/>
      <x v="11"/>
      <x v="1"/>
      <x/>
      <x/>
      <x/>
    </i>
    <i>
      <x v="6"/>
      <x/>
      <x v="1"/>
      <x v="1"/>
      <x/>
      <x/>
      <x/>
    </i>
    <i r="2">
      <x v="7"/>
      <x v="1"/>
      <x/>
      <x/>
      <x/>
    </i>
    <i r="2">
      <x v="8"/>
      <x v="1"/>
      <x/>
      <x/>
      <x/>
    </i>
    <i r="1">
      <x v="1"/>
      <x v="2"/>
      <x v="1"/>
      <x/>
      <x/>
      <x/>
    </i>
    <i r="2">
      <x v="3"/>
      <x v="1"/>
      <x/>
      <x/>
      <x/>
    </i>
    <i r="1">
      <x v="2"/>
      <x v="4"/>
      <x v="1"/>
      <x/>
      <x/>
      <x/>
    </i>
    <i r="1">
      <x v="3"/>
      <x/>
      <x v="1"/>
      <x/>
      <x/>
      <x/>
    </i>
    <i r="1">
      <x v="5"/>
      <x v="9"/>
      <x v="1"/>
      <x/>
      <x/>
      <x/>
    </i>
    <i r="1">
      <x v="6"/>
      <x v="10"/>
      <x v="1"/>
      <x/>
      <x/>
      <x/>
    </i>
    <i r="1">
      <x v="7"/>
      <x v="11"/>
      <x v="1"/>
      <x/>
      <x/>
      <x/>
    </i>
    <i>
      <x v="7"/>
      <x/>
      <x v="1"/>
      <x v="1"/>
      <x/>
      <x/>
      <x/>
    </i>
    <i r="2">
      <x v="7"/>
      <x v="1"/>
      <x/>
      <x/>
      <x/>
    </i>
    <i r="2">
      <x v="8"/>
      <x v="1"/>
      <x/>
      <x/>
      <x/>
    </i>
    <i r="1">
      <x v="1"/>
      <x v="2"/>
      <x v="1"/>
      <x/>
      <x/>
      <x/>
    </i>
    <i r="2">
      <x v="3"/>
      <x v="1"/>
      <x/>
      <x/>
      <x/>
    </i>
    <i r="1">
      <x v="2"/>
      <x v="4"/>
      <x v="1"/>
      <x/>
      <x/>
      <x/>
    </i>
    <i r="1">
      <x v="3"/>
      <x/>
      <x v="1"/>
      <x/>
      <x/>
      <x/>
    </i>
    <i r="1">
      <x v="5"/>
      <x v="9"/>
      <x v="1"/>
      <x/>
      <x/>
      <x/>
    </i>
    <i r="1">
      <x v="6"/>
      <x v="10"/>
      <x v="1"/>
      <x/>
      <x/>
      <x/>
    </i>
    <i r="1">
      <x v="7"/>
      <x v="11"/>
      <x v="1"/>
      <x/>
      <x/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gridDropZones="1" multipleFieldFilters="0">
  <location ref="A3:L94" firstHeaderRow="2" firstDataRow="2" firstDataCol="6"/>
  <pivotFields count="18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">
        <item x="0"/>
        <item m="1" x="1"/>
      </items>
    </pivotField>
    <pivotField axis="axisRow" compact="0" numFmtId="166" outline="0" showAll="0" defaultSubtotal="0">
      <items count="1">
        <item x="0"/>
      </items>
    </pivotField>
    <pivotField compact="0" outline="0" showAll="0" defaultSubtotal="0"/>
    <pivotField axis="axisRow" compact="0" outline="0" showAll="0" defaultSubtotal="0">
      <items count="1">
        <item x="0"/>
      </items>
    </pivotField>
    <pivotField axis="axisRow" compact="0" outline="0" showAll="0" defaultSubtotal="0">
      <items count="9">
        <item x="3"/>
        <item x="1"/>
        <item x="0"/>
        <item x="2"/>
        <item x="6"/>
        <item x="7"/>
        <item x="5"/>
        <item x="4"/>
        <item x="8"/>
      </items>
    </pivotField>
    <pivotField compact="0" outline="0" showAll="0" defaultSubtotal="0"/>
    <pivotField axis="axisRow" compact="0" outline="0" showAll="0" defaultSubtotal="0">
      <items count="12">
        <item x="6"/>
        <item x="0"/>
        <item x="4"/>
        <item x="2"/>
        <item x="3"/>
        <item x="1"/>
        <item x="7"/>
        <item x="8"/>
        <item m="1" x="10"/>
        <item m="1" x="11"/>
        <item x="9"/>
        <item x="5"/>
      </items>
    </pivotField>
    <pivotField axis="axisRow" compact="0" outline="0" showAll="0" defaultSubtotal="0">
      <items count="8">
        <item x="3"/>
        <item x="2"/>
        <item x="1"/>
        <item x="4"/>
        <item x="5"/>
        <item x="0"/>
        <item m="1" x="7"/>
        <item x="6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numFmtId="166" outline="0" showAll="0" defaultSubtotal="0"/>
    <pivotField compact="0" numFmtId="166" outline="0" showAll="0" defaultSubtotal="0"/>
    <pivotField compact="0" outline="0" dragToRow="0" dragToCol="0" dragToPage="0" showAll="0" defaultSubtotal="0"/>
  </pivotFields>
  <rowFields count="6">
    <field x="8"/>
    <field x="11"/>
    <field x="10"/>
    <field x="4"/>
    <field x="5"/>
    <field x="7"/>
  </rowFields>
  <rowItems count="90">
    <i>
      <x/>
      <x/>
      <x/>
      <x/>
      <x/>
      <x/>
    </i>
    <i r="2">
      <x v="2"/>
      <x/>
      <x/>
      <x/>
    </i>
    <i r="2">
      <x v="11"/>
      <x/>
      <x/>
      <x/>
    </i>
    <i r="1">
      <x v="1"/>
      <x v="3"/>
      <x/>
      <x/>
      <x/>
    </i>
    <i r="2">
      <x v="4"/>
      <x/>
      <x/>
      <x/>
    </i>
    <i r="1">
      <x v="2"/>
      <x v="5"/>
      <x/>
      <x/>
      <x/>
    </i>
    <i r="1">
      <x v="3"/>
      <x v="6"/>
      <x/>
      <x/>
      <x/>
    </i>
    <i r="1">
      <x v="4"/>
      <x v="7"/>
      <x/>
      <x/>
      <x/>
    </i>
    <i r="1">
      <x v="5"/>
      <x v="1"/>
      <x/>
      <x/>
      <x/>
    </i>
    <i r="1">
      <x v="7"/>
      <x v="10"/>
      <x/>
      <x/>
      <x/>
    </i>
    <i>
      <x v="1"/>
      <x/>
      <x/>
      <x/>
      <x/>
      <x/>
    </i>
    <i r="2">
      <x v="2"/>
      <x/>
      <x/>
      <x/>
    </i>
    <i r="2">
      <x v="11"/>
      <x/>
      <x/>
      <x/>
    </i>
    <i r="1">
      <x v="1"/>
      <x v="3"/>
      <x/>
      <x/>
      <x/>
    </i>
    <i r="2">
      <x v="4"/>
      <x/>
      <x/>
      <x/>
    </i>
    <i r="1">
      <x v="2"/>
      <x v="5"/>
      <x/>
      <x/>
      <x/>
    </i>
    <i r="1">
      <x v="3"/>
      <x v="6"/>
      <x/>
      <x/>
      <x/>
    </i>
    <i r="1">
      <x v="4"/>
      <x v="7"/>
      <x/>
      <x/>
      <x/>
    </i>
    <i r="1">
      <x v="5"/>
      <x v="1"/>
      <x/>
      <x/>
      <x/>
    </i>
    <i r="1">
      <x v="7"/>
      <x v="10"/>
      <x/>
      <x/>
      <x/>
    </i>
    <i>
      <x v="2"/>
      <x/>
      <x/>
      <x/>
      <x/>
      <x/>
    </i>
    <i r="2">
      <x v="2"/>
      <x/>
      <x/>
      <x/>
    </i>
    <i r="2">
      <x v="11"/>
      <x/>
      <x/>
      <x/>
    </i>
    <i r="1">
      <x v="1"/>
      <x v="3"/>
      <x/>
      <x/>
      <x/>
    </i>
    <i r="2">
      <x v="4"/>
      <x/>
      <x/>
      <x/>
    </i>
    <i r="1">
      <x v="2"/>
      <x v="5"/>
      <x/>
      <x/>
      <x/>
    </i>
    <i r="1">
      <x v="3"/>
      <x v="6"/>
      <x/>
      <x/>
      <x/>
    </i>
    <i r="1">
      <x v="4"/>
      <x v="7"/>
      <x/>
      <x/>
      <x/>
    </i>
    <i r="1">
      <x v="5"/>
      <x v="1"/>
      <x/>
      <x/>
      <x/>
    </i>
    <i r="1">
      <x v="7"/>
      <x v="10"/>
      <x/>
      <x/>
      <x/>
    </i>
    <i>
      <x v="3"/>
      <x/>
      <x/>
      <x/>
      <x/>
      <x/>
    </i>
    <i r="2">
      <x v="2"/>
      <x/>
      <x/>
      <x/>
    </i>
    <i r="2">
      <x v="11"/>
      <x/>
      <x/>
      <x/>
    </i>
    <i r="1">
      <x v="1"/>
      <x v="3"/>
      <x/>
      <x/>
      <x/>
    </i>
    <i r="2">
      <x v="4"/>
      <x/>
      <x/>
      <x/>
    </i>
    <i r="1">
      <x v="2"/>
      <x v="5"/>
      <x/>
      <x/>
      <x/>
    </i>
    <i r="1">
      <x v="3"/>
      <x v="6"/>
      <x/>
      <x/>
      <x/>
    </i>
    <i r="1">
      <x v="4"/>
      <x v="7"/>
      <x/>
      <x/>
      <x/>
    </i>
    <i r="1">
      <x v="5"/>
      <x v="1"/>
      <x/>
      <x/>
      <x/>
    </i>
    <i r="1">
      <x v="7"/>
      <x v="10"/>
      <x/>
      <x/>
      <x/>
    </i>
    <i>
      <x v="4"/>
      <x/>
      <x/>
      <x/>
      <x/>
      <x/>
    </i>
    <i r="2">
      <x v="2"/>
      <x/>
      <x/>
      <x/>
    </i>
    <i r="2">
      <x v="11"/>
      <x/>
      <x/>
      <x/>
    </i>
    <i r="1">
      <x v="1"/>
      <x v="3"/>
      <x/>
      <x/>
      <x/>
    </i>
    <i r="2">
      <x v="4"/>
      <x/>
      <x/>
      <x/>
    </i>
    <i r="1">
      <x v="2"/>
      <x v="5"/>
      <x/>
      <x/>
      <x/>
    </i>
    <i r="1">
      <x v="3"/>
      <x v="6"/>
      <x/>
      <x/>
      <x/>
    </i>
    <i r="1">
      <x v="4"/>
      <x v="7"/>
      <x/>
      <x/>
      <x/>
    </i>
    <i r="1">
      <x v="5"/>
      <x v="1"/>
      <x/>
      <x/>
      <x/>
    </i>
    <i r="1">
      <x v="7"/>
      <x v="10"/>
      <x/>
      <x/>
      <x/>
    </i>
    <i>
      <x v="5"/>
      <x/>
      <x/>
      <x/>
      <x/>
      <x/>
    </i>
    <i r="2">
      <x v="2"/>
      <x/>
      <x/>
      <x/>
    </i>
    <i r="2">
      <x v="11"/>
      <x/>
      <x/>
      <x/>
    </i>
    <i r="1">
      <x v="1"/>
      <x v="3"/>
      <x/>
      <x/>
      <x/>
    </i>
    <i r="2">
      <x v="4"/>
      <x/>
      <x/>
      <x/>
    </i>
    <i r="1">
      <x v="2"/>
      <x v="5"/>
      <x/>
      <x/>
      <x/>
    </i>
    <i r="1">
      <x v="3"/>
      <x v="6"/>
      <x/>
      <x/>
      <x/>
    </i>
    <i r="1">
      <x v="4"/>
      <x v="7"/>
      <x/>
      <x/>
      <x/>
    </i>
    <i r="1">
      <x v="5"/>
      <x v="1"/>
      <x/>
      <x/>
      <x/>
    </i>
    <i r="1">
      <x v="7"/>
      <x v="10"/>
      <x/>
      <x/>
      <x/>
    </i>
    <i>
      <x v="6"/>
      <x/>
      <x/>
      <x/>
      <x/>
      <x/>
    </i>
    <i r="2">
      <x v="2"/>
      <x/>
      <x/>
      <x/>
    </i>
    <i r="2">
      <x v="11"/>
      <x/>
      <x/>
      <x/>
    </i>
    <i r="1">
      <x v="1"/>
      <x v="3"/>
      <x/>
      <x/>
      <x/>
    </i>
    <i r="2">
      <x v="4"/>
      <x/>
      <x/>
      <x/>
    </i>
    <i r="1">
      <x v="2"/>
      <x v="5"/>
      <x/>
      <x/>
      <x/>
    </i>
    <i r="1">
      <x v="3"/>
      <x v="6"/>
      <x/>
      <x/>
      <x/>
    </i>
    <i r="1">
      <x v="4"/>
      <x v="7"/>
      <x/>
      <x/>
      <x/>
    </i>
    <i r="1">
      <x v="5"/>
      <x v="1"/>
      <x/>
      <x/>
      <x/>
    </i>
    <i r="1">
      <x v="7"/>
      <x v="10"/>
      <x/>
      <x/>
      <x/>
    </i>
    <i>
      <x v="7"/>
      <x/>
      <x/>
      <x/>
      <x/>
      <x/>
    </i>
    <i r="2">
      <x v="2"/>
      <x/>
      <x/>
      <x/>
    </i>
    <i r="2">
      <x v="11"/>
      <x/>
      <x/>
      <x/>
    </i>
    <i r="1">
      <x v="1"/>
      <x v="3"/>
      <x/>
      <x/>
      <x/>
    </i>
    <i r="2">
      <x v="4"/>
      <x/>
      <x/>
      <x/>
    </i>
    <i r="1">
      <x v="2"/>
      <x v="5"/>
      <x/>
      <x/>
      <x/>
    </i>
    <i r="1">
      <x v="3"/>
      <x v="6"/>
      <x/>
      <x/>
      <x/>
    </i>
    <i r="1">
      <x v="4"/>
      <x v="7"/>
      <x/>
      <x/>
      <x/>
    </i>
    <i r="1">
      <x v="5"/>
      <x v="1"/>
      <x/>
      <x/>
      <x/>
    </i>
    <i r="1">
      <x v="7"/>
      <x v="10"/>
      <x/>
      <x/>
      <x/>
    </i>
    <i>
      <x v="8"/>
      <x/>
      <x/>
      <x/>
      <x/>
      <x/>
    </i>
    <i r="2">
      <x v="2"/>
      <x/>
      <x/>
      <x/>
    </i>
    <i r="2">
      <x v="11"/>
      <x/>
      <x/>
      <x/>
    </i>
    <i r="1">
      <x v="1"/>
      <x v="3"/>
      <x/>
      <x/>
      <x/>
    </i>
    <i r="2">
      <x v="4"/>
      <x/>
      <x/>
      <x/>
    </i>
    <i r="1">
      <x v="2"/>
      <x v="5"/>
      <x/>
      <x/>
      <x/>
    </i>
    <i r="1">
      <x v="3"/>
      <x v="6"/>
      <x/>
      <x/>
      <x/>
    </i>
    <i r="1">
      <x v="4"/>
      <x v="7"/>
      <x/>
      <x/>
      <x/>
    </i>
    <i r="1">
      <x v="5"/>
      <x v="1"/>
      <x/>
      <x/>
      <x/>
    </i>
    <i r="1">
      <x v="7"/>
      <x v="10"/>
      <x/>
      <x/>
      <x/>
    </i>
  </rowItems>
  <colItems count="1">
    <i/>
  </colItems>
  <formats count="1">
    <format dxfId="53">
      <pivotArea dataOnly="0" labelOnly="1" outline="0" fieldPosition="0">
        <references count="1">
          <reference field="4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2" cacheId="85" applyNumberFormats="0" applyBorderFormats="0" applyFontFormats="0" applyPatternFormats="0" applyAlignmentFormats="0" applyWidthHeightFormats="1" dataCaption="Values" updatedVersion="6" minRefreshableVersion="3" showDrill="0" useAutoFormatting="1" itemPrintTitles="1" createdVersion="6" indent="0" compact="0" compactData="0" gridDropZones="1" multipleFieldFilters="0">
  <location ref="A3:P95" firstHeaderRow="2" firstDataRow="2" firstDataCol="10"/>
  <pivotFields count="22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numFmtId="166" outline="0" showAll="0" defaultSubtotal="0">
      <items count="1">
        <item x="0"/>
      </items>
    </pivotField>
    <pivotField axis="axisRow" compact="0" numFmtId="166" outline="0" showAll="0" defaultSubtotal="0">
      <items count="1">
        <item x="0"/>
      </items>
    </pivotField>
    <pivotField compact="0" outline="0" showAll="0" defaultSubtotal="0"/>
    <pivotField axis="axisRow" compact="0" outline="0" showAll="0" defaultSubtotal="0">
      <items count="1">
        <item x="0"/>
      </items>
    </pivotField>
    <pivotField axis="axisRow" compact="0" outline="0" showAll="0" defaultSubtotal="0">
      <items count="9">
        <item x="3"/>
        <item x="1"/>
        <item x="0"/>
        <item x="2"/>
        <item x="6"/>
        <item x="7"/>
        <item x="5"/>
        <item x="4"/>
        <item x="8"/>
      </items>
    </pivotField>
    <pivotField compact="0" outline="0" showAll="0" defaultSubtotal="0"/>
    <pivotField axis="axisRow" compact="0" outline="0" showAll="0" defaultSubtotal="0">
      <items count="10">
        <item x="6"/>
        <item x="0"/>
        <item x="4"/>
        <item x="2"/>
        <item x="3"/>
        <item x="1"/>
        <item x="7"/>
        <item x="8"/>
        <item x="9"/>
        <item x="5"/>
      </items>
    </pivotField>
    <pivotField axis="axisRow" compact="0" outline="0" showAll="0" defaultSubtotal="0">
      <items count="7">
        <item x="3"/>
        <item x="2"/>
        <item x="1"/>
        <item x="4"/>
        <item x="5"/>
        <item x="0"/>
        <item x="6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x="0"/>
        <item x="1"/>
        <item x="2"/>
        <item x="3"/>
      </items>
    </pivotField>
    <pivotField axis="axisRow" compact="0" outline="0" showAll="0" defaultSubtotal="0">
      <items count="7">
        <item x="0"/>
        <item x="1"/>
        <item x="4"/>
        <item x="6"/>
        <item x="5"/>
        <item x="2"/>
        <item x="3"/>
      </items>
    </pivotField>
    <pivotField axis="axisRow" compact="0" numFmtId="166" outline="0" showAll="0" defaultSubtotal="0">
      <items count="4">
        <item x="0"/>
        <item x="3"/>
        <item x="1"/>
        <item x="2"/>
      </items>
    </pivotField>
    <pivotField axis="axisRow" compact="0" numFmtId="166" outline="0" showAll="0" defaultSubtotal="0">
      <items count="7">
        <item x="0"/>
        <item x="6"/>
        <item x="4"/>
        <item x="2"/>
        <item x="1"/>
        <item x="5"/>
        <item x="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0">
    <field x="8"/>
    <field x="11"/>
    <field x="10"/>
    <field x="4"/>
    <field x="5"/>
    <field x="7"/>
    <field x="14"/>
    <field x="15"/>
    <field x="16"/>
    <field x="17"/>
  </rowFields>
  <rowItems count="91">
    <i>
      <x/>
      <x/>
      <x/>
      <x/>
      <x/>
      <x/>
      <x/>
      <x/>
      <x/>
      <x/>
    </i>
    <i r="2">
      <x v="2"/>
      <x/>
      <x/>
      <x/>
      <x/>
      <x/>
      <x/>
      <x/>
    </i>
    <i r="2">
      <x v="9"/>
      <x/>
      <x/>
      <x/>
      <x/>
      <x/>
      <x/>
      <x/>
    </i>
    <i r="1">
      <x v="1"/>
      <x v="3"/>
      <x/>
      <x/>
      <x/>
      <x/>
      <x/>
      <x/>
      <x/>
    </i>
    <i r="2">
      <x v="4"/>
      <x/>
      <x/>
      <x/>
      <x/>
      <x/>
      <x/>
      <x/>
    </i>
    <i r="1">
      <x v="2"/>
      <x v="5"/>
      <x/>
      <x/>
      <x/>
      <x/>
      <x/>
      <x/>
      <x/>
    </i>
    <i r="1">
      <x v="3"/>
      <x v="6"/>
      <x/>
      <x/>
      <x/>
      <x/>
      <x/>
      <x/>
      <x/>
    </i>
    <i r="1">
      <x v="4"/>
      <x v="7"/>
      <x/>
      <x/>
      <x/>
      <x/>
      <x/>
      <x/>
      <x/>
    </i>
    <i r="1">
      <x v="5"/>
      <x v="1"/>
      <x/>
      <x/>
      <x/>
      <x/>
      <x/>
      <x/>
      <x/>
    </i>
    <i r="1">
      <x v="6"/>
      <x v="8"/>
      <x/>
      <x/>
      <x/>
      <x/>
      <x/>
      <x/>
      <x/>
    </i>
    <i>
      <x v="1"/>
      <x/>
      <x/>
      <x/>
      <x/>
      <x/>
      <x/>
      <x/>
      <x/>
      <x/>
    </i>
    <i r="2">
      <x v="2"/>
      <x/>
      <x/>
      <x/>
      <x/>
      <x/>
      <x/>
      <x/>
    </i>
    <i r="2">
      <x v="9"/>
      <x/>
      <x/>
      <x/>
      <x/>
      <x/>
      <x/>
      <x/>
    </i>
    <i r="1">
      <x v="1"/>
      <x v="3"/>
      <x/>
      <x/>
      <x/>
      <x/>
      <x/>
      <x/>
      <x/>
    </i>
    <i r="2">
      <x v="4"/>
      <x/>
      <x/>
      <x/>
      <x/>
      <x/>
      <x/>
      <x/>
    </i>
    <i r="1">
      <x v="2"/>
      <x v="5"/>
      <x/>
      <x/>
      <x/>
      <x/>
      <x/>
      <x/>
      <x/>
    </i>
    <i r="1">
      <x v="3"/>
      <x v="6"/>
      <x/>
      <x/>
      <x/>
      <x/>
      <x/>
      <x/>
      <x/>
    </i>
    <i r="1">
      <x v="4"/>
      <x v="7"/>
      <x/>
      <x/>
      <x/>
      <x/>
      <x/>
      <x/>
      <x/>
    </i>
    <i r="1">
      <x v="5"/>
      <x v="1"/>
      <x/>
      <x/>
      <x/>
      <x/>
      <x/>
      <x/>
      <x/>
    </i>
    <i r="1">
      <x v="6"/>
      <x v="8"/>
      <x/>
      <x/>
      <x/>
      <x/>
      <x/>
      <x/>
      <x/>
    </i>
    <i>
      <x v="2"/>
      <x/>
      <x/>
      <x/>
      <x/>
      <x/>
      <x/>
      <x/>
      <x/>
      <x/>
    </i>
    <i r="2">
      <x v="2"/>
      <x/>
      <x/>
      <x/>
      <x/>
      <x/>
      <x/>
      <x/>
    </i>
    <i r="2">
      <x v="9"/>
      <x/>
      <x/>
      <x/>
      <x/>
      <x/>
      <x/>
      <x/>
    </i>
    <i r="1">
      <x v="1"/>
      <x v="3"/>
      <x/>
      <x/>
      <x/>
      <x/>
      <x/>
      <x/>
      <x/>
    </i>
    <i r="2">
      <x v="4"/>
      <x/>
      <x/>
      <x/>
      <x/>
      <x/>
      <x/>
      <x/>
    </i>
    <i r="1">
      <x v="2"/>
      <x v="5"/>
      <x/>
      <x/>
      <x/>
      <x/>
      <x/>
      <x/>
      <x/>
    </i>
    <i r="1">
      <x v="3"/>
      <x v="6"/>
      <x/>
      <x/>
      <x/>
      <x/>
      <x/>
      <x/>
      <x/>
    </i>
    <i r="1">
      <x v="4"/>
      <x v="7"/>
      <x/>
      <x/>
      <x/>
      <x/>
      <x/>
      <x/>
      <x/>
    </i>
    <i r="1">
      <x v="5"/>
      <x v="1"/>
      <x/>
      <x/>
      <x/>
      <x/>
      <x/>
      <x/>
      <x/>
    </i>
    <i r="1">
      <x v="6"/>
      <x v="8"/>
      <x/>
      <x/>
      <x/>
      <x/>
      <x/>
      <x/>
      <x/>
    </i>
    <i>
      <x v="3"/>
      <x/>
      <x/>
      <x/>
      <x/>
      <x/>
      <x/>
      <x/>
      <x/>
      <x/>
    </i>
    <i r="2">
      <x v="2"/>
      <x/>
      <x/>
      <x/>
      <x/>
      <x/>
      <x/>
      <x/>
    </i>
    <i r="2">
      <x v="9"/>
      <x/>
      <x/>
      <x/>
      <x/>
      <x/>
      <x/>
      <x/>
    </i>
    <i r="1">
      <x v="1"/>
      <x v="3"/>
      <x/>
      <x/>
      <x/>
      <x/>
      <x/>
      <x/>
      <x/>
    </i>
    <i r="2">
      <x v="4"/>
      <x/>
      <x/>
      <x/>
      <x/>
      <x/>
      <x/>
      <x/>
    </i>
    <i r="1">
      <x v="2"/>
      <x v="5"/>
      <x/>
      <x/>
      <x/>
      <x/>
      <x/>
      <x/>
      <x/>
    </i>
    <i r="1">
      <x v="3"/>
      <x v="6"/>
      <x/>
      <x/>
      <x/>
      <x/>
      <x/>
      <x/>
      <x/>
    </i>
    <i r="1">
      <x v="4"/>
      <x v="7"/>
      <x/>
      <x/>
      <x/>
      <x/>
      <x/>
      <x/>
      <x/>
    </i>
    <i r="1">
      <x v="5"/>
      <x v="1"/>
      <x/>
      <x/>
      <x/>
      <x/>
      <x/>
      <x/>
      <x/>
    </i>
    <i r="1">
      <x v="6"/>
      <x v="8"/>
      <x/>
      <x/>
      <x/>
      <x/>
      <x/>
      <x/>
      <x/>
    </i>
    <i>
      <x v="4"/>
      <x/>
      <x/>
      <x/>
      <x/>
      <x/>
      <x/>
      <x v="6"/>
      <x/>
      <x v="6"/>
    </i>
    <i r="2">
      <x v="2"/>
      <x/>
      <x/>
      <x/>
      <x/>
      <x v="5"/>
      <x/>
      <x v="3"/>
    </i>
    <i r="2">
      <x v="9"/>
      <x/>
      <x/>
      <x/>
      <x/>
      <x/>
      <x/>
      <x/>
    </i>
    <i r="1">
      <x v="1"/>
      <x v="3"/>
      <x/>
      <x/>
      <x/>
      <x/>
      <x/>
      <x/>
      <x/>
    </i>
    <i r="2">
      <x v="4"/>
      <x/>
      <x/>
      <x/>
      <x/>
      <x/>
      <x/>
      <x/>
    </i>
    <i r="1">
      <x v="2"/>
      <x v="5"/>
      <x/>
      <x/>
      <x/>
      <x/>
      <x/>
      <x/>
      <x/>
    </i>
    <i r="1">
      <x v="3"/>
      <x v="6"/>
      <x/>
      <x/>
      <x/>
      <x/>
      <x/>
      <x/>
      <x/>
    </i>
    <i r="1">
      <x v="4"/>
      <x v="7"/>
      <x/>
      <x/>
      <x/>
      <x/>
      <x/>
      <x/>
      <x/>
    </i>
    <i r="1">
      <x v="5"/>
      <x v="1"/>
      <x/>
      <x/>
      <x/>
      <x v="1"/>
      <x/>
      <x v="2"/>
      <x/>
    </i>
    <i r="1">
      <x v="6"/>
      <x v="8"/>
      <x/>
      <x/>
      <x/>
      <x/>
      <x/>
      <x/>
      <x/>
    </i>
    <i>
      <x v="5"/>
      <x/>
      <x/>
      <x/>
      <x/>
      <x/>
      <x v="3"/>
      <x v="3"/>
      <x v="1"/>
      <x v="1"/>
    </i>
    <i r="2">
      <x v="2"/>
      <x/>
      <x/>
      <x/>
      <x/>
      <x/>
      <x/>
      <x/>
    </i>
    <i r="2">
      <x v="9"/>
      <x/>
      <x/>
      <x/>
      <x/>
      <x v="4"/>
      <x/>
      <x v="5"/>
    </i>
    <i r="1">
      <x v="1"/>
      <x v="3"/>
      <x/>
      <x/>
      <x/>
      <x/>
      <x/>
      <x/>
      <x/>
    </i>
    <i r="2">
      <x v="4"/>
      <x/>
      <x/>
      <x/>
      <x/>
      <x/>
      <x/>
      <x/>
    </i>
    <i r="1">
      <x v="2"/>
      <x v="5"/>
      <x/>
      <x/>
      <x/>
      <x/>
      <x/>
      <x/>
      <x/>
    </i>
    <i r="1">
      <x v="3"/>
      <x v="6"/>
      <x/>
      <x/>
      <x/>
      <x/>
      <x/>
      <x/>
      <x/>
    </i>
    <i r="1">
      <x v="4"/>
      <x v="7"/>
      <x/>
      <x/>
      <x/>
      <x/>
      <x/>
      <x/>
      <x/>
    </i>
    <i r="1">
      <x v="5"/>
      <x v="1"/>
      <x/>
      <x/>
      <x/>
      <x v="2"/>
      <x v="2"/>
      <x v="3"/>
      <x v="2"/>
    </i>
    <i r="1">
      <x v="6"/>
      <x v="8"/>
      <x/>
      <x/>
      <x/>
      <x/>
      <x/>
      <x/>
      <x/>
    </i>
    <i>
      <x v="6"/>
      <x/>
      <x/>
      <x/>
      <x/>
      <x/>
      <x/>
      <x/>
      <x/>
      <x/>
    </i>
    <i r="2">
      <x v="2"/>
      <x/>
      <x/>
      <x/>
      <x/>
      <x/>
      <x/>
      <x/>
    </i>
    <i r="2">
      <x v="9"/>
      <x/>
      <x/>
      <x/>
      <x/>
      <x/>
      <x/>
      <x/>
    </i>
    <i r="1">
      <x v="1"/>
      <x v="3"/>
      <x/>
      <x/>
      <x/>
      <x/>
      <x/>
      <x/>
      <x/>
    </i>
    <i r="2">
      <x v="4"/>
      <x/>
      <x/>
      <x/>
      <x/>
      <x/>
      <x/>
      <x/>
    </i>
    <i r="1">
      <x v="2"/>
      <x v="5"/>
      <x/>
      <x/>
      <x/>
      <x/>
      <x/>
      <x/>
      <x/>
    </i>
    <i r="1">
      <x v="3"/>
      <x v="6"/>
      <x/>
      <x/>
      <x/>
      <x/>
      <x/>
      <x/>
      <x/>
    </i>
    <i r="1">
      <x v="4"/>
      <x v="7"/>
      <x/>
      <x/>
      <x/>
      <x/>
      <x/>
      <x/>
      <x/>
    </i>
    <i r="1">
      <x v="5"/>
      <x v="1"/>
      <x/>
      <x/>
      <x/>
      <x/>
      <x v="1"/>
      <x/>
      <x v="4"/>
    </i>
    <i r="1">
      <x v="6"/>
      <x v="8"/>
      <x/>
      <x/>
      <x/>
      <x/>
      <x/>
      <x/>
      <x/>
    </i>
    <i>
      <x v="7"/>
      <x/>
      <x/>
      <x/>
      <x/>
      <x/>
      <x/>
      <x/>
      <x/>
      <x/>
    </i>
    <i r="2">
      <x v="2"/>
      <x/>
      <x/>
      <x/>
      <x/>
      <x/>
      <x/>
      <x/>
    </i>
    <i r="2">
      <x v="9"/>
      <x/>
      <x/>
      <x/>
      <x/>
      <x/>
      <x/>
      <x/>
    </i>
    <i r="1">
      <x v="1"/>
      <x v="3"/>
      <x/>
      <x/>
      <x/>
      <x/>
      <x/>
      <x/>
      <x/>
    </i>
    <i r="2">
      <x v="4"/>
      <x/>
      <x/>
      <x/>
      <x/>
      <x/>
      <x/>
      <x/>
    </i>
    <i r="1">
      <x v="2"/>
      <x v="5"/>
      <x/>
      <x/>
      <x/>
      <x/>
      <x/>
      <x/>
      <x/>
    </i>
    <i r="1">
      <x v="3"/>
      <x v="6"/>
      <x/>
      <x/>
      <x/>
      <x/>
      <x/>
      <x/>
      <x/>
    </i>
    <i r="1">
      <x v="4"/>
      <x v="7"/>
      <x/>
      <x/>
      <x/>
      <x/>
      <x/>
      <x/>
      <x/>
    </i>
    <i r="1">
      <x v="5"/>
      <x v="1"/>
      <x/>
      <x/>
      <x/>
      <x/>
      <x/>
      <x/>
      <x/>
    </i>
    <i r="1">
      <x v="6"/>
      <x v="8"/>
      <x/>
      <x/>
      <x/>
      <x/>
      <x/>
      <x/>
      <x/>
    </i>
    <i>
      <x v="8"/>
      <x/>
      <x/>
      <x/>
      <x/>
      <x/>
      <x/>
      <x/>
      <x/>
      <x/>
    </i>
    <i r="2">
      <x v="2"/>
      <x/>
      <x/>
      <x/>
      <x/>
      <x/>
      <x/>
      <x/>
    </i>
    <i r="2">
      <x v="9"/>
      <x/>
      <x/>
      <x/>
      <x/>
      <x/>
      <x/>
      <x/>
    </i>
    <i r="1">
      <x v="1"/>
      <x v="3"/>
      <x/>
      <x/>
      <x/>
      <x/>
      <x/>
      <x/>
      <x/>
    </i>
    <i r="2">
      <x v="4"/>
      <x/>
      <x/>
      <x/>
      <x/>
      <x/>
      <x/>
      <x/>
    </i>
    <i r="1">
      <x v="2"/>
      <x v="5"/>
      <x/>
      <x/>
      <x/>
      <x/>
      <x/>
      <x/>
      <x/>
    </i>
    <i r="1">
      <x v="3"/>
      <x v="6"/>
      <x/>
      <x/>
      <x/>
      <x/>
      <x/>
      <x/>
      <x/>
    </i>
    <i r="1">
      <x v="4"/>
      <x v="7"/>
      <x/>
      <x/>
      <x/>
      <x/>
      <x/>
      <x/>
      <x/>
    </i>
    <i r="1">
      <x v="5"/>
      <x v="1"/>
      <x/>
      <x/>
      <x/>
      <x/>
      <x/>
      <x/>
      <x/>
    </i>
    <i r="1">
      <x v="6"/>
      <x v="8"/>
      <x/>
      <x/>
      <x/>
      <x/>
      <x/>
      <x/>
      <x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postgres loaixd2" connectionId="8" autoFormatId="16" applyNumberFormats="0" applyBorderFormats="0" applyFontFormats="0" applyPatternFormats="0" applyAlignmentFormats="0" applyWidthHeightFormats="0">
  <queryTableRefresh nextId="12">
    <queryTableFields count="11">
      <queryTableField id="1" name="id" tableColumnId="1"/>
      <queryTableField id="2" name="maxd" tableColumnId="2"/>
      <queryTableField id="3" name="tenxd" tableColumnId="3"/>
      <queryTableField id="4" name="chungloai" tableColumnId="4"/>
      <queryTableField id="5" name="status" tableColumnId="5"/>
      <queryTableField id="6" name="timestamp" tableColumnId="6"/>
      <queryTableField id="7" name="ut" tableColumnId="7"/>
      <queryTableField id="8" name="type" tableColumnId="8"/>
      <queryTableField id="9" name="r_type" tableColumnId="9"/>
      <queryTableField id="10" name="ut2" tableColumnId="10"/>
      <queryTableField id="11" name="petroleum_type_id" tableColumnId="11"/>
    </queryTableFields>
  </queryTableRefresh>
</queryTable>
</file>

<file path=xl/queryTables/queryTable2.xml><?xml version="1.0" encoding="utf-8"?>
<queryTable xmlns="http://schemas.openxmlformats.org/spreadsheetml/2006/main" name="postgres assignment_type" connectionId="1" autoFormatId="16" applyNumberFormats="0" applyBorderFormats="0" applyFontFormats="0" applyPatternFormats="0" applyAlignmentFormats="0" applyWidthHeightFormats="0">
  <queryTableRefresh nextId="3">
    <queryTableFields count="2">
      <queryTableField id="1" name="id" tableColumnId="1"/>
      <queryTableField id="2" name="name" tableColumnId="2"/>
    </queryTableFields>
  </queryTableRefresh>
</queryTable>
</file>

<file path=xl/queryTables/queryTable3.xml><?xml version="1.0" encoding="utf-8"?>
<queryTable xmlns="http://schemas.openxmlformats.org/spreadsheetml/2006/main" name="postgres petroleum_type" connectionId="12" autoFormatId="16" applyNumberFormats="0" applyBorderFormats="0" applyFontFormats="0" applyPatternFormats="0" applyAlignmentFormats="0" applyWidthHeightFormats="0">
  <queryTableRefresh nextId="5">
    <queryTableFields count="4">
      <queryTableField id="1" name="id" tableColumnId="1"/>
      <queryTableField id="2" name="name" tableColumnId="2"/>
      <queryTableField id="3" name="type" tableColumnId="3"/>
      <queryTableField id="4" name="r_type" tableColumnId="4"/>
    </queryTableFields>
  </queryTableRefresh>
</queryTable>
</file>

<file path=xl/queryTables/queryTable4.xml><?xml version="1.0" encoding="utf-8"?>
<queryTable xmlns="http://schemas.openxmlformats.org/spreadsheetml/2006/main" name="postgres nguon_nx" connectionId="9" autoFormatId="16" applyNumberFormats="0" applyBorderFormats="0" applyFontFormats="0" applyPatternFormats="0" applyAlignmentFormats="0" applyWidthHeightFormats="0">
  <queryTableRefresh nextId="7">
    <queryTableFields count="3">
      <queryTableField id="1" name="id" tableColumnId="1"/>
      <queryTableField id="2" name="ten" tableColumnId="2"/>
      <queryTableField id="4" name="createtime" tableColumnId="4"/>
    </queryTableFields>
  </queryTableRefresh>
</queryTable>
</file>

<file path=xl/queryTables/queryTable5.xml><?xml version="1.0" encoding="utf-8"?>
<queryTable xmlns="http://schemas.openxmlformats.org/spreadsheetml/2006/main" name="postgres tructhuoc" connectionId="14" autoFormatId="16" applyNumberFormats="0" applyBorderFormats="0" applyFontFormats="0" applyPatternFormats="0" applyAlignmentFormats="0" applyWidthHeightFormats="0">
  <queryTableRefresh nextId="5">
    <queryTableFields count="4">
      <queryTableField id="1" name="id" tableColumnId="1"/>
      <queryTableField id="2" name="name" tableColumnId="2"/>
      <queryTableField id="3" name="type" tableColumnId="3"/>
      <queryTableField id="4" name="timestamp" tableColumnId="4"/>
    </queryTableFields>
  </queryTableRefresh>
</queryTable>
</file>

<file path=xl/queryTables/queryTable6.xml><?xml version="1.0" encoding="utf-8"?>
<queryTable xmlns="http://schemas.openxmlformats.org/spreadsheetml/2006/main" name="postgres ledgers" connectionId="7" autoFormatId="16" applyNumberFormats="0" applyBorderFormats="0" applyFontFormats="0" applyPatternFormats="0" applyAlignmentFormats="0" applyWidthHeightFormats="0">
  <queryTableRefresh nextId="9">
    <queryTableFields count="8">
      <queryTableField id="1" name="id" tableColumnId="1"/>
      <queryTableField id="2" name="quarter_id" tableColumnId="2"/>
      <queryTableField id="3" name="bill_id" tableColumnId="3"/>
      <queryTableField id="4" name="amount" tableColumnId="4"/>
      <queryTableField id="5" name="from_date" tableColumnId="5"/>
      <queryTableField id="6" name="end_date" tableColumnId="6"/>
      <queryTableField id="7" name="status" tableColumnId="7"/>
      <queryTableField id="8" name="bill_type_id" tableColumnId="8"/>
    </queryTableFields>
  </queryTableRefresh>
</queryTable>
</file>

<file path=xl/queryTables/queryTable7.xml><?xml version="1.0" encoding="utf-8"?>
<queryTable xmlns="http://schemas.openxmlformats.org/spreadsheetml/2006/main" name="postgres ledger_details_1" connectionId="6" autoFormatId="16" applyNumberFormats="0" applyBorderFormats="0" applyFontFormats="0" applyPatternFormats="0" applyAlignmentFormats="0" applyWidthHeightFormats="0">
  <queryTableRefresh nextId="51">
    <queryTableFields count="50">
      <queryTableField id="1" name="dvi" tableColumnId="1"/>
      <queryTableField id="2" name="ngay" tableColumnId="2"/>
      <queryTableField id="3" name="ma_xd" tableColumnId="3"/>
      <queryTableField id="4" name="ten_xd" tableColumnId="4"/>
      <queryTableField id="5" name="chung_loai" tableColumnId="5"/>
      <queryTableField id="6" name="loai_phieu" tableColumnId="6"/>
      <queryTableField id="7" name="so" tableColumnId="7"/>
      <queryTableField id="8" name="theo_lenh_so" tableColumnId="8"/>
      <queryTableField id="9" name="nhiem_vu" tableColumnId="9"/>
      <queryTableField id="10" name="nguoi_nhan_hang" tableColumnId="10"/>
      <queryTableField id="11" name="so_xe" tableColumnId="11"/>
      <queryTableField id="12" name="chat_luong" tableColumnId="12"/>
      <queryTableField id="13" name="phai_xuat" tableColumnId="13"/>
      <queryTableField id="14" name="nhiet_do_tt" tableColumnId="14"/>
      <queryTableField id="15" name="ty_trong" tableColumnId="15"/>
      <queryTableField id="16" name="he_so_vcf" tableColumnId="16"/>
      <queryTableField id="17" name="thuc_xuat" tableColumnId="17"/>
      <queryTableField id="18" name="don_gia" tableColumnId="18"/>
      <queryTableField id="19" name="thanh_tien" tableColumnId="19"/>
      <queryTableField id="20" name="so_km" tableColumnId="20"/>
      <queryTableField id="21" name="so_gio" tableColumnId="21"/>
      <queryTableField id="22" name="dvvc" tableColumnId="22"/>
      <queryTableField id="23" name="id" tableColumnId="23"/>
      <queryTableField id="24" name="loaixd_id" tableColumnId="24"/>
      <queryTableField id="25" name="nguonnx_id" tableColumnId="25"/>
      <queryTableField id="26" name="cmt" tableColumnId="26"/>
      <queryTableField id="27" name="nguonnx_dvvc_id" tableColumnId="27"/>
      <queryTableField id="28" name="sscd" tableColumnId="28"/>
      <queryTableField id="29" name="denngay" tableColumnId="29"/>
      <queryTableField id="30" name="quarter_id" tableColumnId="30"/>
      <queryTableField id="31" name="timestamp" tableColumnId="31"/>
      <queryTableField id="32" name="tcn_id" tableColumnId="32"/>
      <queryTableField id="33" name="nhiemvu_id" tableColumnId="33"/>
      <queryTableField id="34" name="nvu_tcn_id" tableColumnId="34"/>
      <queryTableField id="35" name="nvu_tructhuoc" tableColumnId="35"/>
      <queryTableField id="36" name="phuongtien_id" tableColumnId="36"/>
      <queryTableField id="37" name="phuongtien_nvu_id" tableColumnId="37"/>
      <queryTableField id="38" name="so_phut" tableColumnId="38"/>
      <queryTableField id="39" name="tonkhotong_id" tableColumnId="39"/>
      <queryTableField id="40" name="tonkho_id" tableColumnId="40"/>
      <queryTableField id="41" name="ledger_id" tableColumnId="41"/>
      <queryTableField id="42" name="import_unit_id" tableColumnId="42"/>
      <queryTableField id="43" name="export_unit_id" tableColumnId="43"/>
      <queryTableField id="44" name="loaigiobay" tableColumnId="44"/>
      <queryTableField id="45" name="dur" tableColumnId="45"/>
      <queryTableField id="46" name="dur_text" tableColumnId="46"/>
      <queryTableField id="47" name="thuc_xuat_tk" tableColumnId="47"/>
      <queryTableField id="48" name="dur_text_tk" tableColumnId="48"/>
      <queryTableField id="49" name="nhiemvu_hanmuc_id" tableColumnId="49"/>
      <queryTableField id="50" name="so_luong" tableColumnId="50"/>
    </queryTableFields>
  </queryTableRefresh>
</queryTable>
</file>

<file path=xl/queryTables/queryTable8.xml><?xml version="1.0" encoding="utf-8"?>
<queryTable xmlns="http://schemas.openxmlformats.org/spreadsheetml/2006/main" name="postgres team" connectionId="13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ame" tableColumnId="2"/>
      <queryTableField id="3" name="team_code" tableColumnId="3"/>
    </queryTableFields>
  </queryTableRefresh>
</queryTable>
</file>

<file path=xl/queryTables/queryTable9.xml><?xml version="1.0" encoding="utf-8"?>
<queryTable xmlns="http://schemas.openxmlformats.org/spreadsheetml/2006/main" name="postgres nhiemvu" connectionId="10" autoFormatId="16" applyNumberFormats="0" applyBorderFormats="0" applyFontFormats="0" applyPatternFormats="0" applyAlignmentFormats="0" applyWidthHeightFormats="0">
  <queryTableRefresh nextId="10">
    <queryTableFields count="9">
      <queryTableField id="1" name="id" tableColumnId="1"/>
      <queryTableField id="2" name="ten_nv" tableColumnId="2"/>
      <queryTableField id="3" name="chitiet" tableColumnId="3"/>
      <queryTableField id="4" name="hm_trenkhong" tableColumnId="4"/>
      <queryTableField id="5" name="hm_matdat" tableColumnId="5"/>
      <queryTableField id="6" name="createtime" tableColumnId="6"/>
      <queryTableField id="7" name="status" tableColumnId="7"/>
      <queryTableField id="8" name="team_id" tableColumnId="8"/>
      <queryTableField id="9" name="assignment_type_id" tableColumnId="9"/>
    </queryTableFields>
  </queryTableRefresh>
</queryTable>
</file>

<file path=xl/queryTables/queryTable10.xml><?xml version="1.0" encoding="utf-8"?>
<queryTable xmlns="http://schemas.openxmlformats.org/spreadsheetml/2006/main" name="postgres chitiet_nhiemvu" connectionId="3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hiemvu_id" tableColumnId="2"/>
      <queryTableField id="3" name="nhiemvu" tableColumnId="3"/>
    </queryTableFields>
  </queryTableRefresh>
</queryTable>
</file>

<file path=xl/queryTables/queryTable11.xml><?xml version="1.0" encoding="utf-8"?>
<queryTable xmlns="http://schemas.openxmlformats.org/spreadsheetml/2006/main" name="postgres hanmuc_nhiemvu" connectionId="4" autoFormatId="16" applyNumberFormats="0" applyBorderFormats="0" applyFontFormats="0" applyPatternFormats="0" applyAlignmentFormats="0" applyWidthHeightFormats="0">
  <queryTableRefresh nextId="9">
    <queryTableFields count="8">
      <queryTableField id="1" name="id" tableColumnId="1"/>
      <queryTableField id="2" name="quarter_id" tableColumnId="2"/>
      <queryTableField id="3" name="unit_id" tableColumnId="3"/>
      <queryTableField id="4" name="nhiemvu_id" tableColumnId="4"/>
      <queryTableField id="5" name="ct_tk" tableColumnId="5"/>
      <queryTableField id="6" name="ct_md" tableColumnId="6"/>
      <queryTableField id="7" name="sum_ct" tableColumnId="7"/>
      <queryTableField id="8" name="consumpt" tableColumnId="8"/>
    </queryTableFields>
  </queryTableRefresh>
</queryTable>
</file>

<file path=xl/queryTables/queryTable12.xml><?xml version="1.0" encoding="utf-8"?>
<queryTable xmlns="http://schemas.openxmlformats.org/spreadsheetml/2006/main" name="ExternalData_2" connectionId="16" autoFormatId="0" applyNumberFormats="0" applyBorderFormats="0" applyFontFormats="1" applyPatternFormats="1" applyAlignmentFormats="0" applyWidthHeightFormats="0">
  <queryTableRefresh preserveSortFilterLayout="0" nextId="18">
    <queryTableFields count="17">
      <queryTableField id="1" name="id" tableColumnId="103"/>
      <queryTableField id="2" name="quarter_id" tableColumnId="104"/>
      <queryTableField id="3" name="unit_id" tableColumnId="105"/>
      <queryTableField id="4" name="nhiemvu_id" tableColumnId="106"/>
      <queryTableField id="5" name="ct_tk" tableColumnId="107"/>
      <queryTableField id="6" name="ct_md" tableColumnId="108"/>
      <queryTableField id="7" name="sum_ct" tableColumnId="109"/>
      <queryTableField id="8" name="consumpt" tableColumnId="110"/>
      <queryTableField id="9" name="NewColumn.ten" tableColumnId="111"/>
      <queryTableField id="10" name="NewColumn.nhiemvu_id" tableColumnId="112"/>
      <queryTableField id="11" name="NewColumn.nhiemvu" tableColumnId="113"/>
      <queryTableField id="12" name="NewColumn.ten_nv" tableColumnId="114"/>
      <queryTableField id="13" name="NewColumn.team_id" tableColumnId="115"/>
      <queryTableField id="14" name="NewColumn.name" tableColumnId="116"/>
      <queryTableField id="15" name="NewColumn.team_code" tableColumnId="117"/>
      <queryTableField id="16" name="ct_tk - Copy" tableColumnId="118"/>
      <queryTableField id="17" name="Custom" tableColumnId="119"/>
    </queryTableFields>
  </queryTableRefresh>
</queryTable>
</file>

<file path=xl/queryTables/queryTable13.xml><?xml version="1.0" encoding="utf-8"?>
<queryTable xmlns="http://schemas.openxmlformats.org/spreadsheetml/2006/main" name="ExternalData_3" connectionId="1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NewColumn.NewColumn.ten" tableColumnId="27"/>
      <queryTableField id="2" name="NewColumn.NewColumn.ten_nv" tableColumnId="28"/>
      <queryTableField id="3" name="NewColumn.NewColumn.nhiemvu" tableColumnId="29"/>
      <queryTableField id="4" name="NewColumn.ct_tk" tableColumnId="30"/>
      <queryTableField id="5" name="NewColumn.ct_md" tableColumnId="31"/>
      <queryTableField id="6" name="tong_hanmuc" tableColumnId="32"/>
      <queryTableField id="7" name="NewColumn.consumpt" tableColumnId="33"/>
      <queryTableField id="8" name="hd_sum_md" tableColumnId="34"/>
      <queryTableField id="9" name="hd_sum_tk" tableColumnId="35"/>
      <queryTableField id="10" name="tong_nl_tieuthu" tableColumnId="36"/>
      <queryTableField id="11" name="giohd_md" tableColumnId="37"/>
      <queryTableField id="12" name="giohd_tk" tableColumnId="38"/>
      <queryTableField id="13" name="tong_giobay" tableColumnId="39"/>
    </queryTableFields>
  </queryTableRefresh>
</queryTable>
</file>

<file path=xl/queryTables/queryTable14.xml><?xml version="1.0" encoding="utf-8"?>
<queryTable xmlns="http://schemas.openxmlformats.org/spreadsheetml/2006/main" name="ExternalData_1" connectionId="17" autoFormatId="0" applyNumberFormats="0" applyBorderFormats="0" applyFontFormats="1" applyPatternFormats="1" applyAlignmentFormats="0" applyWidthHeightFormats="0">
  <queryTableRefresh preserveSortFilterLayout="0" nextId="23" unboundColumnsRight="4">
    <queryTableFields count="22">
      <queryTableField id="1" name="id" tableColumnId="23"/>
      <queryTableField id="2" name="quarter_id" tableColumnId="24"/>
      <queryTableField id="3" name="unit_id" tableColumnId="25"/>
      <queryTableField id="4" name="nhiemvu_id" tableColumnId="26"/>
      <queryTableField id="5" name="ct_tk" tableColumnId="27"/>
      <queryTableField id="6" name="ct_md" tableColumnId="28"/>
      <queryTableField id="7" name="sum_ct" tableColumnId="29"/>
      <queryTableField id="8" name="consumpt" tableColumnId="30"/>
      <queryTableField id="9" name="NewColumn.ten" tableColumnId="31"/>
      <queryTableField id="10" name="NewColumn.nhiemvu_id" tableColumnId="32"/>
      <queryTableField id="11" name="NewColumn.nhiemvu" tableColumnId="33"/>
      <queryTableField id="12" name="NewColumn.ten_nv" tableColumnId="34"/>
      <queryTableField id="13" name="NewColumn.team_id" tableColumnId="35"/>
      <queryTableField id="14" name="NewColumn.name" tableColumnId="36"/>
      <queryTableField id="15" name="nl_matdat" tableColumnId="37"/>
      <queryTableField id="16" name="nl_trenkhong" tableColumnId="38"/>
      <queryTableField id="17" name="gio_hd_md" tableColumnId="39"/>
      <queryTableField id="18" name="gio_hd_trenkhong" tableColumnId="40"/>
      <queryTableField id="22" dataBound="0" tableColumnId="41"/>
      <queryTableField id="21" dataBound="0" tableColumnId="42"/>
      <queryTableField id="20" dataBound="0" tableColumnId="43"/>
      <queryTableField id="19" dataBound="0" tableColumnId="4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table1.xml><?xml version="1.0" encoding="utf-8"?>
<table xmlns="http://schemas.openxmlformats.org/spreadsheetml/2006/main" id="2" name="tb_loaixd2" displayName="tb_loaixd2" ref="B2:L53" tableType="queryTable" totalsRowShown="0">
  <autoFilter ref="B2:L53"/>
  <tableColumns count="11">
    <tableColumn id="1" uniqueName="1" name="id" queryTableFieldId="1"/>
    <tableColumn id="2" uniqueName="2" name="maxd" queryTableFieldId="2"/>
    <tableColumn id="3" uniqueName="3" name="tenxd" queryTableFieldId="3"/>
    <tableColumn id="4" uniqueName="4" name="chungloai" queryTableFieldId="4"/>
    <tableColumn id="5" uniqueName="5" name="status" queryTableFieldId="5"/>
    <tableColumn id="6" uniqueName="6" name="timestamp" queryTableFieldId="6" dataDxfId="203"/>
    <tableColumn id="7" uniqueName="7" name="ut" queryTableFieldId="7"/>
    <tableColumn id="8" uniqueName="8" name="type" queryTableFieldId="8"/>
    <tableColumn id="9" uniqueName="9" name="r_type" queryTableFieldId="9"/>
    <tableColumn id="10" uniqueName="10" name="ut2" queryTableFieldId="10"/>
    <tableColumn id="11" uniqueName="11" name="petroleum_type_id" queryTableField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le_postgres_assignment_type" displayName="Table_postgres_assignment_type" ref="P8:Q10" tableType="queryTable" totalsRowShown="0">
  <autoFilter ref="P8:Q10"/>
  <tableColumns count="2">
    <tableColumn id="1" uniqueName="1" name="id" queryTableFieldId="1"/>
    <tableColumn id="2" uniqueName="2" name="name" queryTableField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4" name="Table_postgres_petroleum_type" displayName="Table_postgres_petroleum_type" ref="S8:V21" tableType="queryTable" totalsRowShown="0">
  <autoFilter ref="S8:V21"/>
  <tableColumns count="4">
    <tableColumn id="1" uniqueName="1" name="id" queryTableFieldId="1"/>
    <tableColumn id="2" uniqueName="2" name="name" queryTableFieldId="2"/>
    <tableColumn id="3" uniqueName="3" name="type" queryTableFieldId="3"/>
    <tableColumn id="4" uniqueName="4" name="r_type" queryTableFieldId="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b_nguon_nx" displayName="tb_nguon_nx" ref="A1:C37" tableType="queryTable" totalsRowShown="0">
  <autoFilter ref="A1:C37"/>
  <tableColumns count="3">
    <tableColumn id="1" uniqueName="1" name="id" queryTableFieldId="1"/>
    <tableColumn id="2" uniqueName="2" name="ten" queryTableFieldId="2"/>
    <tableColumn id="4" uniqueName="4" name="createtime" queryTableFieldId="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3" name="Table_postgres_tructhuoc" displayName="Table_postgres_tructhuoc" ref="F4:I18" tableType="queryTable" totalsRowShown="0">
  <autoFilter ref="F4:I18"/>
  <tableColumns count="4">
    <tableColumn id="1" uniqueName="1" name="id" queryTableFieldId="1"/>
    <tableColumn id="2" uniqueName="2" name="name" queryTableFieldId="2"/>
    <tableColumn id="3" uniqueName="3" name="type" queryTableFieldId="3"/>
    <tableColumn id="4" uniqueName="4" name="timestamp" queryTableFieldId="4" dataDxfId="20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5" name="Table_postgres_ledgers" displayName="Table_postgres_ledgers" ref="BD3:BK17" tableType="queryTable" totalsRowShown="0">
  <autoFilter ref="BD3:BK17"/>
  <tableColumns count="8">
    <tableColumn id="1" uniqueName="1" name="id" queryTableFieldId="1"/>
    <tableColumn id="2" uniqueName="2" name="quarter_id" queryTableFieldId="2"/>
    <tableColumn id="3" uniqueName="3" name="bill_id" queryTableFieldId="3"/>
    <tableColumn id="4" uniqueName="4" name="amount" queryTableFieldId="4"/>
    <tableColumn id="5" uniqueName="5" name="from_date" queryTableFieldId="5" dataDxfId="201"/>
    <tableColumn id="6" uniqueName="6" name="end_date" queryTableFieldId="6" dataDxfId="200"/>
    <tableColumn id="7" uniqueName="7" name="status" queryTableFieldId="7"/>
    <tableColumn id="8" uniqueName="8" name="bill_type_id" queryTableFieldId="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7" name="ledger_detail" displayName="ledger_detail" ref="B3:AY18" tableType="queryTable" totalsRowCount="1">
  <autoFilter ref="B3:AY17"/>
  <tableColumns count="50">
    <tableColumn id="1" uniqueName="1" name="dvi" queryTableFieldId="1"/>
    <tableColumn id="2" uniqueName="2" name="ngay" queryTableFieldId="2"/>
    <tableColumn id="3" uniqueName="3" name="ma_xd" queryTableFieldId="3"/>
    <tableColumn id="4" uniqueName="4" name="ten_xd" queryTableFieldId="4"/>
    <tableColumn id="5" uniqueName="5" name="chung_loai" queryTableFieldId="5"/>
    <tableColumn id="6" uniqueName="6" name="loai_phieu" queryTableFieldId="6"/>
    <tableColumn id="7" uniqueName="7" name="so" queryTableFieldId="7"/>
    <tableColumn id="8" uniqueName="8" name="theo_lenh_so" queryTableFieldId="8"/>
    <tableColumn id="9" uniqueName="9" name="nhiem_vu" queryTableFieldId="9"/>
    <tableColumn id="10" uniqueName="10" name="nguoi_nhan_hang" queryTableFieldId="10"/>
    <tableColumn id="11" uniqueName="11" name="so_xe" queryTableFieldId="11"/>
    <tableColumn id="12" uniqueName="12" name="chat_luong" queryTableFieldId="12"/>
    <tableColumn id="13" uniqueName="13" name="phai_xuat" queryTableFieldId="13"/>
    <tableColumn id="14" uniqueName="14" name="nhiet_do_tt" queryTableFieldId="14"/>
    <tableColumn id="15" uniqueName="15" name="ty_trong" queryTableFieldId="15"/>
    <tableColumn id="16" uniqueName="16" name="he_so_vcf" queryTableFieldId="16"/>
    <tableColumn id="17" uniqueName="17" name="thuc_xuat" queryTableFieldId="17"/>
    <tableColumn id="18" uniqueName="18" name="don_gia" queryTableFieldId="18"/>
    <tableColumn id="19" uniqueName="19" name="thanh_tien" queryTableFieldId="19"/>
    <tableColumn id="20" uniqueName="20" name="so_km" queryTableFieldId="20"/>
    <tableColumn id="21" uniqueName="21" name="so_gio" queryTableFieldId="21"/>
    <tableColumn id="22" uniqueName="22" name="dvvc" queryTableFieldId="22"/>
    <tableColumn id="23" uniqueName="23" name="id" queryTableFieldId="23"/>
    <tableColumn id="24" uniqueName="24" name="loaixd_id" queryTableFieldId="24"/>
    <tableColumn id="25" uniqueName="25" name="nguonnx_id" queryTableFieldId="25"/>
    <tableColumn id="26" uniqueName="26" name="cmt" queryTableFieldId="26"/>
    <tableColumn id="27" uniqueName="27" name="nguonnx_dvvc_id" queryTableFieldId="27"/>
    <tableColumn id="28" uniqueName="28" name="sscd" queryTableFieldId="28"/>
    <tableColumn id="29" uniqueName="29" name="denngay" queryTableFieldId="29"/>
    <tableColumn id="30" uniqueName="30" name="quarter_id" queryTableFieldId="30"/>
    <tableColumn id="31" uniqueName="31" name="timestamp" queryTableFieldId="31" dataDxfId="199" totalsRowDxfId="198"/>
    <tableColumn id="32" uniqueName="32" name="tcn_id" queryTableFieldId="32"/>
    <tableColumn id="33" uniqueName="33" name="nhiemvu_id" queryTableFieldId="33"/>
    <tableColumn id="34" uniqueName="34" name="nvu_tcn_id" queryTableFieldId="34"/>
    <tableColumn id="35" uniqueName="35" name="nvu_tructhuoc" queryTableFieldId="35"/>
    <tableColumn id="36" uniqueName="36" name="phuongtien_id" queryTableFieldId="36"/>
    <tableColumn id="37" uniqueName="37" name="phuongtien_nvu_id" queryTableFieldId="37"/>
    <tableColumn id="38" uniqueName="38" name="so_phut" queryTableFieldId="38"/>
    <tableColumn id="39" uniqueName="39" name="tonkhotong_id" queryTableFieldId="39"/>
    <tableColumn id="40" uniqueName="40" name="tonkho_id" queryTableFieldId="40"/>
    <tableColumn id="41" uniqueName="41" name="ledger_id" queryTableFieldId="41"/>
    <tableColumn id="42" uniqueName="42" name="import_unit_id" queryTableFieldId="42"/>
    <tableColumn id="43" uniqueName="43" name="export_unit_id" queryTableFieldId="43"/>
    <tableColumn id="44" uniqueName="44" name="loaigiobay" queryTableFieldId="44"/>
    <tableColumn id="45" uniqueName="45" name="dur" queryTableFieldId="45" dataDxfId="197" totalsRowDxfId="196"/>
    <tableColumn id="46" uniqueName="46" name="dur_text" queryTableFieldId="46" dataDxfId="195"/>
    <tableColumn id="47" uniqueName="47" name="thuc_xuat_tk" queryTableFieldId="47" dataDxfId="194"/>
    <tableColumn id="48" uniqueName="48" name="dur_text_tk" queryTableFieldId="48" dataDxfId="193"/>
    <tableColumn id="49" uniqueName="49" name="nhiemvu_hanmuc_id" queryTableFieldId="49" dataDxfId="192" totalsRowDxfId="191"/>
    <tableColumn id="50" uniqueName="50" name="so_luong" queryTableFieldId="50" dataDxfId="19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eam_tb" displayName="team_tb" ref="D11:F16" tableType="queryTable" totalsRowShown="0">
  <autoFilter ref="D11:F16"/>
  <tableColumns count="3">
    <tableColumn id="1" uniqueName="1" name="id" queryTableFieldId="1"/>
    <tableColumn id="2" uniqueName="2" name="name" queryTableFieldId="2"/>
    <tableColumn id="3" uniqueName="3" name="team_code" queryTableField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8" name="nv_tb" displayName="nv_tb" ref="I11:Q52" tableType="queryTable" totalsRowShown="0">
  <autoFilter ref="I11:Q52"/>
  <tableColumns count="9">
    <tableColumn id="1" uniqueName="1" name="id" queryTableFieldId="1"/>
    <tableColumn id="2" uniqueName="2" name="ten_nv" queryTableFieldId="2"/>
    <tableColumn id="3" uniqueName="3" name="chitiet" queryTableFieldId="3"/>
    <tableColumn id="4" uniqueName="4" name="hm_trenkhong" queryTableFieldId="4"/>
    <tableColumn id="5" uniqueName="5" name="hm_matdat" queryTableFieldId="5"/>
    <tableColumn id="6" uniqueName="6" name="createtime" queryTableFieldId="6"/>
    <tableColumn id="7" uniqueName="7" name="status" queryTableFieldId="7"/>
    <tableColumn id="8" uniqueName="8" name="team_id" queryTableFieldId="8"/>
    <tableColumn id="9" uniqueName="9" name="assignment_type_id" queryTableFieldId="9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ctnv_tb" displayName="ctnv_tb" ref="S11:U60" tableType="queryTable" totalsRowShown="0">
  <autoFilter ref="S11:U60"/>
  <tableColumns count="3">
    <tableColumn id="1" uniqueName="1" name="id" queryTableFieldId="1"/>
    <tableColumn id="2" uniqueName="2" name="nhiemvu_id" queryTableFieldId="2"/>
    <tableColumn id="3" uniqueName="3" name="nhiemvu" queryTableFieldId="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2" name="hanmuc_nhiemvu" displayName="hanmuc_nhiemvu" ref="X11:AE101" tableType="queryTable" totalsRowShown="0">
  <autoFilter ref="X11:AE101"/>
  <tableColumns count="8">
    <tableColumn id="1" uniqueName="1" name="id" queryTableFieldId="1"/>
    <tableColumn id="2" uniqueName="2" name="quarter_id" queryTableFieldId="2"/>
    <tableColumn id="3" uniqueName="3" name="unit_id" queryTableFieldId="3"/>
    <tableColumn id="4" uniqueName="4" name="nhiemvu_id" queryTableFieldId="4"/>
    <tableColumn id="5" uniqueName="5" name="ct_tk" queryTableFieldId="5"/>
    <tableColumn id="6" uniqueName="6" name="ct_md" queryTableFieldId="6"/>
    <tableColumn id="7" uniqueName="7" name="sum_ct" queryTableFieldId="7"/>
    <tableColumn id="8" uniqueName="8" name="consumpt" queryTableFieldId="8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3" name="hanmuc_nhiemvu_2" displayName="hanmuc_nhiemvu_2" ref="Q2:AG92" tableType="queryTable" totalsRowShown="0" headerRowDxfId="52">
  <autoFilter ref="Q2:AG92"/>
  <sortState ref="Q3:AG92">
    <sortCondition ref="Y2:Y92"/>
  </sortState>
  <tableColumns count="17">
    <tableColumn id="103" uniqueName="103" name="id" queryTableFieldId="1" dataDxfId="51"/>
    <tableColumn id="104" uniqueName="104" name="quarter_id" queryTableFieldId="2" dataDxfId="50"/>
    <tableColumn id="105" uniqueName="105" name="unit_id" queryTableFieldId="3" dataDxfId="49"/>
    <tableColumn id="106" uniqueName="106" name="nhiemvu_id" queryTableFieldId="4" dataDxfId="48"/>
    <tableColumn id="107" uniqueName="107" name="ct_tk" queryTableFieldId="5" dataDxfId="47"/>
    <tableColumn id="108" uniqueName="108" name="ct_md" queryTableFieldId="6" dataDxfId="46"/>
    <tableColumn id="109" uniqueName="109" name="sum_ct" queryTableFieldId="7" dataDxfId="45"/>
    <tableColumn id="110" uniqueName="110" name="consumpt" queryTableFieldId="8" dataDxfId="44"/>
    <tableColumn id="111" uniqueName="111" name="NewColumn.ten" queryTableFieldId="9" dataDxfId="43"/>
    <tableColumn id="112" uniqueName="112" name="NewColumn.nhiemvu_id" queryTableFieldId="10" dataDxfId="42"/>
    <tableColumn id="113" uniqueName="113" name="NewColumn.nhiemvu" queryTableFieldId="11" dataDxfId="41"/>
    <tableColumn id="114" uniqueName="114" name="NewColumn.ten_nv" queryTableFieldId="12" dataDxfId="40"/>
    <tableColumn id="115" uniqueName="115" name="NewColumn.team_id" queryTableFieldId="13" dataDxfId="39"/>
    <tableColumn id="116" uniqueName="116" name="NewColumn.name" queryTableFieldId="14" dataDxfId="38"/>
    <tableColumn id="117" uniqueName="117" name="NewColumn.team_code" queryTableFieldId="15" dataDxfId="37"/>
    <tableColumn id="118" uniqueName="118" name="ct_tk - Copy" queryTableFieldId="16" dataDxfId="36"/>
    <tableColumn id="119" uniqueName="119" name="Custom" queryTableFieldId="17" dataDxfId="35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id="16" name="ledger_detail__3" displayName="ledger_detail__3" ref="A3:M11" tableType="queryTable" totalsRowShown="0">
  <autoFilter ref="A3:M11"/>
  <tableColumns count="13">
    <tableColumn id="27" uniqueName="27" name="NewColumn.NewColumn.ten" queryTableFieldId="1" dataDxfId="34"/>
    <tableColumn id="28" uniqueName="28" name="NewColumn.NewColumn.ten_nv" queryTableFieldId="2" dataDxfId="33"/>
    <tableColumn id="29" uniqueName="29" name="NewColumn.NewColumn.nhiemvu" queryTableFieldId="3" dataDxfId="32"/>
    <tableColumn id="30" uniqueName="30" name="NewColumn.ct_tk" queryTableFieldId="4" dataDxfId="31"/>
    <tableColumn id="31" uniqueName="31" name="NewColumn.ct_md" queryTableFieldId="5" dataDxfId="30"/>
    <tableColumn id="32" uniqueName="32" name="tong_hanmuc" queryTableFieldId="6" dataDxfId="29"/>
    <tableColumn id="33" uniqueName="33" name="NewColumn.consumpt" queryTableFieldId="7" dataDxfId="28"/>
    <tableColumn id="34" uniqueName="34" name="hd_sum_md" queryTableFieldId="8" dataDxfId="27"/>
    <tableColumn id="35" uniqueName="35" name="hd_sum_tk" queryTableFieldId="9" dataDxfId="26"/>
    <tableColumn id="36" uniqueName="36" name="tong_nl_tieuthu" queryTableFieldId="10" dataDxfId="25"/>
    <tableColumn id="37" uniqueName="37" name="giohd_md" queryTableFieldId="11" dataDxfId="24"/>
    <tableColumn id="38" uniqueName="38" name="giohd_tk" queryTableFieldId="12" dataDxfId="23"/>
    <tableColumn id="39" uniqueName="39" name="tong_giobay" queryTableFieldId="13" dataDxfId="22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id="20" name="hanmuc_nhiemvu__3" displayName="hanmuc_nhiemvu__3" ref="A1:V91" tableType="queryTable" totalsRowShown="0">
  <autoFilter ref="A1:V91"/>
  <tableColumns count="22">
    <tableColumn id="23" uniqueName="23" name="id" queryTableFieldId="1" dataDxfId="21"/>
    <tableColumn id="24" uniqueName="24" name="quarter_id" queryTableFieldId="2" dataDxfId="20"/>
    <tableColumn id="25" uniqueName="25" name="unit_id" queryTableFieldId="3" dataDxfId="19"/>
    <tableColumn id="26" uniqueName="26" name="nhiemvu_id" queryTableFieldId="4" dataDxfId="18"/>
    <tableColumn id="27" uniqueName="27" name="ct_tk" queryTableFieldId="5" dataDxfId="17"/>
    <tableColumn id="28" uniqueName="28" name="ct_md" queryTableFieldId="6" dataDxfId="16"/>
    <tableColumn id="29" uniqueName="29" name="sum_ct" queryTableFieldId="7" dataDxfId="15"/>
    <tableColumn id="30" uniqueName="30" name="consumpt" queryTableFieldId="8" dataDxfId="14"/>
    <tableColumn id="31" uniqueName="31" name="NewColumn.ten" queryTableFieldId="9" dataDxfId="13"/>
    <tableColumn id="32" uniqueName="32" name="NewColumn.nhiemvu_id" queryTableFieldId="10" dataDxfId="12"/>
    <tableColumn id="33" uniqueName="33" name="NewColumn.nhiemvu" queryTableFieldId="11" dataDxfId="11"/>
    <tableColumn id="34" uniqueName="34" name="NewColumn.ten_nv" queryTableFieldId="12" dataDxfId="10"/>
    <tableColumn id="35" uniqueName="35" name="NewColumn.team_id" queryTableFieldId="13" dataDxfId="9"/>
    <tableColumn id="36" uniqueName="36" name="NewColumn.name" queryTableFieldId="14" dataDxfId="8"/>
    <tableColumn id="37" uniqueName="37" name="nl_matdat" queryTableFieldId="15" dataDxfId="7"/>
    <tableColumn id="38" uniqueName="38" name="nl_trenkhong" queryTableFieldId="16" dataDxfId="6"/>
    <tableColumn id="39" uniqueName="39" name="gio_hd_md" queryTableFieldId="17" dataDxfId="5"/>
    <tableColumn id="40" uniqueName="40" name="gio_hd_trenkhong" queryTableFieldId="18" dataDxfId="0"/>
    <tableColumn id="41" uniqueName="41" name="Column1" queryTableFieldId="22" dataDxfId="4"/>
    <tableColumn id="42" uniqueName="42" name="Column2" queryTableFieldId="21" dataDxfId="3"/>
    <tableColumn id="43" uniqueName="43" name="Column3" queryTableFieldId="20" dataDxfId="2"/>
    <tableColumn id="44" uniqueName="44" name="Column4" queryTableFieldId="19" dataDxf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AE227"/>
  <sheetViews>
    <sheetView showGridLines="0" topLeftCell="A13" workbookViewId="0">
      <selection activeCell="C48" sqref="C45:O53"/>
    </sheetView>
  </sheetViews>
  <sheetFormatPr defaultRowHeight="15" x14ac:dyDescent="0.25"/>
  <cols>
    <col min="2" max="2" width="8.28515625" style="51" customWidth="1"/>
    <col min="3" max="3" width="30.85546875" customWidth="1"/>
    <col min="4" max="4" width="34.42578125" style="53" customWidth="1"/>
    <col min="5" max="5" width="36.140625" style="53" customWidth="1"/>
    <col min="6" max="6" width="20.42578125" style="53" customWidth="1"/>
    <col min="7" max="7" width="21.28515625" style="77" customWidth="1"/>
    <col min="8" max="8" width="15.85546875" style="53" customWidth="1"/>
    <col min="9" max="9" width="24.7109375" style="53" customWidth="1"/>
    <col min="10" max="10" width="14.5703125" style="53" customWidth="1"/>
    <col min="11" max="11" width="13.7109375" style="50" customWidth="1"/>
    <col min="12" max="12" width="18.140625" style="50" customWidth="1"/>
    <col min="13" max="13" width="12.42578125" style="88" customWidth="1"/>
    <col min="14" max="14" width="11.5703125" style="88" customWidth="1"/>
    <col min="15" max="15" width="14.5703125" style="88" customWidth="1"/>
    <col min="16" max="16" width="11.42578125" style="50" customWidth="1"/>
    <col min="17" max="26" width="11.28515625" customWidth="1"/>
    <col min="27" max="29" width="10.140625" customWidth="1"/>
    <col min="30" max="31" width="8.85546875" customWidth="1"/>
    <col min="32" max="33" width="15.7109375" customWidth="1"/>
  </cols>
  <sheetData>
    <row r="3" spans="1:31" ht="37.5" customHeight="1" x14ac:dyDescent="0.25">
      <c r="B3" s="111" t="s">
        <v>332</v>
      </c>
      <c r="C3" s="111"/>
      <c r="D3" s="111"/>
      <c r="E3" s="111"/>
      <c r="F3" s="111"/>
      <c r="G3" s="111"/>
      <c r="I3" s="111" t="s">
        <v>333</v>
      </c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  <c r="AC3" s="112" t="s">
        <v>334</v>
      </c>
      <c r="AD3" s="113"/>
      <c r="AE3" s="113"/>
    </row>
    <row r="5" spans="1:31" ht="15.75" thickBot="1" x14ac:dyDescent="0.3"/>
    <row r="6" spans="1:31" ht="30" customHeight="1" thickTop="1" x14ac:dyDescent="0.25">
      <c r="A6" s="44"/>
      <c r="B6" s="119" t="s">
        <v>203</v>
      </c>
      <c r="C6" s="114" t="s">
        <v>315</v>
      </c>
      <c r="D6" s="121" t="s">
        <v>316</v>
      </c>
      <c r="E6" s="121"/>
      <c r="F6" s="121"/>
      <c r="G6" s="121"/>
      <c r="H6" s="121" t="s">
        <v>318</v>
      </c>
      <c r="I6" s="121"/>
      <c r="J6" s="121"/>
      <c r="K6" s="114" t="s">
        <v>320</v>
      </c>
      <c r="L6" s="114"/>
      <c r="M6" s="114"/>
      <c r="N6" s="114"/>
      <c r="O6" s="114"/>
      <c r="P6" s="114"/>
      <c r="Q6" s="114" t="s">
        <v>321</v>
      </c>
      <c r="R6" s="114" t="s">
        <v>322</v>
      </c>
      <c r="S6" s="114" t="s">
        <v>323</v>
      </c>
      <c r="T6" s="114"/>
      <c r="U6" s="114"/>
      <c r="V6" s="114"/>
      <c r="W6" s="114" t="s">
        <v>328</v>
      </c>
      <c r="X6" s="114"/>
      <c r="Y6" s="114" t="s">
        <v>327</v>
      </c>
      <c r="Z6" s="114"/>
      <c r="AA6" s="114" t="s">
        <v>329</v>
      </c>
      <c r="AB6" s="114"/>
      <c r="AC6" s="114"/>
      <c r="AD6" s="114"/>
      <c r="AE6" s="116" t="s">
        <v>331</v>
      </c>
    </row>
    <row r="7" spans="1:31" x14ac:dyDescent="0.25">
      <c r="A7" s="44"/>
      <c r="B7" s="120"/>
      <c r="C7" s="115"/>
      <c r="D7" s="118" t="s">
        <v>317</v>
      </c>
      <c r="E7" s="118"/>
      <c r="F7" s="118"/>
      <c r="G7" s="122" t="s">
        <v>191</v>
      </c>
      <c r="H7" s="118" t="s">
        <v>319</v>
      </c>
      <c r="I7" s="118" t="s">
        <v>288</v>
      </c>
      <c r="J7" s="118" t="s">
        <v>303</v>
      </c>
      <c r="K7" s="115" t="s">
        <v>319</v>
      </c>
      <c r="L7" s="115" t="s">
        <v>288</v>
      </c>
      <c r="M7" s="87"/>
      <c r="N7" s="87"/>
      <c r="O7" s="87"/>
      <c r="P7" s="115" t="s">
        <v>303</v>
      </c>
      <c r="Q7" s="115"/>
      <c r="R7" s="115"/>
      <c r="S7" s="115" t="s">
        <v>317</v>
      </c>
      <c r="T7" s="115"/>
      <c r="U7" s="115" t="s">
        <v>324</v>
      </c>
      <c r="V7" s="115"/>
      <c r="W7" s="115" t="s">
        <v>291</v>
      </c>
      <c r="X7" s="115" t="s">
        <v>289</v>
      </c>
      <c r="Y7" s="115" t="s">
        <v>291</v>
      </c>
      <c r="Z7" s="115" t="s">
        <v>289</v>
      </c>
      <c r="AA7" s="115" t="s">
        <v>290</v>
      </c>
      <c r="AB7" s="115"/>
      <c r="AC7" s="115" t="s">
        <v>288</v>
      </c>
      <c r="AD7" s="115"/>
      <c r="AE7" s="117"/>
    </row>
    <row r="8" spans="1:31" x14ac:dyDescent="0.25">
      <c r="A8" s="44"/>
      <c r="B8" s="120"/>
      <c r="C8" s="115"/>
      <c r="D8" s="73" t="s">
        <v>291</v>
      </c>
      <c r="E8" s="73" t="s">
        <v>289</v>
      </c>
      <c r="F8" s="73" t="s">
        <v>303</v>
      </c>
      <c r="G8" s="122"/>
      <c r="H8" s="118"/>
      <c r="I8" s="118"/>
      <c r="J8" s="118"/>
      <c r="K8" s="115"/>
      <c r="L8" s="115"/>
      <c r="M8" s="87"/>
      <c r="N8" s="87"/>
      <c r="O8" s="87"/>
      <c r="P8" s="115"/>
      <c r="Q8" s="115"/>
      <c r="R8" s="115"/>
      <c r="S8" s="48" t="s">
        <v>325</v>
      </c>
      <c r="T8" s="48" t="s">
        <v>326</v>
      </c>
      <c r="U8" s="48" t="s">
        <v>325</v>
      </c>
      <c r="V8" s="48" t="s">
        <v>326</v>
      </c>
      <c r="W8" s="115"/>
      <c r="X8" s="115"/>
      <c r="Y8" s="115"/>
      <c r="Z8" s="115"/>
      <c r="AA8" s="48" t="s">
        <v>326</v>
      </c>
      <c r="AB8" s="48" t="s">
        <v>330</v>
      </c>
      <c r="AC8" s="48" t="s">
        <v>326</v>
      </c>
      <c r="AD8" s="48" t="s">
        <v>330</v>
      </c>
      <c r="AE8" s="117"/>
    </row>
    <row r="9" spans="1:31" s="15" customFormat="1" ht="14.25" x14ac:dyDescent="0.2">
      <c r="B9" s="58" t="s">
        <v>335</v>
      </c>
      <c r="C9" s="59" t="s">
        <v>336</v>
      </c>
      <c r="D9" s="74"/>
      <c r="E9" s="74"/>
      <c r="F9" s="74"/>
      <c r="G9" s="78"/>
      <c r="H9" s="74"/>
      <c r="I9" s="74"/>
      <c r="J9" s="74"/>
      <c r="K9" s="18"/>
      <c r="L9" s="18"/>
      <c r="M9" s="18"/>
      <c r="N9" s="18"/>
      <c r="O9" s="18"/>
      <c r="P9" s="18"/>
      <c r="Q9" s="59"/>
      <c r="R9" s="59"/>
      <c r="S9" s="59"/>
      <c r="T9" s="59"/>
      <c r="U9" s="59"/>
      <c r="V9" s="59"/>
      <c r="W9" s="59"/>
      <c r="X9" s="59"/>
      <c r="Y9" s="59"/>
      <c r="Z9" s="59"/>
      <c r="AA9" s="59"/>
      <c r="AB9" s="59"/>
      <c r="AC9" s="59"/>
      <c r="AD9" s="59"/>
      <c r="AE9" s="60"/>
    </row>
    <row r="10" spans="1:31" x14ac:dyDescent="0.25">
      <c r="B10" s="69" t="s">
        <v>348</v>
      </c>
      <c r="C10" s="62" t="s">
        <v>337</v>
      </c>
      <c r="D10" s="75"/>
      <c r="E10" s="75"/>
      <c r="F10" s="75"/>
      <c r="G10" s="79"/>
      <c r="H10" s="75"/>
      <c r="I10" s="75"/>
      <c r="J10" s="75"/>
      <c r="K10" s="16"/>
      <c r="L10" s="16"/>
      <c r="M10" s="16"/>
      <c r="N10" s="16"/>
      <c r="O10" s="16"/>
      <c r="P10" s="16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3"/>
    </row>
    <row r="11" spans="1:31" x14ac:dyDescent="0.25">
      <c r="B11" s="69" t="s">
        <v>348</v>
      </c>
      <c r="C11" s="62" t="s">
        <v>340</v>
      </c>
      <c r="D11" s="75"/>
      <c r="E11" s="75"/>
      <c r="F11" s="75"/>
      <c r="G11" s="79"/>
      <c r="H11" s="75"/>
      <c r="I11" s="75"/>
      <c r="J11" s="75"/>
      <c r="K11" s="16"/>
      <c r="L11" s="16"/>
      <c r="M11" s="16"/>
      <c r="N11" s="16"/>
      <c r="O11" s="16"/>
      <c r="P11" s="16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3"/>
    </row>
    <row r="12" spans="1:31" x14ac:dyDescent="0.25">
      <c r="B12" s="69" t="s">
        <v>348</v>
      </c>
      <c r="C12" s="62" t="s">
        <v>287</v>
      </c>
      <c r="D12" s="75"/>
      <c r="E12" s="75"/>
      <c r="F12" s="75"/>
      <c r="G12" s="79"/>
      <c r="H12" s="75"/>
      <c r="I12" s="75"/>
      <c r="J12" s="75"/>
      <c r="K12" s="16"/>
      <c r="L12" s="16"/>
      <c r="M12" s="16"/>
      <c r="N12" s="16"/>
      <c r="O12" s="16"/>
      <c r="P12" s="16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3"/>
    </row>
    <row r="13" spans="1:31" x14ac:dyDescent="0.25">
      <c r="B13" s="69" t="s">
        <v>348</v>
      </c>
      <c r="C13" s="62" t="s">
        <v>139</v>
      </c>
      <c r="D13" s="75"/>
      <c r="E13" s="75"/>
      <c r="F13" s="75"/>
      <c r="G13" s="79"/>
      <c r="H13" s="75"/>
      <c r="I13" s="75"/>
      <c r="J13" s="75"/>
      <c r="K13" s="16"/>
      <c r="L13" s="16"/>
      <c r="M13" s="16"/>
      <c r="N13" s="16"/>
      <c r="O13" s="16"/>
      <c r="P13" s="16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3"/>
    </row>
    <row r="14" spans="1:31" s="15" customFormat="1" ht="14.25" x14ac:dyDescent="0.2">
      <c r="B14" s="58" t="s">
        <v>341</v>
      </c>
      <c r="C14" s="64" t="s">
        <v>342</v>
      </c>
      <c r="D14" s="74"/>
      <c r="E14" s="74"/>
      <c r="F14" s="74"/>
      <c r="G14" s="78"/>
      <c r="H14" s="74"/>
      <c r="I14" s="74"/>
      <c r="J14" s="74"/>
      <c r="K14" s="18"/>
      <c r="L14" s="18"/>
      <c r="M14" s="18"/>
      <c r="N14" s="18"/>
      <c r="O14" s="18"/>
      <c r="P14" s="18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60"/>
    </row>
    <row r="15" spans="1:31" x14ac:dyDescent="0.25">
      <c r="B15" s="61">
        <v>1</v>
      </c>
      <c r="C15" s="62" t="s">
        <v>267</v>
      </c>
      <c r="D15" s="75"/>
      <c r="E15" s="75"/>
      <c r="F15" s="75"/>
      <c r="G15" s="79"/>
      <c r="H15" s="75"/>
      <c r="I15" s="75"/>
      <c r="J15" s="75"/>
      <c r="K15" s="16"/>
      <c r="L15" s="16"/>
      <c r="M15" s="16"/>
      <c r="N15" s="16"/>
      <c r="O15" s="16"/>
      <c r="P15" s="16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3"/>
    </row>
    <row r="16" spans="1:31" x14ac:dyDescent="0.25">
      <c r="B16" s="69" t="s">
        <v>348</v>
      </c>
      <c r="C16" s="62" t="s">
        <v>268</v>
      </c>
      <c r="D16" s="75"/>
      <c r="E16" s="75"/>
      <c r="F16" s="75"/>
      <c r="G16" s="79"/>
      <c r="H16" s="75"/>
      <c r="I16" s="75"/>
      <c r="J16" s="75"/>
      <c r="K16" s="16"/>
      <c r="L16" s="16"/>
      <c r="M16" s="16"/>
      <c r="N16" s="16"/>
      <c r="O16" s="16"/>
      <c r="P16" s="16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3"/>
    </row>
    <row r="17" spans="2:31" x14ac:dyDescent="0.25">
      <c r="B17" s="61">
        <v>2</v>
      </c>
      <c r="C17" s="62" t="s">
        <v>269</v>
      </c>
      <c r="D17" s="75"/>
      <c r="E17" s="75"/>
      <c r="F17" s="75"/>
      <c r="G17" s="79"/>
      <c r="H17" s="75"/>
      <c r="I17" s="75"/>
      <c r="J17" s="75"/>
      <c r="K17" s="16"/>
      <c r="L17" s="16"/>
      <c r="M17" s="16"/>
      <c r="N17" s="16"/>
      <c r="O17" s="16"/>
      <c r="P17" s="16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3"/>
    </row>
    <row r="18" spans="2:31" x14ac:dyDescent="0.25">
      <c r="B18" s="69" t="s">
        <v>348</v>
      </c>
      <c r="C18" s="62" t="s">
        <v>269</v>
      </c>
      <c r="D18" s="75"/>
      <c r="E18" s="75"/>
      <c r="F18" s="75"/>
      <c r="G18" s="79"/>
      <c r="H18" s="75"/>
      <c r="I18" s="75"/>
      <c r="J18" s="75"/>
      <c r="K18" s="16"/>
      <c r="L18" s="16"/>
      <c r="M18" s="16"/>
      <c r="N18" s="16"/>
      <c r="O18" s="16"/>
      <c r="P18" s="16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3"/>
    </row>
    <row r="19" spans="2:31" x14ac:dyDescent="0.25">
      <c r="B19" s="61">
        <v>3</v>
      </c>
      <c r="C19" s="62" t="s">
        <v>270</v>
      </c>
      <c r="D19" s="75"/>
      <c r="E19" s="75"/>
      <c r="F19" s="75"/>
      <c r="G19" s="79"/>
      <c r="H19" s="75"/>
      <c r="I19" s="75"/>
      <c r="J19" s="75"/>
      <c r="K19" s="16"/>
      <c r="L19" s="16"/>
      <c r="M19" s="16"/>
      <c r="N19" s="16"/>
      <c r="O19" s="16"/>
      <c r="P19" s="16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3"/>
    </row>
    <row r="20" spans="2:31" x14ac:dyDescent="0.25">
      <c r="B20" s="61">
        <v>4</v>
      </c>
      <c r="C20" s="62" t="s">
        <v>271</v>
      </c>
      <c r="D20" s="75"/>
      <c r="E20" s="75"/>
      <c r="F20" s="75"/>
      <c r="G20" s="79"/>
      <c r="H20" s="75"/>
      <c r="I20" s="75"/>
      <c r="J20" s="75"/>
      <c r="K20" s="16"/>
      <c r="L20" s="16"/>
      <c r="M20" s="16"/>
      <c r="N20" s="16"/>
      <c r="O20" s="16"/>
      <c r="P20" s="16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3"/>
    </row>
    <row r="21" spans="2:31" x14ac:dyDescent="0.25">
      <c r="B21" s="61">
        <v>5</v>
      </c>
      <c r="C21" s="62" t="s">
        <v>272</v>
      </c>
      <c r="D21" s="75"/>
      <c r="E21" s="75"/>
      <c r="F21" s="75"/>
      <c r="G21" s="79"/>
      <c r="H21" s="75"/>
      <c r="I21" s="75"/>
      <c r="J21" s="75"/>
      <c r="K21" s="16"/>
      <c r="L21" s="16"/>
      <c r="M21" s="16"/>
      <c r="N21" s="16"/>
      <c r="O21" s="16"/>
      <c r="P21" s="16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3"/>
    </row>
    <row r="22" spans="2:31" x14ac:dyDescent="0.25">
      <c r="B22" s="61">
        <v>6</v>
      </c>
      <c r="C22" s="62" t="s">
        <v>343</v>
      </c>
      <c r="D22" s="75"/>
      <c r="E22" s="75"/>
      <c r="F22" s="75"/>
      <c r="G22" s="79"/>
      <c r="H22" s="75"/>
      <c r="I22" s="75"/>
      <c r="J22" s="75"/>
      <c r="K22" s="16"/>
      <c r="L22" s="16"/>
      <c r="M22" s="16"/>
      <c r="N22" s="16"/>
      <c r="O22" s="16"/>
      <c r="P22" s="16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3"/>
    </row>
    <row r="23" spans="2:31" x14ac:dyDescent="0.25">
      <c r="B23" s="69" t="s">
        <v>348</v>
      </c>
      <c r="C23" s="62" t="s">
        <v>274</v>
      </c>
      <c r="D23" s="75"/>
      <c r="E23" s="75"/>
      <c r="F23" s="75"/>
      <c r="G23" s="79"/>
      <c r="H23" s="75"/>
      <c r="I23" s="75"/>
      <c r="J23" s="75"/>
      <c r="K23" s="16"/>
      <c r="L23" s="16"/>
      <c r="M23" s="16"/>
      <c r="N23" s="16"/>
      <c r="O23" s="16"/>
      <c r="P23" s="16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3"/>
    </row>
    <row r="24" spans="2:31" x14ac:dyDescent="0.25">
      <c r="B24" s="69" t="s">
        <v>348</v>
      </c>
      <c r="C24" s="62" t="s">
        <v>344</v>
      </c>
      <c r="D24" s="75"/>
      <c r="E24" s="75"/>
      <c r="F24" s="75"/>
      <c r="G24" s="79"/>
      <c r="H24" s="75"/>
      <c r="I24" s="75"/>
      <c r="J24" s="75"/>
      <c r="K24" s="16"/>
      <c r="L24" s="16"/>
      <c r="M24" s="16"/>
      <c r="N24" s="16"/>
      <c r="O24" s="16"/>
      <c r="P24" s="16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3"/>
    </row>
    <row r="25" spans="2:31" x14ac:dyDescent="0.25">
      <c r="B25" s="61">
        <v>7</v>
      </c>
      <c r="C25" s="62" t="s">
        <v>134</v>
      </c>
      <c r="D25" s="75"/>
      <c r="E25" s="75"/>
      <c r="F25" s="75"/>
      <c r="G25" s="79"/>
      <c r="H25" s="75"/>
      <c r="I25" s="75"/>
      <c r="J25" s="75"/>
      <c r="K25" s="16"/>
      <c r="L25" s="16"/>
      <c r="M25" s="16"/>
      <c r="N25" s="16"/>
      <c r="O25" s="16"/>
      <c r="P25" s="16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3"/>
    </row>
    <row r="26" spans="2:31" x14ac:dyDescent="0.25">
      <c r="B26" s="58" t="s">
        <v>345</v>
      </c>
      <c r="C26" s="59" t="s">
        <v>346</v>
      </c>
      <c r="D26" s="75"/>
      <c r="E26" s="75"/>
      <c r="F26" s="75"/>
      <c r="G26" s="79"/>
      <c r="H26" s="75"/>
      <c r="I26" s="75"/>
      <c r="J26" s="75"/>
      <c r="K26" s="16"/>
      <c r="L26" s="16"/>
      <c r="M26" s="16"/>
      <c r="N26" s="16"/>
      <c r="O26" s="16"/>
      <c r="P26" s="16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3"/>
    </row>
    <row r="27" spans="2:31" s="15" customFormat="1" ht="14.25" hidden="1" x14ac:dyDescent="0.2">
      <c r="B27" s="58"/>
      <c r="C27" s="57" t="e">
        <f>#REF!</f>
        <v>#REF!</v>
      </c>
      <c r="D27" s="76"/>
      <c r="E27" s="76"/>
      <c r="F27" s="76"/>
      <c r="G27" s="80"/>
      <c r="H27" s="76"/>
      <c r="I27" s="76"/>
      <c r="J27" s="76"/>
      <c r="K27" s="65"/>
      <c r="L27" s="65"/>
      <c r="M27" s="65"/>
      <c r="N27" s="65"/>
      <c r="O27" s="65"/>
      <c r="P27" s="65"/>
      <c r="Q27" s="59"/>
      <c r="R27" s="59"/>
      <c r="S27" s="59"/>
      <c r="T27" s="59"/>
      <c r="U27" s="59"/>
      <c r="V27" s="59"/>
      <c r="W27" s="59"/>
      <c r="X27" s="59"/>
      <c r="Y27" s="59"/>
      <c r="Z27" s="59"/>
      <c r="AA27" s="59"/>
      <c r="AB27" s="59"/>
      <c r="AC27" s="59"/>
      <c r="AD27" s="59"/>
      <c r="AE27" s="60"/>
    </row>
    <row r="28" spans="2:31" hidden="1" x14ac:dyDescent="0.25">
      <c r="B28" s="61"/>
      <c r="C28" s="54" t="e">
        <f>#REF!</f>
        <v>#REF!</v>
      </c>
      <c r="D28" s="73"/>
      <c r="E28" s="72"/>
      <c r="F28" s="72"/>
      <c r="G28" s="81"/>
      <c r="H28" s="73"/>
      <c r="I28" s="72"/>
      <c r="J28" s="72"/>
      <c r="K28" s="49"/>
      <c r="L28" s="55"/>
      <c r="M28" s="55"/>
      <c r="N28" s="55"/>
      <c r="O28" s="55"/>
      <c r="P28" s="55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3"/>
    </row>
    <row r="29" spans="2:31" hidden="1" x14ac:dyDescent="0.25">
      <c r="B29" s="61"/>
      <c r="C29" s="54" t="e">
        <f>#REF!</f>
        <v>#REF!</v>
      </c>
      <c r="D29" s="73"/>
      <c r="E29" s="73"/>
      <c r="F29" s="73"/>
      <c r="G29" s="81"/>
      <c r="H29" s="73"/>
      <c r="I29" s="73"/>
      <c r="J29" s="73"/>
      <c r="K29" s="49"/>
      <c r="L29" s="49"/>
      <c r="M29" s="87"/>
      <c r="N29" s="87"/>
      <c r="O29" s="87"/>
      <c r="P29" s="49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3"/>
    </row>
    <row r="30" spans="2:31" hidden="1" x14ac:dyDescent="0.25">
      <c r="B30" s="61"/>
      <c r="C30" s="54" t="e">
        <f>#REF!</f>
        <v>#REF!</v>
      </c>
      <c r="D30" s="72"/>
      <c r="E30" s="72"/>
      <c r="F30" s="72"/>
      <c r="G30" s="82"/>
      <c r="H30" s="72"/>
      <c r="I30" s="72"/>
      <c r="J30" s="72"/>
      <c r="K30" s="56"/>
      <c r="L30" s="56"/>
      <c r="M30" s="56"/>
      <c r="N30" s="56"/>
      <c r="O30" s="56"/>
      <c r="P30" s="56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3"/>
    </row>
    <row r="31" spans="2:31" hidden="1" x14ac:dyDescent="0.25">
      <c r="B31" s="61"/>
      <c r="C31" s="54" t="e">
        <f>#REF!</f>
        <v>#REF!</v>
      </c>
      <c r="D31" s="72"/>
      <c r="E31" s="72"/>
      <c r="F31" s="72"/>
      <c r="G31" s="82"/>
      <c r="H31" s="72"/>
      <c r="I31" s="72"/>
      <c r="J31" s="72"/>
      <c r="K31" s="56"/>
      <c r="L31" s="56"/>
      <c r="M31" s="56"/>
      <c r="N31" s="56"/>
      <c r="O31" s="56"/>
      <c r="P31" s="56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3"/>
    </row>
    <row r="32" spans="2:31" hidden="1" x14ac:dyDescent="0.25">
      <c r="B32" s="61"/>
      <c r="C32" s="54" t="e">
        <f>#REF!</f>
        <v>#REF!</v>
      </c>
      <c r="D32" s="72"/>
      <c r="E32" s="72"/>
      <c r="F32" s="72"/>
      <c r="G32" s="82"/>
      <c r="H32" s="72"/>
      <c r="I32" s="72"/>
      <c r="J32" s="72"/>
      <c r="K32" s="56"/>
      <c r="L32" s="56"/>
      <c r="M32" s="56"/>
      <c r="N32" s="56"/>
      <c r="O32" s="56"/>
      <c r="P32" s="56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3"/>
    </row>
    <row r="33" spans="2:31" hidden="1" x14ac:dyDescent="0.25">
      <c r="B33" s="61"/>
      <c r="C33" s="54" t="e">
        <f>#REF!</f>
        <v>#REF!</v>
      </c>
      <c r="D33" s="72"/>
      <c r="E33" s="72"/>
      <c r="F33" s="72"/>
      <c r="G33" s="82"/>
      <c r="H33" s="72"/>
      <c r="I33" s="72"/>
      <c r="J33" s="72"/>
      <c r="K33" s="56"/>
      <c r="L33" s="56"/>
      <c r="M33" s="56"/>
      <c r="N33" s="56"/>
      <c r="O33" s="56"/>
      <c r="P33" s="56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3"/>
    </row>
    <row r="34" spans="2:31" hidden="1" x14ac:dyDescent="0.25">
      <c r="B34" s="61"/>
      <c r="C34" s="54" t="e">
        <f>#REF!</f>
        <v>#REF!</v>
      </c>
      <c r="D34" s="72"/>
      <c r="E34" s="72"/>
      <c r="F34" s="72"/>
      <c r="G34" s="82"/>
      <c r="H34" s="72"/>
      <c r="I34" s="72"/>
      <c r="J34" s="72"/>
      <c r="K34" s="56"/>
      <c r="L34" s="56"/>
      <c r="M34" s="56"/>
      <c r="N34" s="56"/>
      <c r="O34" s="56"/>
      <c r="P34" s="56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3"/>
    </row>
    <row r="35" spans="2:31" hidden="1" x14ac:dyDescent="0.25">
      <c r="B35" s="61"/>
      <c r="C35" s="54" t="e">
        <f>#REF!</f>
        <v>#REF!</v>
      </c>
      <c r="D35" s="72"/>
      <c r="E35" s="72"/>
      <c r="F35" s="72"/>
      <c r="G35" s="82"/>
      <c r="H35" s="72"/>
      <c r="I35" s="72"/>
      <c r="J35" s="72"/>
      <c r="K35" s="56"/>
      <c r="L35" s="56"/>
      <c r="M35" s="56"/>
      <c r="N35" s="56"/>
      <c r="O35" s="56"/>
      <c r="P35" s="56"/>
      <c r="Q35" s="62"/>
      <c r="R35" s="62"/>
      <c r="S35" s="62"/>
      <c r="T35" s="62"/>
      <c r="U35" s="62"/>
      <c r="V35" s="62"/>
      <c r="W35" s="62"/>
      <c r="X35" s="62"/>
      <c r="Y35" s="62"/>
      <c r="Z35" s="62"/>
      <c r="AA35" s="62"/>
      <c r="AB35" s="62"/>
      <c r="AC35" s="62"/>
      <c r="AD35" s="62"/>
      <c r="AE35" s="63"/>
    </row>
    <row r="36" spans="2:31" hidden="1" x14ac:dyDescent="0.25">
      <c r="B36" s="61"/>
      <c r="C36" s="54" t="e">
        <f>#REF!</f>
        <v>#REF!</v>
      </c>
      <c r="D36" s="72"/>
      <c r="E36" s="72"/>
      <c r="F36" s="72"/>
      <c r="G36" s="82"/>
      <c r="H36" s="72"/>
      <c r="I36" s="72"/>
      <c r="J36" s="72"/>
      <c r="K36" s="56"/>
      <c r="L36" s="56"/>
      <c r="M36" s="56"/>
      <c r="N36" s="56"/>
      <c r="O36" s="56"/>
      <c r="P36" s="56"/>
      <c r="Q36" s="62"/>
      <c r="R36" s="62"/>
      <c r="S36" s="62"/>
      <c r="T36" s="62"/>
      <c r="U36" s="62"/>
      <c r="V36" s="62"/>
      <c r="W36" s="62"/>
      <c r="X36" s="62"/>
      <c r="Y36" s="62"/>
      <c r="Z36" s="62"/>
      <c r="AA36" s="62"/>
      <c r="AB36" s="62"/>
      <c r="AC36" s="62"/>
      <c r="AD36" s="62"/>
      <c r="AE36" s="63"/>
    </row>
    <row r="37" spans="2:31" hidden="1" x14ac:dyDescent="0.25">
      <c r="B37" s="61"/>
      <c r="C37" s="54" t="e">
        <f>#REF!</f>
        <v>#REF!</v>
      </c>
      <c r="D37" s="72"/>
      <c r="E37" s="72"/>
      <c r="F37" s="72"/>
      <c r="G37" s="82"/>
      <c r="H37" s="72"/>
      <c r="I37" s="72"/>
      <c r="J37" s="72"/>
      <c r="K37" s="56"/>
      <c r="L37" s="56"/>
      <c r="M37" s="56"/>
      <c r="N37" s="56"/>
      <c r="O37" s="56"/>
      <c r="P37" s="56"/>
      <c r="Q37" s="62"/>
      <c r="R37" s="62"/>
      <c r="S37" s="62"/>
      <c r="T37" s="62"/>
      <c r="U37" s="62"/>
      <c r="V37" s="62"/>
      <c r="W37" s="62"/>
      <c r="X37" s="62"/>
      <c r="Y37" s="62"/>
      <c r="Z37" s="62"/>
      <c r="AA37" s="62"/>
      <c r="AB37" s="62"/>
      <c r="AC37" s="62"/>
      <c r="AD37" s="62"/>
      <c r="AE37" s="63"/>
    </row>
    <row r="38" spans="2:31" hidden="1" x14ac:dyDescent="0.25">
      <c r="B38" s="61"/>
      <c r="C38" s="54" t="e">
        <f>#REF!</f>
        <v>#REF!</v>
      </c>
      <c r="D38" s="72"/>
      <c r="E38" s="72"/>
      <c r="F38" s="72"/>
      <c r="G38" s="82"/>
      <c r="H38" s="72"/>
      <c r="I38" s="72"/>
      <c r="J38" s="72"/>
      <c r="K38" s="56"/>
      <c r="L38" s="56"/>
      <c r="M38" s="56"/>
      <c r="N38" s="56"/>
      <c r="O38" s="56"/>
      <c r="P38" s="56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3"/>
    </row>
    <row r="39" spans="2:31" hidden="1" x14ac:dyDescent="0.25">
      <c r="B39" s="61"/>
      <c r="C39" s="54" t="e">
        <f>#REF!</f>
        <v>#REF!</v>
      </c>
      <c r="D39" s="72"/>
      <c r="E39" s="72"/>
      <c r="F39" s="72"/>
      <c r="G39" s="82"/>
      <c r="H39" s="72"/>
      <c r="I39" s="72"/>
      <c r="J39" s="72"/>
      <c r="K39" s="56"/>
      <c r="L39" s="56"/>
      <c r="M39" s="56"/>
      <c r="N39" s="56"/>
      <c r="O39" s="56"/>
      <c r="P39" s="56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  <c r="AC39" s="62"/>
      <c r="AD39" s="62"/>
      <c r="AE39" s="63"/>
    </row>
    <row r="40" spans="2:31" hidden="1" x14ac:dyDescent="0.25">
      <c r="B40" s="61"/>
      <c r="C40" s="54" t="e">
        <f>#REF!</f>
        <v>#REF!</v>
      </c>
      <c r="D40" s="72"/>
      <c r="E40" s="72"/>
      <c r="F40" s="72"/>
      <c r="G40" s="82"/>
      <c r="H40" s="72"/>
      <c r="I40" s="72"/>
      <c r="J40" s="72"/>
      <c r="K40" s="56"/>
      <c r="L40" s="56"/>
      <c r="M40" s="56"/>
      <c r="N40" s="56"/>
      <c r="O40" s="56"/>
      <c r="P40" s="56"/>
      <c r="Q40" s="62"/>
      <c r="R40" s="62"/>
      <c r="S40" s="62"/>
      <c r="T40" s="62"/>
      <c r="U40" s="62"/>
      <c r="V40" s="62"/>
      <c r="W40" s="62"/>
      <c r="X40" s="62"/>
      <c r="Y40" s="62"/>
      <c r="Z40" s="62"/>
      <c r="AA40" s="62"/>
      <c r="AB40" s="62"/>
      <c r="AC40" s="62"/>
      <c r="AD40" s="62"/>
      <c r="AE40" s="63"/>
    </row>
    <row r="41" spans="2:31" hidden="1" x14ac:dyDescent="0.25">
      <c r="B41" s="61"/>
      <c r="C41" s="54" t="e">
        <f>#REF!</f>
        <v>#REF!</v>
      </c>
      <c r="D41" s="72"/>
      <c r="E41" s="72"/>
      <c r="F41" s="72"/>
      <c r="G41" s="82"/>
      <c r="H41" s="72"/>
      <c r="I41" s="72"/>
      <c r="J41" s="72"/>
      <c r="K41" s="56"/>
      <c r="L41" s="56"/>
      <c r="M41" s="56"/>
      <c r="N41" s="56"/>
      <c r="O41" s="56"/>
      <c r="P41" s="56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62"/>
      <c r="AB41" s="62"/>
      <c r="AC41" s="62"/>
      <c r="AD41" s="62"/>
      <c r="AE41" s="63"/>
    </row>
    <row r="42" spans="2:31" hidden="1" x14ac:dyDescent="0.25">
      <c r="B42" s="61"/>
      <c r="C42" s="54" t="e">
        <f>#REF!</f>
        <v>#REF!</v>
      </c>
      <c r="D42" s="72"/>
      <c r="E42" s="72"/>
      <c r="F42" s="72"/>
      <c r="G42" s="82"/>
      <c r="H42" s="72"/>
      <c r="I42" s="72"/>
      <c r="J42" s="72"/>
      <c r="K42" s="56"/>
      <c r="L42" s="56"/>
      <c r="M42" s="56"/>
      <c r="N42" s="56"/>
      <c r="O42" s="56"/>
      <c r="P42" s="56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  <c r="AC42" s="62"/>
      <c r="AD42" s="62"/>
      <c r="AE42" s="63"/>
    </row>
    <row r="43" spans="2:31" hidden="1" x14ac:dyDescent="0.25">
      <c r="B43" s="61"/>
      <c r="C43" s="54" t="e">
        <f>#REF!</f>
        <v>#REF!</v>
      </c>
      <c r="D43" s="72"/>
      <c r="E43" s="72"/>
      <c r="F43" s="72"/>
      <c r="G43" s="82"/>
      <c r="H43" s="72"/>
      <c r="I43" s="72"/>
      <c r="J43" s="72"/>
      <c r="K43" s="56"/>
      <c r="L43" s="56"/>
      <c r="M43" s="56"/>
      <c r="N43" s="56"/>
      <c r="O43" s="56"/>
      <c r="P43" s="56"/>
      <c r="Q43" s="62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  <c r="AC43" s="62"/>
      <c r="AD43" s="62"/>
      <c r="AE43" s="63"/>
    </row>
    <row r="44" spans="2:31" hidden="1" x14ac:dyDescent="0.25">
      <c r="B44" s="61"/>
      <c r="C44" s="54" t="e">
        <f>#REF!</f>
        <v>#REF!</v>
      </c>
      <c r="D44" s="72"/>
      <c r="E44" s="72"/>
      <c r="F44" s="72"/>
      <c r="G44" s="82"/>
      <c r="H44" s="72"/>
      <c r="I44" s="72"/>
      <c r="J44" s="72"/>
      <c r="K44" s="56"/>
      <c r="L44" s="56"/>
      <c r="M44" s="56"/>
      <c r="N44" s="56"/>
      <c r="O44" s="56"/>
      <c r="P44" s="56"/>
      <c r="Q44" s="62"/>
      <c r="R44" s="62"/>
      <c r="S44" s="62"/>
      <c r="T44" s="62"/>
      <c r="U44" s="62"/>
      <c r="V44" s="62"/>
      <c r="W44" s="62"/>
      <c r="X44" s="62"/>
      <c r="Y44" s="62"/>
      <c r="Z44" s="62"/>
      <c r="AA44" s="62"/>
      <c r="AB44" s="62"/>
      <c r="AC44" s="62"/>
      <c r="AD44" s="62"/>
      <c r="AE44" s="63"/>
    </row>
    <row r="45" spans="2:31" s="15" customFormat="1" ht="14.25" x14ac:dyDescent="0.2">
      <c r="B45" s="58" t="s">
        <v>204</v>
      </c>
      <c r="C45" s="100"/>
      <c r="D45" s="98"/>
      <c r="E45" s="98"/>
      <c r="F45" s="98"/>
      <c r="G45" s="98"/>
      <c r="H45" s="98"/>
      <c r="I45" s="98"/>
      <c r="J45" s="98"/>
      <c r="K45" s="98"/>
      <c r="L45" s="99"/>
      <c r="M45" s="98"/>
      <c r="N45" s="98"/>
      <c r="O45" s="110"/>
      <c r="P45" s="70"/>
      <c r="Q45" s="59"/>
      <c r="R45" s="59"/>
      <c r="S45" s="59"/>
      <c r="T45" s="59"/>
      <c r="U45" s="59"/>
      <c r="V45" s="59"/>
      <c r="W45" s="59"/>
      <c r="X45" s="59"/>
      <c r="Y45" s="59"/>
      <c r="Z45" s="59"/>
      <c r="AA45" s="59"/>
      <c r="AB45" s="59"/>
      <c r="AC45" s="59"/>
      <c r="AD45" s="59"/>
      <c r="AE45" s="60"/>
    </row>
    <row r="46" spans="2:31" x14ac:dyDescent="0.25">
      <c r="B46" s="61">
        <v>1</v>
      </c>
      <c r="C46" s="107"/>
      <c r="D46" s="108"/>
      <c r="E46" s="108"/>
      <c r="F46" s="109"/>
      <c r="G46" s="109"/>
      <c r="H46" s="104"/>
      <c r="I46" s="108"/>
      <c r="J46" s="108"/>
      <c r="K46" s="101"/>
      <c r="L46" s="101"/>
      <c r="M46" s="104"/>
      <c r="N46" s="104"/>
      <c r="O46" s="104"/>
      <c r="P46" s="55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62"/>
      <c r="AB46" s="62"/>
      <c r="AC46" s="62"/>
      <c r="AD46" s="62"/>
      <c r="AE46" s="63"/>
    </row>
    <row r="47" spans="2:31" x14ac:dyDescent="0.25">
      <c r="B47" s="69" t="s">
        <v>348</v>
      </c>
      <c r="C47" s="107"/>
      <c r="D47" s="108"/>
      <c r="E47" s="108"/>
      <c r="F47" s="109"/>
      <c r="G47" s="109"/>
      <c r="H47" s="105"/>
      <c r="I47" s="108"/>
      <c r="J47" s="108"/>
      <c r="K47" s="102"/>
      <c r="L47" s="102"/>
      <c r="M47" s="105"/>
      <c r="N47" s="105"/>
      <c r="O47" s="105"/>
      <c r="P47" s="55"/>
      <c r="Q47" s="62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62"/>
      <c r="AC47" s="62"/>
      <c r="AD47" s="62"/>
      <c r="AE47" s="63"/>
    </row>
    <row r="48" spans="2:31" x14ac:dyDescent="0.25">
      <c r="B48" s="61">
        <v>2</v>
      </c>
      <c r="C48" s="107"/>
      <c r="D48" s="108"/>
      <c r="E48" s="108"/>
      <c r="F48" s="109"/>
      <c r="G48" s="109"/>
      <c r="H48" s="105"/>
      <c r="I48" s="108"/>
      <c r="J48" s="108"/>
      <c r="K48" s="102"/>
      <c r="L48" s="102"/>
      <c r="M48" s="105"/>
      <c r="N48" s="105"/>
      <c r="O48" s="105"/>
      <c r="P48" s="55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  <c r="AC48" s="62"/>
      <c r="AD48" s="62"/>
      <c r="AE48" s="63"/>
    </row>
    <row r="49" spans="2:31" x14ac:dyDescent="0.25">
      <c r="B49" s="69" t="s">
        <v>348</v>
      </c>
      <c r="C49" s="107"/>
      <c r="D49" s="108"/>
      <c r="E49" s="108"/>
      <c r="F49" s="109"/>
      <c r="G49" s="109"/>
      <c r="H49" s="105"/>
      <c r="I49" s="108"/>
      <c r="J49" s="108"/>
      <c r="K49" s="102"/>
      <c r="L49" s="102"/>
      <c r="M49" s="105"/>
      <c r="N49" s="105"/>
      <c r="O49" s="105"/>
      <c r="P49" s="55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62"/>
      <c r="AB49" s="62"/>
      <c r="AC49" s="62"/>
      <c r="AD49" s="62"/>
      <c r="AE49" s="63"/>
    </row>
    <row r="50" spans="2:31" x14ac:dyDescent="0.25">
      <c r="B50" s="61">
        <v>3</v>
      </c>
      <c r="C50" s="107"/>
      <c r="D50" s="108"/>
      <c r="E50" s="108"/>
      <c r="F50" s="109"/>
      <c r="G50" s="109"/>
      <c r="H50" s="105"/>
      <c r="I50" s="108"/>
      <c r="J50" s="108"/>
      <c r="K50" s="102"/>
      <c r="L50" s="102"/>
      <c r="M50" s="105"/>
      <c r="N50" s="105"/>
      <c r="O50" s="105"/>
      <c r="P50" s="55"/>
      <c r="Q50" s="62"/>
      <c r="R50" s="62"/>
      <c r="S50" s="62"/>
      <c r="T50" s="62"/>
      <c r="U50" s="62"/>
      <c r="V50" s="62"/>
      <c r="W50" s="62"/>
      <c r="X50" s="62"/>
      <c r="Y50" s="62"/>
      <c r="Z50" s="62"/>
      <c r="AA50" s="62"/>
      <c r="AB50" s="62"/>
      <c r="AC50" s="62"/>
      <c r="AD50" s="62"/>
      <c r="AE50" s="63"/>
    </row>
    <row r="51" spans="2:31" x14ac:dyDescent="0.25">
      <c r="B51" s="69" t="s">
        <v>348</v>
      </c>
      <c r="C51" s="107"/>
      <c r="D51" s="108"/>
      <c r="E51" s="108"/>
      <c r="F51" s="109"/>
      <c r="G51" s="109"/>
      <c r="H51" s="105"/>
      <c r="I51" s="108"/>
      <c r="J51" s="108"/>
      <c r="K51" s="102"/>
      <c r="L51" s="102"/>
      <c r="M51" s="105"/>
      <c r="N51" s="105"/>
      <c r="O51" s="105"/>
      <c r="P51" s="55"/>
      <c r="Q51" s="62"/>
      <c r="R51" s="62"/>
      <c r="S51" s="62"/>
      <c r="T51" s="62"/>
      <c r="U51" s="62"/>
      <c r="V51" s="62"/>
      <c r="W51" s="62"/>
      <c r="X51" s="62"/>
      <c r="Y51" s="62"/>
      <c r="Z51" s="62"/>
      <c r="AA51" s="62"/>
      <c r="AB51" s="62"/>
      <c r="AC51" s="62"/>
      <c r="AD51" s="62"/>
      <c r="AE51" s="63"/>
    </row>
    <row r="52" spans="2:31" x14ac:dyDescent="0.25">
      <c r="B52" s="61">
        <v>4</v>
      </c>
      <c r="C52" s="107"/>
      <c r="D52" s="108"/>
      <c r="E52" s="108"/>
      <c r="F52" s="109"/>
      <c r="G52" s="109"/>
      <c r="H52" s="105"/>
      <c r="I52" s="108"/>
      <c r="J52" s="108"/>
      <c r="K52" s="102"/>
      <c r="L52" s="102"/>
      <c r="M52" s="105"/>
      <c r="N52" s="105"/>
      <c r="O52" s="105"/>
      <c r="P52" s="55"/>
      <c r="Q52" s="62"/>
      <c r="R52" s="62"/>
      <c r="S52" s="62"/>
      <c r="T52" s="62"/>
      <c r="U52" s="62"/>
      <c r="V52" s="62"/>
      <c r="W52" s="62"/>
      <c r="X52" s="62"/>
      <c r="Y52" s="62"/>
      <c r="Z52" s="62"/>
      <c r="AA52" s="62"/>
      <c r="AB52" s="62"/>
      <c r="AC52" s="62"/>
      <c r="AD52" s="62"/>
      <c r="AE52" s="63"/>
    </row>
    <row r="53" spans="2:31" x14ac:dyDescent="0.25">
      <c r="B53" s="69" t="s">
        <v>348</v>
      </c>
      <c r="C53" s="107"/>
      <c r="D53" s="108"/>
      <c r="E53" s="108"/>
      <c r="F53" s="109"/>
      <c r="G53" s="109"/>
      <c r="H53" s="106"/>
      <c r="I53" s="108"/>
      <c r="J53" s="108"/>
      <c r="K53" s="103"/>
      <c r="L53" s="103"/>
      <c r="M53" s="106"/>
      <c r="N53" s="106"/>
      <c r="O53" s="106"/>
      <c r="P53" s="55"/>
      <c r="Q53" s="62"/>
      <c r="R53" s="62"/>
      <c r="S53" s="62"/>
      <c r="T53" s="62"/>
      <c r="U53" s="62"/>
      <c r="V53" s="62"/>
      <c r="W53" s="62"/>
      <c r="X53" s="62"/>
      <c r="Y53" s="62"/>
      <c r="Z53" s="62"/>
      <c r="AA53" s="62"/>
      <c r="AB53" s="62"/>
      <c r="AC53" s="62"/>
      <c r="AD53" s="62"/>
      <c r="AE53" s="63"/>
    </row>
    <row r="54" spans="2:31" x14ac:dyDescent="0.25">
      <c r="B54" s="69" t="s">
        <v>348</v>
      </c>
      <c r="C54" s="54"/>
      <c r="D54" s="71"/>
      <c r="E54" s="71"/>
      <c r="F54" s="71"/>
      <c r="G54" s="83"/>
      <c r="H54" s="71"/>
      <c r="I54" s="71"/>
      <c r="J54" s="71"/>
      <c r="K54" s="55"/>
      <c r="L54" s="55"/>
      <c r="M54" s="55"/>
      <c r="N54" s="55"/>
      <c r="O54" s="55"/>
      <c r="P54" s="55"/>
      <c r="Q54" s="62"/>
      <c r="R54" s="62"/>
      <c r="S54" s="62"/>
      <c r="T54" s="62"/>
      <c r="U54" s="62"/>
      <c r="V54" s="62"/>
      <c r="W54" s="62"/>
      <c r="X54" s="62"/>
      <c r="Y54" s="62"/>
      <c r="Z54" s="62"/>
      <c r="AA54" s="62"/>
      <c r="AB54" s="62"/>
      <c r="AC54" s="62"/>
      <c r="AD54" s="62"/>
      <c r="AE54" s="63"/>
    </row>
    <row r="55" spans="2:31" x14ac:dyDescent="0.25">
      <c r="B55" s="69" t="s">
        <v>348</v>
      </c>
      <c r="C55" s="54"/>
      <c r="D55" s="71"/>
      <c r="E55" s="71"/>
      <c r="F55" s="71"/>
      <c r="G55" s="83"/>
      <c r="H55" s="71"/>
      <c r="I55" s="71"/>
      <c r="J55" s="71"/>
      <c r="K55" s="55"/>
      <c r="L55" s="55"/>
      <c r="M55" s="55"/>
      <c r="N55" s="55"/>
      <c r="O55" s="55"/>
      <c r="P55" s="55"/>
      <c r="Q55" s="62"/>
      <c r="R55" s="62"/>
      <c r="S55" s="62"/>
      <c r="T55" s="62"/>
      <c r="U55" s="62"/>
      <c r="V55" s="62"/>
      <c r="W55" s="62"/>
      <c r="X55" s="62"/>
      <c r="Y55" s="62"/>
      <c r="Z55" s="62"/>
      <c r="AA55" s="62"/>
      <c r="AB55" s="62"/>
      <c r="AC55" s="62"/>
      <c r="AD55" s="62"/>
      <c r="AE55" s="63"/>
    </row>
    <row r="56" spans="2:31" x14ac:dyDescent="0.25">
      <c r="B56" s="61">
        <v>5</v>
      </c>
      <c r="C56" s="54"/>
      <c r="D56" s="71"/>
      <c r="E56" s="71"/>
      <c r="F56" s="71"/>
      <c r="G56" s="83"/>
      <c r="H56" s="71"/>
      <c r="I56" s="71"/>
      <c r="J56" s="71"/>
      <c r="K56" s="55"/>
      <c r="L56" s="55"/>
      <c r="M56" s="55"/>
      <c r="N56" s="55"/>
      <c r="O56" s="55"/>
      <c r="P56" s="55"/>
      <c r="Q56" s="62"/>
      <c r="R56" s="62"/>
      <c r="S56" s="62"/>
      <c r="T56" s="62"/>
      <c r="U56" s="62"/>
      <c r="V56" s="62"/>
      <c r="W56" s="62"/>
      <c r="X56" s="62"/>
      <c r="Y56" s="62"/>
      <c r="Z56" s="62"/>
      <c r="AA56" s="62"/>
      <c r="AB56" s="62"/>
      <c r="AC56" s="62"/>
      <c r="AD56" s="62"/>
      <c r="AE56" s="63"/>
    </row>
    <row r="57" spans="2:31" x14ac:dyDescent="0.25">
      <c r="B57" s="61"/>
      <c r="C57" s="54"/>
      <c r="D57" s="71"/>
      <c r="E57" s="71"/>
      <c r="F57" s="71"/>
      <c r="G57" s="83"/>
      <c r="H57" s="71"/>
      <c r="I57" s="71"/>
      <c r="J57" s="71"/>
      <c r="K57" s="55"/>
      <c r="L57" s="55"/>
      <c r="M57" s="55"/>
      <c r="N57" s="55"/>
      <c r="O57" s="55"/>
      <c r="P57" s="55"/>
      <c r="Q57" s="62"/>
      <c r="R57" s="62"/>
      <c r="S57" s="62"/>
      <c r="T57" s="62"/>
      <c r="U57" s="62"/>
      <c r="V57" s="62"/>
      <c r="W57" s="62"/>
      <c r="X57" s="62"/>
      <c r="Y57" s="62"/>
      <c r="Z57" s="62"/>
      <c r="AA57" s="62"/>
      <c r="AB57" s="62"/>
      <c r="AC57" s="62"/>
      <c r="AD57" s="62"/>
      <c r="AE57" s="63"/>
    </row>
    <row r="58" spans="2:31" x14ac:dyDescent="0.25">
      <c r="B58" s="61">
        <v>6</v>
      </c>
      <c r="C58" s="54"/>
      <c r="D58" s="71"/>
      <c r="E58" s="71"/>
      <c r="F58" s="71"/>
      <c r="G58" s="83"/>
      <c r="H58" s="71"/>
      <c r="I58" s="71"/>
      <c r="J58" s="71"/>
      <c r="K58" s="55"/>
      <c r="L58" s="55"/>
      <c r="M58" s="55"/>
      <c r="N58" s="55"/>
      <c r="O58" s="55"/>
      <c r="P58" s="55"/>
      <c r="Q58" s="62"/>
      <c r="R58" s="62"/>
      <c r="S58" s="62"/>
      <c r="T58" s="62"/>
      <c r="U58" s="62"/>
      <c r="V58" s="62"/>
      <c r="W58" s="62"/>
      <c r="X58" s="62"/>
      <c r="Y58" s="62"/>
      <c r="Z58" s="62"/>
      <c r="AA58" s="62"/>
      <c r="AB58" s="62"/>
      <c r="AC58" s="62"/>
      <c r="AD58" s="62"/>
      <c r="AE58" s="63"/>
    </row>
    <row r="59" spans="2:31" x14ac:dyDescent="0.25">
      <c r="B59" s="61"/>
      <c r="C59" s="54"/>
      <c r="D59" s="71"/>
      <c r="E59" s="71"/>
      <c r="F59" s="71"/>
      <c r="G59" s="83"/>
      <c r="H59" s="71"/>
      <c r="I59" s="71"/>
      <c r="J59" s="71"/>
      <c r="K59" s="55"/>
      <c r="L59" s="55"/>
      <c r="M59" s="55"/>
      <c r="N59" s="55"/>
      <c r="O59" s="55"/>
      <c r="P59" s="55"/>
      <c r="Q59" s="62"/>
      <c r="R59" s="62"/>
      <c r="S59" s="62"/>
      <c r="T59" s="62"/>
      <c r="U59" s="62"/>
      <c r="V59" s="62"/>
      <c r="W59" s="62"/>
      <c r="X59" s="62"/>
      <c r="Y59" s="62"/>
      <c r="Z59" s="62"/>
      <c r="AA59" s="62"/>
      <c r="AB59" s="62"/>
      <c r="AC59" s="62"/>
      <c r="AD59" s="62"/>
      <c r="AE59" s="63"/>
    </row>
    <row r="60" spans="2:31" x14ac:dyDescent="0.25">
      <c r="B60" s="61"/>
      <c r="C60" s="54"/>
      <c r="D60" s="71"/>
      <c r="E60" s="71"/>
      <c r="F60" s="71"/>
      <c r="G60" s="83"/>
      <c r="H60" s="71"/>
      <c r="I60" s="71"/>
      <c r="J60" s="71"/>
      <c r="K60" s="55"/>
      <c r="L60" s="55"/>
      <c r="M60" s="55"/>
      <c r="N60" s="55"/>
      <c r="O60" s="55"/>
      <c r="P60" s="55"/>
      <c r="Q60" s="62"/>
      <c r="R60" s="62"/>
      <c r="S60" s="62"/>
      <c r="T60" s="62"/>
      <c r="U60" s="62"/>
      <c r="V60" s="62"/>
      <c r="W60" s="62"/>
      <c r="X60" s="62"/>
      <c r="Y60" s="62"/>
      <c r="Z60" s="62"/>
      <c r="AA60" s="62"/>
      <c r="AB60" s="62"/>
      <c r="AC60" s="62"/>
      <c r="AD60" s="62"/>
      <c r="AE60" s="63"/>
    </row>
    <row r="61" spans="2:31" x14ac:dyDescent="0.25">
      <c r="B61" s="61"/>
      <c r="C61" s="54"/>
      <c r="D61" s="71"/>
      <c r="E61" s="71"/>
      <c r="F61" s="71"/>
      <c r="G61" s="83"/>
      <c r="H61" s="71"/>
      <c r="I61" s="71"/>
      <c r="J61" s="71"/>
      <c r="K61" s="55"/>
      <c r="L61" s="55"/>
      <c r="M61" s="55"/>
      <c r="N61" s="55"/>
      <c r="O61" s="55"/>
      <c r="P61" s="55"/>
      <c r="Q61" s="62"/>
      <c r="R61" s="62"/>
      <c r="S61" s="62"/>
      <c r="T61" s="62"/>
      <c r="U61" s="62"/>
      <c r="V61" s="62"/>
      <c r="W61" s="62"/>
      <c r="X61" s="62"/>
      <c r="Y61" s="62"/>
      <c r="Z61" s="62"/>
      <c r="AA61" s="62"/>
      <c r="AB61" s="62"/>
      <c r="AC61" s="62"/>
      <c r="AD61" s="62"/>
      <c r="AE61" s="63"/>
    </row>
    <row r="62" spans="2:31" x14ac:dyDescent="0.25">
      <c r="B62" s="61"/>
      <c r="C62" s="54"/>
      <c r="D62" s="71"/>
      <c r="E62" s="71"/>
      <c r="F62" s="71"/>
      <c r="G62" s="83"/>
      <c r="H62" s="71"/>
      <c r="I62" s="71"/>
      <c r="J62" s="71"/>
      <c r="K62" s="55"/>
      <c r="L62" s="55"/>
      <c r="M62" s="55"/>
      <c r="N62" s="55"/>
      <c r="O62" s="55"/>
      <c r="P62" s="55"/>
      <c r="Q62" s="62"/>
      <c r="R62" s="62"/>
      <c r="S62" s="62"/>
      <c r="T62" s="62"/>
      <c r="U62" s="62"/>
      <c r="V62" s="62"/>
      <c r="W62" s="62"/>
      <c r="X62" s="62"/>
      <c r="Y62" s="62"/>
      <c r="Z62" s="62"/>
      <c r="AA62" s="62"/>
      <c r="AB62" s="62"/>
      <c r="AC62" s="62"/>
      <c r="AD62" s="62"/>
      <c r="AE62" s="63"/>
    </row>
    <row r="63" spans="2:31" s="15" customFormat="1" x14ac:dyDescent="0.2">
      <c r="B63" s="58" t="s">
        <v>210</v>
      </c>
      <c r="C63" s="54"/>
      <c r="D63" s="71"/>
      <c r="E63" s="71"/>
      <c r="F63" s="71"/>
      <c r="G63" s="83"/>
      <c r="H63" s="71"/>
      <c r="I63" s="71"/>
      <c r="J63" s="71"/>
      <c r="K63" s="55"/>
      <c r="L63" s="55"/>
      <c r="M63" s="55"/>
      <c r="N63" s="55"/>
      <c r="O63" s="55"/>
      <c r="P63" s="55"/>
      <c r="Q63" s="59"/>
      <c r="R63" s="59"/>
      <c r="S63" s="59"/>
      <c r="T63" s="59"/>
      <c r="U63" s="59"/>
      <c r="V63" s="59"/>
      <c r="W63" s="59"/>
      <c r="X63" s="59"/>
      <c r="Y63" s="59"/>
      <c r="Z63" s="59"/>
      <c r="AA63" s="59"/>
      <c r="AB63" s="59"/>
      <c r="AC63" s="59"/>
      <c r="AD63" s="59"/>
      <c r="AE63" s="60"/>
    </row>
    <row r="64" spans="2:31" x14ac:dyDescent="0.25">
      <c r="B64" s="61"/>
      <c r="C64" s="54"/>
      <c r="D64" s="71"/>
      <c r="E64" s="71"/>
      <c r="F64" s="71"/>
      <c r="G64" s="83"/>
      <c r="H64" s="71"/>
      <c r="I64" s="71"/>
      <c r="J64" s="71"/>
      <c r="K64" s="55"/>
      <c r="L64" s="55"/>
      <c r="M64" s="55"/>
      <c r="N64" s="55"/>
      <c r="O64" s="55"/>
      <c r="P64" s="55"/>
      <c r="Q64" s="62"/>
      <c r="R64" s="62"/>
      <c r="S64" s="62"/>
      <c r="T64" s="62"/>
      <c r="U64" s="62"/>
      <c r="V64" s="62"/>
      <c r="W64" s="62"/>
      <c r="X64" s="62"/>
      <c r="Y64" s="62"/>
      <c r="Z64" s="62"/>
      <c r="AA64" s="62"/>
      <c r="AB64" s="62"/>
      <c r="AC64" s="62"/>
      <c r="AD64" s="62"/>
      <c r="AE64" s="63"/>
    </row>
    <row r="65" spans="2:31" x14ac:dyDescent="0.25">
      <c r="B65" s="61"/>
      <c r="C65" s="54"/>
      <c r="D65" s="71"/>
      <c r="E65" s="71"/>
      <c r="F65" s="71"/>
      <c r="G65" s="83"/>
      <c r="H65" s="71"/>
      <c r="I65" s="71"/>
      <c r="J65" s="71"/>
      <c r="K65" s="55"/>
      <c r="L65" s="55"/>
      <c r="M65" s="55"/>
      <c r="N65" s="55"/>
      <c r="O65" s="55"/>
      <c r="P65" s="55"/>
      <c r="Q65" s="62"/>
      <c r="R65" s="62"/>
      <c r="S65" s="62"/>
      <c r="T65" s="62"/>
      <c r="U65" s="62"/>
      <c r="V65" s="62"/>
      <c r="W65" s="62"/>
      <c r="X65" s="62"/>
      <c r="Y65" s="62"/>
      <c r="Z65" s="62"/>
      <c r="AA65" s="62"/>
      <c r="AB65" s="62"/>
      <c r="AC65" s="62"/>
      <c r="AD65" s="62"/>
      <c r="AE65" s="63"/>
    </row>
    <row r="66" spans="2:31" x14ac:dyDescent="0.25">
      <c r="B66" s="61"/>
      <c r="C66" s="54"/>
      <c r="D66" s="71"/>
      <c r="E66" s="71"/>
      <c r="F66" s="71"/>
      <c r="G66" s="83"/>
      <c r="H66" s="71"/>
      <c r="I66" s="71"/>
      <c r="J66" s="71"/>
      <c r="K66" s="55"/>
      <c r="L66" s="55"/>
      <c r="M66" s="55"/>
      <c r="N66" s="55"/>
      <c r="O66" s="55"/>
      <c r="P66" s="55"/>
      <c r="Q66" s="62"/>
      <c r="R66" s="62"/>
      <c r="S66" s="62"/>
      <c r="T66" s="62"/>
      <c r="U66" s="62"/>
      <c r="V66" s="62"/>
      <c r="W66" s="62"/>
      <c r="X66" s="62"/>
      <c r="Y66" s="62"/>
      <c r="Z66" s="62"/>
      <c r="AA66" s="62"/>
      <c r="AB66" s="62"/>
      <c r="AC66" s="62"/>
      <c r="AD66" s="62"/>
      <c r="AE66" s="63"/>
    </row>
    <row r="67" spans="2:31" x14ac:dyDescent="0.25">
      <c r="B67" s="61"/>
      <c r="C67" s="54"/>
      <c r="D67" s="71"/>
      <c r="E67" s="71"/>
      <c r="F67" s="71"/>
      <c r="G67" s="83"/>
      <c r="H67" s="71"/>
      <c r="I67" s="71"/>
      <c r="J67" s="71"/>
      <c r="K67" s="55"/>
      <c r="L67" s="55"/>
      <c r="M67" s="55"/>
      <c r="N67" s="55"/>
      <c r="O67" s="55"/>
      <c r="P67" s="55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2"/>
      <c r="AC67" s="62"/>
      <c r="AD67" s="62"/>
      <c r="AE67" s="63"/>
    </row>
    <row r="68" spans="2:31" x14ac:dyDescent="0.25">
      <c r="B68" s="61"/>
      <c r="C68" s="54"/>
      <c r="D68" s="71"/>
      <c r="E68" s="71"/>
      <c r="F68" s="71"/>
      <c r="G68" s="83"/>
      <c r="H68" s="71"/>
      <c r="I68" s="71"/>
      <c r="J68" s="71"/>
      <c r="K68" s="55"/>
      <c r="L68" s="55"/>
      <c r="M68" s="55"/>
      <c r="N68" s="55"/>
      <c r="O68" s="55"/>
      <c r="P68" s="55"/>
      <c r="Q68" s="62"/>
      <c r="R68" s="62"/>
      <c r="S68" s="62"/>
      <c r="T68" s="62"/>
      <c r="U68" s="62"/>
      <c r="V68" s="62"/>
      <c r="W68" s="62"/>
      <c r="X68" s="62"/>
      <c r="Y68" s="62"/>
      <c r="Z68" s="62"/>
      <c r="AA68" s="62"/>
      <c r="AB68" s="62"/>
      <c r="AC68" s="62"/>
      <c r="AD68" s="62"/>
      <c r="AE68" s="63"/>
    </row>
    <row r="69" spans="2:31" x14ac:dyDescent="0.25">
      <c r="B69" s="61"/>
      <c r="C69" s="54"/>
      <c r="D69" s="71"/>
      <c r="E69" s="71"/>
      <c r="F69" s="71"/>
      <c r="G69" s="83"/>
      <c r="H69" s="71"/>
      <c r="I69" s="71"/>
      <c r="J69" s="71"/>
      <c r="K69" s="55"/>
      <c r="L69" s="55"/>
      <c r="M69" s="55"/>
      <c r="N69" s="55"/>
      <c r="O69" s="55"/>
      <c r="P69" s="55"/>
      <c r="Q69" s="62"/>
      <c r="R69" s="62"/>
      <c r="S69" s="62"/>
      <c r="T69" s="62"/>
      <c r="U69" s="62"/>
      <c r="V69" s="62"/>
      <c r="W69" s="62"/>
      <c r="X69" s="62"/>
      <c r="Y69" s="62"/>
      <c r="Z69" s="62"/>
      <c r="AA69" s="62"/>
      <c r="AB69" s="62"/>
      <c r="AC69" s="62"/>
      <c r="AD69" s="62"/>
      <c r="AE69" s="63"/>
    </row>
    <row r="70" spans="2:31" x14ac:dyDescent="0.25">
      <c r="B70" s="61"/>
      <c r="C70" s="54"/>
      <c r="D70" s="71"/>
      <c r="E70" s="71"/>
      <c r="F70" s="71"/>
      <c r="G70" s="83"/>
      <c r="H70" s="71"/>
      <c r="I70" s="71"/>
      <c r="J70" s="71"/>
      <c r="K70" s="55"/>
      <c r="L70" s="55"/>
      <c r="M70" s="55"/>
      <c r="N70" s="55"/>
      <c r="O70" s="55"/>
      <c r="P70" s="55"/>
      <c r="Q70" s="62"/>
      <c r="R70" s="62"/>
      <c r="S70" s="62"/>
      <c r="T70" s="62"/>
      <c r="U70" s="62"/>
      <c r="V70" s="62"/>
      <c r="W70" s="62"/>
      <c r="X70" s="62"/>
      <c r="Y70" s="62"/>
      <c r="Z70" s="62"/>
      <c r="AA70" s="62"/>
      <c r="AB70" s="62"/>
      <c r="AC70" s="62"/>
      <c r="AD70" s="62"/>
      <c r="AE70" s="63"/>
    </row>
    <row r="71" spans="2:31" x14ac:dyDescent="0.25">
      <c r="B71" s="61"/>
      <c r="C71" s="54"/>
      <c r="D71" s="71"/>
      <c r="E71" s="71"/>
      <c r="F71" s="71"/>
      <c r="G71" s="83"/>
      <c r="H71" s="71"/>
      <c r="I71" s="71"/>
      <c r="J71" s="71"/>
      <c r="K71" s="55"/>
      <c r="L71" s="55"/>
      <c r="M71" s="55"/>
      <c r="N71" s="55"/>
      <c r="O71" s="55"/>
      <c r="P71" s="55"/>
      <c r="Q71" s="62"/>
      <c r="R71" s="62"/>
      <c r="S71" s="62"/>
      <c r="T71" s="62"/>
      <c r="U71" s="62"/>
      <c r="V71" s="62"/>
      <c r="W71" s="62"/>
      <c r="X71" s="62"/>
      <c r="Y71" s="62"/>
      <c r="Z71" s="62"/>
      <c r="AA71" s="62"/>
      <c r="AB71" s="62"/>
      <c r="AC71" s="62"/>
      <c r="AD71" s="62"/>
      <c r="AE71" s="63"/>
    </row>
    <row r="72" spans="2:31" x14ac:dyDescent="0.25">
      <c r="B72" s="61"/>
      <c r="C72" s="54"/>
      <c r="D72" s="71"/>
      <c r="E72" s="71"/>
      <c r="F72" s="71"/>
      <c r="G72" s="83"/>
      <c r="H72" s="71"/>
      <c r="I72" s="71"/>
      <c r="J72" s="71"/>
      <c r="K72" s="55"/>
      <c r="L72" s="55"/>
      <c r="M72" s="55"/>
      <c r="N72" s="55"/>
      <c r="O72" s="55"/>
      <c r="P72" s="55"/>
      <c r="Q72" s="62"/>
      <c r="R72" s="62"/>
      <c r="S72" s="62"/>
      <c r="T72" s="62"/>
      <c r="U72" s="62"/>
      <c r="V72" s="62"/>
      <c r="W72" s="62"/>
      <c r="X72" s="62"/>
      <c r="Y72" s="62"/>
      <c r="Z72" s="62"/>
      <c r="AA72" s="62"/>
      <c r="AB72" s="62"/>
      <c r="AC72" s="62"/>
      <c r="AD72" s="62"/>
      <c r="AE72" s="63"/>
    </row>
    <row r="73" spans="2:31" x14ac:dyDescent="0.25">
      <c r="B73" s="61"/>
      <c r="C73" s="54"/>
      <c r="D73" s="71"/>
      <c r="E73" s="71"/>
      <c r="F73" s="71"/>
      <c r="G73" s="83"/>
      <c r="H73" s="71"/>
      <c r="I73" s="71"/>
      <c r="J73" s="71"/>
      <c r="K73" s="55"/>
      <c r="L73" s="55"/>
      <c r="M73" s="55"/>
      <c r="N73" s="55"/>
      <c r="O73" s="55"/>
      <c r="P73" s="55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2"/>
      <c r="AC73" s="62"/>
      <c r="AD73" s="62"/>
      <c r="AE73" s="63"/>
    </row>
    <row r="74" spans="2:31" x14ac:dyDescent="0.25">
      <c r="B74" s="61"/>
      <c r="C74" s="54"/>
      <c r="D74" s="71"/>
      <c r="E74" s="71"/>
      <c r="F74" s="71"/>
      <c r="G74" s="83"/>
      <c r="H74" s="71"/>
      <c r="I74" s="71"/>
      <c r="J74" s="71"/>
      <c r="K74" s="55"/>
      <c r="L74" s="55"/>
      <c r="M74" s="55"/>
      <c r="N74" s="55"/>
      <c r="O74" s="55"/>
      <c r="P74" s="55"/>
      <c r="Q74" s="62"/>
      <c r="R74" s="62"/>
      <c r="S74" s="62"/>
      <c r="T74" s="62"/>
      <c r="U74" s="62"/>
      <c r="V74" s="62"/>
      <c r="W74" s="62"/>
      <c r="X74" s="62"/>
      <c r="Y74" s="62"/>
      <c r="Z74" s="62"/>
      <c r="AA74" s="62"/>
      <c r="AB74" s="62"/>
      <c r="AC74" s="62"/>
      <c r="AD74" s="62"/>
      <c r="AE74" s="63"/>
    </row>
    <row r="75" spans="2:31" x14ac:dyDescent="0.25">
      <c r="B75" s="61"/>
      <c r="C75" s="54"/>
      <c r="D75" s="71"/>
      <c r="E75" s="71"/>
      <c r="F75" s="71"/>
      <c r="G75" s="83"/>
      <c r="H75" s="71"/>
      <c r="I75" s="71"/>
      <c r="J75" s="71"/>
      <c r="K75" s="55"/>
      <c r="L75" s="55"/>
      <c r="M75" s="55"/>
      <c r="N75" s="55"/>
      <c r="O75" s="55"/>
      <c r="P75" s="55"/>
      <c r="Q75" s="62"/>
      <c r="R75" s="62"/>
      <c r="S75" s="62"/>
      <c r="T75" s="62"/>
      <c r="U75" s="62"/>
      <c r="V75" s="62"/>
      <c r="W75" s="62"/>
      <c r="X75" s="62"/>
      <c r="Y75" s="62"/>
      <c r="Z75" s="62"/>
      <c r="AA75" s="62"/>
      <c r="AB75" s="62"/>
      <c r="AC75" s="62"/>
      <c r="AD75" s="62"/>
      <c r="AE75" s="63"/>
    </row>
    <row r="76" spans="2:31" x14ac:dyDescent="0.25">
      <c r="B76" s="61"/>
      <c r="C76" s="54"/>
      <c r="D76" s="71"/>
      <c r="E76" s="71"/>
      <c r="F76" s="71"/>
      <c r="G76" s="83"/>
      <c r="H76" s="71"/>
      <c r="I76" s="71"/>
      <c r="J76" s="71"/>
      <c r="K76" s="55"/>
      <c r="L76" s="55"/>
      <c r="M76" s="55"/>
      <c r="N76" s="55"/>
      <c r="O76" s="55"/>
      <c r="P76" s="55"/>
      <c r="Q76" s="62"/>
      <c r="R76" s="62"/>
      <c r="S76" s="62"/>
      <c r="T76" s="62"/>
      <c r="U76" s="62"/>
      <c r="V76" s="62"/>
      <c r="W76" s="62"/>
      <c r="X76" s="62"/>
      <c r="Y76" s="62"/>
      <c r="Z76" s="62"/>
      <c r="AA76" s="62"/>
      <c r="AB76" s="62"/>
      <c r="AC76" s="62"/>
      <c r="AD76" s="62"/>
      <c r="AE76" s="63"/>
    </row>
    <row r="77" spans="2:31" x14ac:dyDescent="0.25">
      <c r="B77" s="61"/>
      <c r="C77" s="54"/>
      <c r="D77" s="71"/>
      <c r="E77" s="71"/>
      <c r="F77" s="71"/>
      <c r="G77" s="83"/>
      <c r="H77" s="71"/>
      <c r="I77" s="71"/>
      <c r="J77" s="71"/>
      <c r="K77" s="55"/>
      <c r="L77" s="55"/>
      <c r="M77" s="55"/>
      <c r="N77" s="55"/>
      <c r="O77" s="55"/>
      <c r="P77" s="55"/>
      <c r="Q77" s="62"/>
      <c r="R77" s="62"/>
      <c r="S77" s="62"/>
      <c r="T77" s="62"/>
      <c r="U77" s="62"/>
      <c r="V77" s="62"/>
      <c r="W77" s="62"/>
      <c r="X77" s="62"/>
      <c r="Y77" s="62"/>
      <c r="Z77" s="62"/>
      <c r="AA77" s="62"/>
      <c r="AB77" s="62"/>
      <c r="AC77" s="62"/>
      <c r="AD77" s="62"/>
      <c r="AE77" s="63"/>
    </row>
    <row r="78" spans="2:31" x14ac:dyDescent="0.25">
      <c r="B78" s="61"/>
      <c r="C78" s="54"/>
      <c r="D78" s="71"/>
      <c r="E78" s="71"/>
      <c r="F78" s="71"/>
      <c r="G78" s="83"/>
      <c r="H78" s="71"/>
      <c r="I78" s="71"/>
      <c r="J78" s="71"/>
      <c r="K78" s="55"/>
      <c r="L78" s="55"/>
      <c r="M78" s="55"/>
      <c r="N78" s="55"/>
      <c r="O78" s="55"/>
      <c r="P78" s="55"/>
      <c r="Q78" s="62"/>
      <c r="R78" s="62"/>
      <c r="S78" s="62"/>
      <c r="T78" s="62"/>
      <c r="U78" s="62"/>
      <c r="V78" s="62"/>
      <c r="W78" s="62"/>
      <c r="X78" s="62"/>
      <c r="Y78" s="62"/>
      <c r="Z78" s="62"/>
      <c r="AA78" s="62"/>
      <c r="AB78" s="62"/>
      <c r="AC78" s="62"/>
      <c r="AD78" s="62"/>
      <c r="AE78" s="63"/>
    </row>
    <row r="79" spans="2:31" x14ac:dyDescent="0.25">
      <c r="B79" s="61"/>
      <c r="C79" s="54"/>
      <c r="D79" s="71"/>
      <c r="E79" s="71"/>
      <c r="F79" s="71"/>
      <c r="G79" s="83"/>
      <c r="H79" s="71"/>
      <c r="I79" s="71"/>
      <c r="J79" s="71"/>
      <c r="K79" s="55"/>
      <c r="L79" s="55"/>
      <c r="M79" s="55"/>
      <c r="N79" s="55"/>
      <c r="O79" s="55"/>
      <c r="P79" s="55"/>
      <c r="Q79" s="62"/>
      <c r="R79" s="62"/>
      <c r="S79" s="62"/>
      <c r="T79" s="62"/>
      <c r="U79" s="62"/>
      <c r="V79" s="62"/>
      <c r="W79" s="62"/>
      <c r="X79" s="62"/>
      <c r="Y79" s="62"/>
      <c r="Z79" s="62"/>
      <c r="AA79" s="62"/>
      <c r="AB79" s="62"/>
      <c r="AC79" s="62"/>
      <c r="AD79" s="62"/>
      <c r="AE79" s="63"/>
    </row>
    <row r="80" spans="2:31" x14ac:dyDescent="0.25">
      <c r="B80" s="61"/>
      <c r="C80" s="54"/>
      <c r="D80" s="71"/>
      <c r="E80" s="71"/>
      <c r="F80" s="71"/>
      <c r="G80" s="83"/>
      <c r="H80" s="71"/>
      <c r="I80" s="71"/>
      <c r="J80" s="71"/>
      <c r="K80" s="55"/>
      <c r="L80" s="55"/>
      <c r="M80" s="55"/>
      <c r="N80" s="55"/>
      <c r="O80" s="55"/>
      <c r="P80" s="55"/>
      <c r="Q80" s="62"/>
      <c r="R80" s="62"/>
      <c r="S80" s="62"/>
      <c r="T80" s="62"/>
      <c r="U80" s="62"/>
      <c r="V80" s="62"/>
      <c r="W80" s="62"/>
      <c r="X80" s="62"/>
      <c r="Y80" s="62"/>
      <c r="Z80" s="62"/>
      <c r="AA80" s="62"/>
      <c r="AB80" s="62"/>
      <c r="AC80" s="62"/>
      <c r="AD80" s="62"/>
      <c r="AE80" s="63"/>
    </row>
    <row r="81" spans="2:31" s="15" customFormat="1" x14ac:dyDescent="0.2">
      <c r="B81" s="58" t="s">
        <v>347</v>
      </c>
      <c r="C81" s="57"/>
      <c r="D81" s="71"/>
      <c r="E81" s="71"/>
      <c r="F81" s="71"/>
      <c r="G81" s="83"/>
      <c r="H81" s="71"/>
      <c r="I81" s="71"/>
      <c r="J81" s="71"/>
      <c r="K81" s="65"/>
      <c r="L81" s="65"/>
      <c r="M81" s="65"/>
      <c r="N81" s="65"/>
      <c r="O81" s="65"/>
      <c r="P81" s="65"/>
      <c r="Q81" s="59"/>
      <c r="R81" s="59"/>
      <c r="S81" s="59"/>
      <c r="T81" s="59"/>
      <c r="U81" s="59"/>
      <c r="V81" s="59"/>
      <c r="W81" s="59"/>
      <c r="X81" s="59"/>
      <c r="Y81" s="59"/>
      <c r="Z81" s="59"/>
      <c r="AA81" s="59"/>
      <c r="AB81" s="59"/>
      <c r="AC81" s="59"/>
      <c r="AD81" s="59"/>
      <c r="AE81" s="60"/>
    </row>
    <row r="82" spans="2:31" x14ac:dyDescent="0.25">
      <c r="B82" s="61"/>
      <c r="C82" s="54"/>
      <c r="D82" s="71"/>
      <c r="E82" s="71"/>
      <c r="F82" s="71"/>
      <c r="G82" s="83"/>
      <c r="H82" s="71"/>
      <c r="I82" s="71"/>
      <c r="J82" s="71"/>
      <c r="K82" s="55"/>
      <c r="L82" s="55"/>
      <c r="M82" s="55"/>
      <c r="N82" s="55"/>
      <c r="O82" s="55"/>
      <c r="P82" s="55"/>
      <c r="Q82" s="62"/>
      <c r="R82" s="62"/>
      <c r="S82" s="62"/>
      <c r="T82" s="62"/>
      <c r="U82" s="62"/>
      <c r="V82" s="62"/>
      <c r="W82" s="62"/>
      <c r="X82" s="62"/>
      <c r="Y82" s="62"/>
      <c r="Z82" s="62"/>
      <c r="AA82" s="62"/>
      <c r="AB82" s="62"/>
      <c r="AC82" s="62"/>
      <c r="AD82" s="62"/>
      <c r="AE82" s="63"/>
    </row>
    <row r="83" spans="2:31" x14ac:dyDescent="0.25">
      <c r="B83" s="61"/>
      <c r="C83" s="54"/>
      <c r="D83" s="71"/>
      <c r="E83" s="71"/>
      <c r="F83" s="71"/>
      <c r="G83" s="83"/>
      <c r="H83" s="71"/>
      <c r="I83" s="71"/>
      <c r="J83" s="71"/>
      <c r="K83" s="55"/>
      <c r="L83" s="55"/>
      <c r="M83" s="55"/>
      <c r="N83" s="55"/>
      <c r="O83" s="55"/>
      <c r="P83" s="55"/>
      <c r="Q83" s="62"/>
      <c r="R83" s="62"/>
      <c r="S83" s="62"/>
      <c r="T83" s="62"/>
      <c r="U83" s="62"/>
      <c r="V83" s="62"/>
      <c r="W83" s="62"/>
      <c r="X83" s="62"/>
      <c r="Y83" s="62"/>
      <c r="Z83" s="62"/>
      <c r="AA83" s="62"/>
      <c r="AB83" s="62"/>
      <c r="AC83" s="62"/>
      <c r="AD83" s="62"/>
      <c r="AE83" s="63"/>
    </row>
    <row r="84" spans="2:31" x14ac:dyDescent="0.25">
      <c r="B84" s="61"/>
      <c r="C84" s="54"/>
      <c r="D84" s="71"/>
      <c r="E84" s="71"/>
      <c r="F84" s="71"/>
      <c r="G84" s="83"/>
      <c r="H84" s="71"/>
      <c r="I84" s="71"/>
      <c r="J84" s="71"/>
      <c r="K84" s="55"/>
      <c r="L84" s="55"/>
      <c r="M84" s="55"/>
      <c r="N84" s="55"/>
      <c r="O84" s="55"/>
      <c r="P84" s="55"/>
      <c r="Q84" s="62"/>
      <c r="R84" s="62"/>
      <c r="S84" s="62"/>
      <c r="T84" s="62"/>
      <c r="U84" s="62"/>
      <c r="V84" s="62"/>
      <c r="W84" s="62"/>
      <c r="X84" s="62"/>
      <c r="Y84" s="62"/>
      <c r="Z84" s="62"/>
      <c r="AA84" s="62"/>
      <c r="AB84" s="62"/>
      <c r="AC84" s="62"/>
      <c r="AD84" s="62"/>
      <c r="AE84" s="63"/>
    </row>
    <row r="85" spans="2:31" x14ac:dyDescent="0.25">
      <c r="B85" s="61"/>
      <c r="C85" s="54"/>
      <c r="D85" s="71"/>
      <c r="E85" s="71"/>
      <c r="F85" s="71"/>
      <c r="G85" s="83"/>
      <c r="H85" s="71"/>
      <c r="I85" s="71"/>
      <c r="J85" s="71"/>
      <c r="K85" s="55"/>
      <c r="L85" s="55"/>
      <c r="M85" s="55"/>
      <c r="N85" s="55"/>
      <c r="O85" s="55"/>
      <c r="P85" s="55"/>
      <c r="Q85" s="62"/>
      <c r="R85" s="62"/>
      <c r="S85" s="62"/>
      <c r="T85" s="62"/>
      <c r="U85" s="62"/>
      <c r="V85" s="62"/>
      <c r="W85" s="62"/>
      <c r="X85" s="62"/>
      <c r="Y85" s="62"/>
      <c r="Z85" s="62"/>
      <c r="AA85" s="62"/>
      <c r="AB85" s="62"/>
      <c r="AC85" s="62"/>
      <c r="AD85" s="62"/>
      <c r="AE85" s="63"/>
    </row>
    <row r="86" spans="2:31" x14ac:dyDescent="0.25">
      <c r="B86" s="61"/>
      <c r="C86" s="54"/>
      <c r="D86" s="71"/>
      <c r="E86" s="71"/>
      <c r="F86" s="71"/>
      <c r="G86" s="83"/>
      <c r="H86" s="71"/>
      <c r="I86" s="71"/>
      <c r="J86" s="71"/>
      <c r="K86" s="55"/>
      <c r="L86" s="55"/>
      <c r="M86" s="55"/>
      <c r="N86" s="55"/>
      <c r="O86" s="55"/>
      <c r="P86" s="55"/>
      <c r="Q86" s="62"/>
      <c r="R86" s="62"/>
      <c r="S86" s="62"/>
      <c r="T86" s="62"/>
      <c r="U86" s="62"/>
      <c r="V86" s="62"/>
      <c r="W86" s="62"/>
      <c r="X86" s="62"/>
      <c r="Y86" s="62"/>
      <c r="Z86" s="62"/>
      <c r="AA86" s="62"/>
      <c r="AB86" s="62"/>
      <c r="AC86" s="62"/>
      <c r="AD86" s="62"/>
      <c r="AE86" s="63"/>
    </row>
    <row r="87" spans="2:31" x14ac:dyDescent="0.25">
      <c r="B87" s="61"/>
      <c r="C87" s="54"/>
      <c r="D87" s="71"/>
      <c r="E87" s="71"/>
      <c r="F87" s="71"/>
      <c r="G87" s="83"/>
      <c r="H87" s="71"/>
      <c r="I87" s="71"/>
      <c r="J87" s="71"/>
      <c r="K87" s="55"/>
      <c r="L87" s="55"/>
      <c r="M87" s="55"/>
      <c r="N87" s="55"/>
      <c r="O87" s="55"/>
      <c r="P87" s="55"/>
      <c r="Q87" s="62"/>
      <c r="R87" s="62"/>
      <c r="S87" s="62"/>
      <c r="T87" s="62"/>
      <c r="U87" s="62"/>
      <c r="V87" s="62"/>
      <c r="W87" s="62"/>
      <c r="X87" s="62"/>
      <c r="Y87" s="62"/>
      <c r="Z87" s="62"/>
      <c r="AA87" s="62"/>
      <c r="AB87" s="62"/>
      <c r="AC87" s="62"/>
      <c r="AD87" s="62"/>
      <c r="AE87" s="63"/>
    </row>
    <row r="88" spans="2:31" x14ac:dyDescent="0.25">
      <c r="B88" s="61"/>
      <c r="C88" s="54"/>
      <c r="D88" s="71"/>
      <c r="E88" s="71"/>
      <c r="F88" s="71"/>
      <c r="G88" s="83"/>
      <c r="H88" s="71"/>
      <c r="I88" s="71"/>
      <c r="J88" s="71"/>
      <c r="K88" s="55"/>
      <c r="L88" s="55"/>
      <c r="M88" s="55"/>
      <c r="N88" s="55"/>
      <c r="O88" s="55"/>
      <c r="P88" s="55"/>
      <c r="Q88" s="62"/>
      <c r="R88" s="62"/>
      <c r="S88" s="62"/>
      <c r="T88" s="62"/>
      <c r="U88" s="62"/>
      <c r="V88" s="62"/>
      <c r="W88" s="62"/>
      <c r="X88" s="62"/>
      <c r="Y88" s="62"/>
      <c r="Z88" s="62"/>
      <c r="AA88" s="62"/>
      <c r="AB88" s="62"/>
      <c r="AC88" s="62"/>
      <c r="AD88" s="62"/>
      <c r="AE88" s="63"/>
    </row>
    <row r="89" spans="2:31" x14ac:dyDescent="0.25">
      <c r="B89" s="61"/>
      <c r="C89" s="54"/>
      <c r="D89" s="71"/>
      <c r="E89" s="71"/>
      <c r="F89" s="71"/>
      <c r="G89" s="83"/>
      <c r="H89" s="71"/>
      <c r="I89" s="71"/>
      <c r="J89" s="71"/>
      <c r="K89" s="55"/>
      <c r="L89" s="55"/>
      <c r="M89" s="55"/>
      <c r="N89" s="55"/>
      <c r="O89" s="55"/>
      <c r="P89" s="55"/>
      <c r="Q89" s="62"/>
      <c r="R89" s="62"/>
      <c r="S89" s="62"/>
      <c r="T89" s="62"/>
      <c r="U89" s="62"/>
      <c r="V89" s="62"/>
      <c r="W89" s="62"/>
      <c r="X89" s="62"/>
      <c r="Y89" s="62"/>
      <c r="Z89" s="62"/>
      <c r="AA89" s="62"/>
      <c r="AB89" s="62"/>
      <c r="AC89" s="62"/>
      <c r="AD89" s="62"/>
      <c r="AE89" s="63"/>
    </row>
    <row r="90" spans="2:31" x14ac:dyDescent="0.25">
      <c r="B90" s="61"/>
      <c r="C90" s="54"/>
      <c r="D90" s="71"/>
      <c r="E90" s="71"/>
      <c r="F90" s="71"/>
      <c r="G90" s="83"/>
      <c r="H90" s="71"/>
      <c r="I90" s="71"/>
      <c r="J90" s="71"/>
      <c r="K90" s="55"/>
      <c r="L90" s="55"/>
      <c r="M90" s="55"/>
      <c r="N90" s="55"/>
      <c r="O90" s="55"/>
      <c r="P90" s="55"/>
      <c r="Q90" s="62"/>
      <c r="R90" s="62"/>
      <c r="S90" s="62"/>
      <c r="T90" s="62"/>
      <c r="U90" s="62"/>
      <c r="V90" s="62"/>
      <c r="W90" s="62"/>
      <c r="X90" s="62"/>
      <c r="Y90" s="62"/>
      <c r="Z90" s="62"/>
      <c r="AA90" s="62"/>
      <c r="AB90" s="62"/>
      <c r="AC90" s="62"/>
      <c r="AD90" s="62"/>
      <c r="AE90" s="63"/>
    </row>
    <row r="91" spans="2:31" x14ac:dyDescent="0.25">
      <c r="B91" s="61"/>
      <c r="C91" s="54"/>
      <c r="D91" s="71"/>
      <c r="E91" s="71"/>
      <c r="F91" s="71"/>
      <c r="G91" s="83"/>
      <c r="H91" s="71"/>
      <c r="I91" s="71"/>
      <c r="J91" s="71"/>
      <c r="K91" s="55"/>
      <c r="L91" s="55"/>
      <c r="M91" s="55"/>
      <c r="N91" s="55"/>
      <c r="O91" s="55"/>
      <c r="P91" s="55"/>
      <c r="Q91" s="62"/>
      <c r="R91" s="62"/>
      <c r="S91" s="62"/>
      <c r="T91" s="62"/>
      <c r="U91" s="62"/>
      <c r="V91" s="62"/>
      <c r="W91" s="62"/>
      <c r="X91" s="62"/>
      <c r="Y91" s="62"/>
      <c r="Z91" s="62"/>
      <c r="AA91" s="62"/>
      <c r="AB91" s="62"/>
      <c r="AC91" s="62"/>
      <c r="AD91" s="62"/>
      <c r="AE91" s="63"/>
    </row>
    <row r="92" spans="2:31" x14ac:dyDescent="0.25">
      <c r="B92" s="61"/>
      <c r="C92" s="54"/>
      <c r="D92" s="71"/>
      <c r="E92" s="71"/>
      <c r="F92" s="71"/>
      <c r="G92" s="83"/>
      <c r="H92" s="71"/>
      <c r="I92" s="71"/>
      <c r="J92" s="71"/>
      <c r="K92" s="55"/>
      <c r="L92" s="55"/>
      <c r="M92" s="55"/>
      <c r="N92" s="55"/>
      <c r="O92" s="55"/>
      <c r="P92" s="55"/>
      <c r="Q92" s="62"/>
      <c r="R92" s="62"/>
      <c r="S92" s="62"/>
      <c r="T92" s="62"/>
      <c r="U92" s="62"/>
      <c r="V92" s="62"/>
      <c r="W92" s="62"/>
      <c r="X92" s="62"/>
      <c r="Y92" s="62"/>
      <c r="Z92" s="62"/>
      <c r="AA92" s="62"/>
      <c r="AB92" s="62"/>
      <c r="AC92" s="62"/>
      <c r="AD92" s="62"/>
      <c r="AE92" s="63"/>
    </row>
    <row r="93" spans="2:31" x14ac:dyDescent="0.25">
      <c r="B93" s="61"/>
      <c r="C93" s="54"/>
      <c r="D93" s="71"/>
      <c r="E93" s="71"/>
      <c r="F93" s="71"/>
      <c r="G93" s="83"/>
      <c r="H93" s="71"/>
      <c r="I93" s="71"/>
      <c r="J93" s="71"/>
      <c r="K93" s="55"/>
      <c r="L93" s="55"/>
      <c r="M93" s="55"/>
      <c r="N93" s="55"/>
      <c r="O93" s="55"/>
      <c r="P93" s="55"/>
      <c r="Q93" s="62"/>
      <c r="R93" s="62"/>
      <c r="S93" s="62"/>
      <c r="T93" s="62"/>
      <c r="U93" s="62"/>
      <c r="V93" s="62"/>
      <c r="W93" s="62"/>
      <c r="X93" s="62"/>
      <c r="Y93" s="62"/>
      <c r="Z93" s="62"/>
      <c r="AA93" s="62"/>
      <c r="AB93" s="62"/>
      <c r="AC93" s="62"/>
      <c r="AD93" s="62"/>
      <c r="AE93" s="63"/>
    </row>
    <row r="94" spans="2:31" x14ac:dyDescent="0.25">
      <c r="B94" s="61"/>
      <c r="C94" s="54"/>
      <c r="D94" s="71"/>
      <c r="E94" s="71"/>
      <c r="F94" s="71"/>
      <c r="G94" s="83"/>
      <c r="H94" s="71"/>
      <c r="I94" s="71"/>
      <c r="J94" s="71"/>
      <c r="K94" s="55"/>
      <c r="L94" s="55"/>
      <c r="M94" s="55"/>
      <c r="N94" s="55"/>
      <c r="O94" s="55"/>
      <c r="P94" s="55"/>
      <c r="Q94" s="62"/>
      <c r="R94" s="62"/>
      <c r="S94" s="62"/>
      <c r="T94" s="62"/>
      <c r="U94" s="62"/>
      <c r="V94" s="62"/>
      <c r="W94" s="62"/>
      <c r="X94" s="62"/>
      <c r="Y94" s="62"/>
      <c r="Z94" s="62"/>
      <c r="AA94" s="62"/>
      <c r="AB94" s="62"/>
      <c r="AC94" s="62"/>
      <c r="AD94" s="62"/>
      <c r="AE94" s="63"/>
    </row>
    <row r="95" spans="2:31" x14ac:dyDescent="0.25">
      <c r="B95" s="61"/>
      <c r="C95" s="54"/>
      <c r="D95" s="71"/>
      <c r="E95" s="71"/>
      <c r="F95" s="71"/>
      <c r="G95" s="83"/>
      <c r="H95" s="71"/>
      <c r="I95" s="71"/>
      <c r="J95" s="71"/>
      <c r="K95" s="55"/>
      <c r="L95" s="55"/>
      <c r="M95" s="55"/>
      <c r="N95" s="55"/>
      <c r="O95" s="55"/>
      <c r="P95" s="55"/>
      <c r="Q95" s="62"/>
      <c r="R95" s="62"/>
      <c r="S95" s="62"/>
      <c r="T95" s="62"/>
      <c r="U95" s="62"/>
      <c r="V95" s="62"/>
      <c r="W95" s="62"/>
      <c r="X95" s="62"/>
      <c r="Y95" s="62"/>
      <c r="Z95" s="62"/>
      <c r="AA95" s="62"/>
      <c r="AB95" s="62"/>
      <c r="AC95" s="62"/>
      <c r="AD95" s="62"/>
      <c r="AE95" s="63"/>
    </row>
    <row r="96" spans="2:31" x14ac:dyDescent="0.25">
      <c r="B96" s="61"/>
      <c r="C96" s="54"/>
      <c r="D96" s="71"/>
      <c r="E96" s="71"/>
      <c r="F96" s="71"/>
      <c r="G96" s="83"/>
      <c r="H96" s="71"/>
      <c r="I96" s="71"/>
      <c r="J96" s="71"/>
      <c r="K96" s="55"/>
      <c r="L96" s="55"/>
      <c r="M96" s="55"/>
      <c r="N96" s="55"/>
      <c r="O96" s="55"/>
      <c r="P96" s="55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D96" s="62"/>
      <c r="AE96" s="63"/>
    </row>
    <row r="97" spans="2:31" x14ac:dyDescent="0.25">
      <c r="B97" s="61"/>
      <c r="C97" s="54"/>
      <c r="D97" s="71"/>
      <c r="E97" s="71"/>
      <c r="F97" s="71"/>
      <c r="G97" s="83"/>
      <c r="H97" s="71"/>
      <c r="I97" s="71"/>
      <c r="J97" s="71"/>
      <c r="K97" s="55"/>
      <c r="L97" s="55"/>
      <c r="M97" s="55"/>
      <c r="N97" s="55"/>
      <c r="O97" s="55"/>
      <c r="P97" s="55"/>
      <c r="Q97" s="62"/>
      <c r="R97" s="62"/>
      <c r="S97" s="62"/>
      <c r="T97" s="62"/>
      <c r="U97" s="62"/>
      <c r="V97" s="62"/>
      <c r="W97" s="62"/>
      <c r="X97" s="62"/>
      <c r="Y97" s="62"/>
      <c r="Z97" s="62"/>
      <c r="AA97" s="62"/>
      <c r="AB97" s="62"/>
      <c r="AC97" s="62"/>
      <c r="AD97" s="62"/>
      <c r="AE97" s="63"/>
    </row>
    <row r="98" spans="2:31" x14ac:dyDescent="0.25">
      <c r="B98" s="61"/>
      <c r="C98" s="54"/>
      <c r="D98" s="71"/>
      <c r="E98" s="71"/>
      <c r="F98" s="71"/>
      <c r="G98" s="83"/>
      <c r="H98" s="71"/>
      <c r="I98" s="71"/>
      <c r="J98" s="71"/>
      <c r="K98" s="55"/>
      <c r="L98" s="55"/>
      <c r="M98" s="55"/>
      <c r="N98" s="55"/>
      <c r="O98" s="55"/>
      <c r="P98" s="55"/>
      <c r="Q98" s="62"/>
      <c r="R98" s="62"/>
      <c r="S98" s="62"/>
      <c r="T98" s="62"/>
      <c r="U98" s="62"/>
      <c r="V98" s="62"/>
      <c r="W98" s="62"/>
      <c r="X98" s="62"/>
      <c r="Y98" s="62"/>
      <c r="Z98" s="62"/>
      <c r="AA98" s="62"/>
      <c r="AB98" s="62"/>
      <c r="AC98" s="62"/>
      <c r="AD98" s="62"/>
      <c r="AE98" s="63"/>
    </row>
    <row r="99" spans="2:31" s="15" customFormat="1" x14ac:dyDescent="0.2">
      <c r="B99" s="58"/>
      <c r="C99" s="57"/>
      <c r="D99" s="71"/>
      <c r="E99" s="71"/>
      <c r="F99" s="71"/>
      <c r="G99" s="83"/>
      <c r="H99" s="71"/>
      <c r="I99" s="71"/>
      <c r="J99" s="71"/>
      <c r="K99" s="65"/>
      <c r="L99" s="65"/>
      <c r="M99" s="65"/>
      <c r="N99" s="65"/>
      <c r="O99" s="65"/>
      <c r="P99" s="65"/>
      <c r="Q99" s="59"/>
      <c r="R99" s="59"/>
      <c r="S99" s="59"/>
      <c r="T99" s="59"/>
      <c r="U99" s="59"/>
      <c r="V99" s="59"/>
      <c r="W99" s="59"/>
      <c r="X99" s="59"/>
      <c r="Y99" s="59"/>
      <c r="Z99" s="59"/>
      <c r="AA99" s="59"/>
      <c r="AB99" s="59"/>
      <c r="AC99" s="59"/>
      <c r="AD99" s="59"/>
      <c r="AE99" s="60"/>
    </row>
    <row r="100" spans="2:31" x14ac:dyDescent="0.25">
      <c r="B100" s="61"/>
      <c r="C100" s="54"/>
      <c r="D100" s="71"/>
      <c r="E100" s="71"/>
      <c r="F100" s="71"/>
      <c r="G100" s="83"/>
      <c r="H100" s="71"/>
      <c r="I100" s="71"/>
      <c r="J100" s="71"/>
      <c r="K100" s="55"/>
      <c r="L100" s="55"/>
      <c r="M100" s="55"/>
      <c r="N100" s="55"/>
      <c r="O100" s="55"/>
      <c r="P100" s="55"/>
      <c r="Q100" s="62"/>
      <c r="R100" s="62"/>
      <c r="S100" s="62"/>
      <c r="T100" s="62"/>
      <c r="U100" s="62"/>
      <c r="V100" s="62"/>
      <c r="W100" s="62"/>
      <c r="X100" s="62"/>
      <c r="Y100" s="62"/>
      <c r="Z100" s="62"/>
      <c r="AA100" s="62"/>
      <c r="AB100" s="62"/>
      <c r="AC100" s="62"/>
      <c r="AD100" s="62"/>
      <c r="AE100" s="63"/>
    </row>
    <row r="101" spans="2:31" x14ac:dyDescent="0.25">
      <c r="B101" s="61"/>
      <c r="C101" s="54"/>
      <c r="D101" s="71"/>
      <c r="E101" s="71"/>
      <c r="F101" s="71"/>
      <c r="G101" s="83"/>
      <c r="H101" s="71"/>
      <c r="I101" s="71"/>
      <c r="J101" s="71"/>
      <c r="K101" s="55"/>
      <c r="L101" s="55"/>
      <c r="M101" s="55"/>
      <c r="N101" s="55"/>
      <c r="O101" s="55"/>
      <c r="P101" s="55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2"/>
      <c r="AC101" s="62"/>
      <c r="AD101" s="62"/>
      <c r="AE101" s="63"/>
    </row>
    <row r="102" spans="2:31" x14ac:dyDescent="0.25">
      <c r="B102" s="61"/>
      <c r="C102" s="54"/>
      <c r="D102" s="71"/>
      <c r="E102" s="71"/>
      <c r="F102" s="71"/>
      <c r="G102" s="83"/>
      <c r="H102" s="71"/>
      <c r="I102" s="71"/>
      <c r="J102" s="71"/>
      <c r="K102" s="55"/>
      <c r="L102" s="55"/>
      <c r="M102" s="55"/>
      <c r="N102" s="55"/>
      <c r="O102" s="55"/>
      <c r="P102" s="55"/>
      <c r="Q102" s="62"/>
      <c r="R102" s="62"/>
      <c r="S102" s="62"/>
      <c r="T102" s="62"/>
      <c r="U102" s="62"/>
      <c r="V102" s="62"/>
      <c r="W102" s="62"/>
      <c r="X102" s="62"/>
      <c r="Y102" s="62"/>
      <c r="Z102" s="62"/>
      <c r="AA102" s="62"/>
      <c r="AB102" s="62"/>
      <c r="AC102" s="62"/>
      <c r="AD102" s="62"/>
      <c r="AE102" s="63"/>
    </row>
    <row r="103" spans="2:31" x14ac:dyDescent="0.25">
      <c r="B103" s="61"/>
      <c r="C103" s="54"/>
      <c r="D103" s="71"/>
      <c r="E103" s="71"/>
      <c r="F103" s="71"/>
      <c r="G103" s="83"/>
      <c r="H103" s="71"/>
      <c r="I103" s="71"/>
      <c r="J103" s="71"/>
      <c r="K103" s="55"/>
      <c r="L103" s="55"/>
      <c r="M103" s="55"/>
      <c r="N103" s="55"/>
      <c r="O103" s="55"/>
      <c r="P103" s="55"/>
      <c r="Q103" s="62"/>
      <c r="R103" s="62"/>
      <c r="S103" s="62"/>
      <c r="T103" s="62"/>
      <c r="U103" s="62"/>
      <c r="V103" s="62"/>
      <c r="W103" s="62"/>
      <c r="X103" s="62"/>
      <c r="Y103" s="62"/>
      <c r="Z103" s="62"/>
      <c r="AA103" s="62"/>
      <c r="AB103" s="62"/>
      <c r="AC103" s="62"/>
      <c r="AD103" s="62"/>
      <c r="AE103" s="63"/>
    </row>
    <row r="104" spans="2:31" x14ac:dyDescent="0.25">
      <c r="B104" s="61"/>
      <c r="C104" s="54"/>
      <c r="D104" s="71"/>
      <c r="E104" s="71"/>
      <c r="F104" s="71"/>
      <c r="G104" s="83"/>
      <c r="H104" s="71"/>
      <c r="I104" s="71"/>
      <c r="J104" s="71"/>
      <c r="K104" s="55"/>
      <c r="L104" s="55"/>
      <c r="M104" s="55"/>
      <c r="N104" s="55"/>
      <c r="O104" s="55"/>
      <c r="P104" s="55"/>
      <c r="Q104" s="62"/>
      <c r="R104" s="62"/>
      <c r="S104" s="62"/>
      <c r="T104" s="62"/>
      <c r="U104" s="62"/>
      <c r="V104" s="62"/>
      <c r="W104" s="62"/>
      <c r="X104" s="62"/>
      <c r="Y104" s="62"/>
      <c r="Z104" s="62"/>
      <c r="AA104" s="62"/>
      <c r="AB104" s="62"/>
      <c r="AC104" s="62"/>
      <c r="AD104" s="62"/>
      <c r="AE104" s="63"/>
    </row>
    <row r="105" spans="2:31" x14ac:dyDescent="0.25">
      <c r="B105" s="61"/>
      <c r="C105" s="54"/>
      <c r="D105" s="71"/>
      <c r="E105" s="71"/>
      <c r="F105" s="71"/>
      <c r="G105" s="83"/>
      <c r="H105" s="71"/>
      <c r="I105" s="71"/>
      <c r="J105" s="71"/>
      <c r="K105" s="55"/>
      <c r="L105" s="55"/>
      <c r="M105" s="55"/>
      <c r="N105" s="55"/>
      <c r="O105" s="55"/>
      <c r="P105" s="55"/>
      <c r="Q105" s="62"/>
      <c r="R105" s="62"/>
      <c r="S105" s="62"/>
      <c r="T105" s="62"/>
      <c r="U105" s="62"/>
      <c r="V105" s="62"/>
      <c r="W105" s="62"/>
      <c r="X105" s="62"/>
      <c r="Y105" s="62"/>
      <c r="Z105" s="62"/>
      <c r="AA105" s="62"/>
      <c r="AB105" s="62"/>
      <c r="AC105" s="62"/>
      <c r="AD105" s="62"/>
      <c r="AE105" s="63"/>
    </row>
    <row r="106" spans="2:31" x14ac:dyDescent="0.25">
      <c r="B106" s="61"/>
      <c r="C106" s="54"/>
      <c r="D106" s="71"/>
      <c r="E106" s="71"/>
      <c r="F106" s="71"/>
      <c r="G106" s="83"/>
      <c r="H106" s="71"/>
      <c r="I106" s="71"/>
      <c r="J106" s="71"/>
      <c r="K106" s="55"/>
      <c r="L106" s="55"/>
      <c r="M106" s="55"/>
      <c r="N106" s="55"/>
      <c r="O106" s="55"/>
      <c r="P106" s="55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D106" s="62"/>
      <c r="AE106" s="63"/>
    </row>
    <row r="107" spans="2:31" x14ac:dyDescent="0.25">
      <c r="B107" s="61"/>
      <c r="C107" s="54"/>
      <c r="D107" s="71"/>
      <c r="E107" s="71"/>
      <c r="F107" s="71"/>
      <c r="G107" s="83"/>
      <c r="H107" s="71"/>
      <c r="I107" s="71"/>
      <c r="J107" s="71"/>
      <c r="K107" s="55"/>
      <c r="L107" s="55"/>
      <c r="M107" s="55"/>
      <c r="N107" s="55"/>
      <c r="O107" s="55"/>
      <c r="P107" s="55"/>
      <c r="Q107" s="62"/>
      <c r="R107" s="62"/>
      <c r="S107" s="62"/>
      <c r="T107" s="62"/>
      <c r="U107" s="62"/>
      <c r="V107" s="62"/>
      <c r="W107" s="62"/>
      <c r="X107" s="62"/>
      <c r="Y107" s="62"/>
      <c r="Z107" s="62"/>
      <c r="AA107" s="62"/>
      <c r="AB107" s="62"/>
      <c r="AC107" s="62"/>
      <c r="AD107" s="62"/>
      <c r="AE107" s="63"/>
    </row>
    <row r="108" spans="2:31" x14ac:dyDescent="0.25">
      <c r="B108" s="61"/>
      <c r="C108" s="54"/>
      <c r="D108" s="71"/>
      <c r="E108" s="71"/>
      <c r="F108" s="71"/>
      <c r="G108" s="83"/>
      <c r="H108" s="71"/>
      <c r="I108" s="71"/>
      <c r="J108" s="71"/>
      <c r="K108" s="55"/>
      <c r="L108" s="55"/>
      <c r="M108" s="55"/>
      <c r="N108" s="55"/>
      <c r="O108" s="55"/>
      <c r="P108" s="55"/>
      <c r="Q108" s="62"/>
      <c r="R108" s="62"/>
      <c r="S108" s="62"/>
      <c r="T108" s="62"/>
      <c r="U108" s="62"/>
      <c r="V108" s="62"/>
      <c r="W108" s="62"/>
      <c r="X108" s="62"/>
      <c r="Y108" s="62"/>
      <c r="Z108" s="62"/>
      <c r="AA108" s="62"/>
      <c r="AB108" s="62"/>
      <c r="AC108" s="62"/>
      <c r="AD108" s="62"/>
      <c r="AE108" s="63"/>
    </row>
    <row r="109" spans="2:31" x14ac:dyDescent="0.25">
      <c r="B109" s="61"/>
      <c r="C109" s="54"/>
      <c r="D109" s="71"/>
      <c r="E109" s="71"/>
      <c r="F109" s="71"/>
      <c r="G109" s="83"/>
      <c r="H109" s="71"/>
      <c r="I109" s="71"/>
      <c r="J109" s="71"/>
      <c r="K109" s="55"/>
      <c r="L109" s="55"/>
      <c r="M109" s="55"/>
      <c r="N109" s="55"/>
      <c r="O109" s="55"/>
      <c r="P109" s="55"/>
      <c r="Q109" s="62"/>
      <c r="R109" s="62"/>
      <c r="S109" s="62"/>
      <c r="T109" s="62"/>
      <c r="U109" s="62"/>
      <c r="V109" s="62"/>
      <c r="W109" s="62"/>
      <c r="X109" s="62"/>
      <c r="Y109" s="62"/>
      <c r="Z109" s="62"/>
      <c r="AA109" s="62"/>
      <c r="AB109" s="62"/>
      <c r="AC109" s="62"/>
      <c r="AD109" s="62"/>
      <c r="AE109" s="63"/>
    </row>
    <row r="110" spans="2:31" x14ac:dyDescent="0.25">
      <c r="B110" s="61"/>
      <c r="C110" s="54"/>
      <c r="D110" s="71"/>
      <c r="E110" s="71"/>
      <c r="F110" s="71"/>
      <c r="G110" s="83"/>
      <c r="H110" s="71"/>
      <c r="I110" s="71"/>
      <c r="J110" s="71"/>
      <c r="K110" s="55"/>
      <c r="L110" s="55"/>
      <c r="M110" s="55"/>
      <c r="N110" s="55"/>
      <c r="O110" s="55"/>
      <c r="P110" s="55"/>
      <c r="Q110" s="62"/>
      <c r="R110" s="62"/>
      <c r="S110" s="62"/>
      <c r="T110" s="62"/>
      <c r="U110" s="62"/>
      <c r="V110" s="62"/>
      <c r="W110" s="62"/>
      <c r="X110" s="62"/>
      <c r="Y110" s="62"/>
      <c r="Z110" s="62"/>
      <c r="AA110" s="62"/>
      <c r="AB110" s="62"/>
      <c r="AC110" s="62"/>
      <c r="AD110" s="62"/>
      <c r="AE110" s="63"/>
    </row>
    <row r="111" spans="2:31" x14ac:dyDescent="0.25">
      <c r="B111" s="61"/>
      <c r="C111" s="54"/>
      <c r="D111" s="71"/>
      <c r="E111" s="71"/>
      <c r="F111" s="71"/>
      <c r="G111" s="83"/>
      <c r="H111" s="71"/>
      <c r="I111" s="71"/>
      <c r="J111" s="71"/>
      <c r="K111" s="55"/>
      <c r="L111" s="55"/>
      <c r="M111" s="55"/>
      <c r="N111" s="55"/>
      <c r="O111" s="55"/>
      <c r="P111" s="55"/>
      <c r="Q111" s="62"/>
      <c r="R111" s="62"/>
      <c r="S111" s="62"/>
      <c r="T111" s="62"/>
      <c r="U111" s="62"/>
      <c r="V111" s="62"/>
      <c r="W111" s="62"/>
      <c r="X111" s="62"/>
      <c r="Y111" s="62"/>
      <c r="Z111" s="62"/>
      <c r="AA111" s="62"/>
      <c r="AB111" s="62"/>
      <c r="AC111" s="62"/>
      <c r="AD111" s="62"/>
      <c r="AE111" s="63"/>
    </row>
    <row r="112" spans="2:31" x14ac:dyDescent="0.25">
      <c r="B112" s="61"/>
      <c r="C112" s="54"/>
      <c r="D112" s="71"/>
      <c r="E112" s="71"/>
      <c r="F112" s="71"/>
      <c r="G112" s="83"/>
      <c r="H112" s="71"/>
      <c r="I112" s="71"/>
      <c r="J112" s="71"/>
      <c r="K112" s="55"/>
      <c r="L112" s="55"/>
      <c r="M112" s="55"/>
      <c r="N112" s="55"/>
      <c r="O112" s="55"/>
      <c r="P112" s="55"/>
      <c r="Q112" s="62"/>
      <c r="R112" s="62"/>
      <c r="S112" s="62"/>
      <c r="T112" s="62"/>
      <c r="U112" s="62"/>
      <c r="V112" s="62"/>
      <c r="W112" s="62"/>
      <c r="X112" s="62"/>
      <c r="Y112" s="62"/>
      <c r="Z112" s="62"/>
      <c r="AA112" s="62"/>
      <c r="AB112" s="62"/>
      <c r="AC112" s="62"/>
      <c r="AD112" s="62"/>
      <c r="AE112" s="63"/>
    </row>
    <row r="113" spans="2:31" x14ac:dyDescent="0.25">
      <c r="B113" s="61"/>
      <c r="C113" s="54"/>
      <c r="D113" s="71"/>
      <c r="E113" s="71"/>
      <c r="F113" s="71"/>
      <c r="G113" s="83"/>
      <c r="H113" s="71"/>
      <c r="I113" s="71"/>
      <c r="J113" s="71"/>
      <c r="K113" s="55"/>
      <c r="L113" s="55"/>
      <c r="M113" s="55"/>
      <c r="N113" s="55"/>
      <c r="O113" s="55"/>
      <c r="P113" s="55"/>
      <c r="Q113" s="62"/>
      <c r="R113" s="62"/>
      <c r="S113" s="62"/>
      <c r="T113" s="62"/>
      <c r="U113" s="62"/>
      <c r="V113" s="62"/>
      <c r="W113" s="62"/>
      <c r="X113" s="62"/>
      <c r="Y113" s="62"/>
      <c r="Z113" s="62"/>
      <c r="AA113" s="62"/>
      <c r="AB113" s="62"/>
      <c r="AC113" s="62"/>
      <c r="AD113" s="62"/>
      <c r="AE113" s="63"/>
    </row>
    <row r="114" spans="2:31" x14ac:dyDescent="0.25">
      <c r="B114" s="61"/>
      <c r="C114" s="54"/>
      <c r="D114" s="71"/>
      <c r="E114" s="71"/>
      <c r="F114" s="71"/>
      <c r="G114" s="83"/>
      <c r="H114" s="71"/>
      <c r="I114" s="71"/>
      <c r="J114" s="71"/>
      <c r="K114" s="55"/>
      <c r="L114" s="55"/>
      <c r="M114" s="55"/>
      <c r="N114" s="55"/>
      <c r="O114" s="55"/>
      <c r="P114" s="55"/>
      <c r="Q114" s="62"/>
      <c r="R114" s="62"/>
      <c r="S114" s="62"/>
      <c r="T114" s="62"/>
      <c r="U114" s="62"/>
      <c r="V114" s="62"/>
      <c r="W114" s="62"/>
      <c r="X114" s="62"/>
      <c r="Y114" s="62"/>
      <c r="Z114" s="62"/>
      <c r="AA114" s="62"/>
      <c r="AB114" s="62"/>
      <c r="AC114" s="62"/>
      <c r="AD114" s="62"/>
      <c r="AE114" s="63"/>
    </row>
    <row r="115" spans="2:31" x14ac:dyDescent="0.25">
      <c r="B115" s="61"/>
      <c r="C115" s="54"/>
      <c r="D115" s="71"/>
      <c r="E115" s="71"/>
      <c r="F115" s="71"/>
      <c r="G115" s="83"/>
      <c r="H115" s="71"/>
      <c r="I115" s="71"/>
      <c r="J115" s="71"/>
      <c r="K115" s="55"/>
      <c r="L115" s="55"/>
      <c r="M115" s="55"/>
      <c r="N115" s="55"/>
      <c r="O115" s="55"/>
      <c r="P115" s="55"/>
      <c r="Q115" s="62"/>
      <c r="R115" s="62"/>
      <c r="S115" s="62"/>
      <c r="T115" s="62"/>
      <c r="U115" s="62"/>
      <c r="V115" s="62"/>
      <c r="W115" s="62"/>
      <c r="X115" s="62"/>
      <c r="Y115" s="62"/>
      <c r="Z115" s="62"/>
      <c r="AA115" s="62"/>
      <c r="AB115" s="62"/>
      <c r="AC115" s="62"/>
      <c r="AD115" s="62"/>
      <c r="AE115" s="63"/>
    </row>
    <row r="116" spans="2:31" x14ac:dyDescent="0.25">
      <c r="B116" s="61"/>
      <c r="C116" s="54"/>
      <c r="D116" s="71"/>
      <c r="E116" s="71"/>
      <c r="F116" s="71"/>
      <c r="G116" s="83"/>
      <c r="H116" s="71"/>
      <c r="I116" s="71"/>
      <c r="J116" s="71"/>
      <c r="K116" s="55"/>
      <c r="L116" s="55"/>
      <c r="M116" s="55"/>
      <c r="N116" s="55"/>
      <c r="O116" s="55"/>
      <c r="P116" s="55"/>
      <c r="Q116" s="62"/>
      <c r="R116" s="62"/>
      <c r="S116" s="62"/>
      <c r="T116" s="62"/>
      <c r="U116" s="62"/>
      <c r="V116" s="62"/>
      <c r="W116" s="62"/>
      <c r="X116" s="62"/>
      <c r="Y116" s="62"/>
      <c r="Z116" s="62"/>
      <c r="AA116" s="62"/>
      <c r="AB116" s="62"/>
      <c r="AC116" s="62"/>
      <c r="AD116" s="62"/>
      <c r="AE116" s="63"/>
    </row>
    <row r="117" spans="2:31" s="15" customFormat="1" x14ac:dyDescent="0.2">
      <c r="B117" s="58"/>
      <c r="C117" s="54"/>
      <c r="D117" s="71"/>
      <c r="E117" s="71"/>
      <c r="F117" s="71"/>
      <c r="G117" s="83"/>
      <c r="H117" s="71"/>
      <c r="I117" s="71"/>
      <c r="J117" s="71"/>
      <c r="K117" s="55"/>
      <c r="L117" s="55"/>
      <c r="M117" s="55"/>
      <c r="N117" s="55"/>
      <c r="O117" s="55"/>
      <c r="P117" s="55"/>
      <c r="Q117" s="59"/>
      <c r="R117" s="59"/>
      <c r="S117" s="59"/>
      <c r="T117" s="59"/>
      <c r="U117" s="59"/>
      <c r="V117" s="59"/>
      <c r="W117" s="59"/>
      <c r="X117" s="59"/>
      <c r="Y117" s="59"/>
      <c r="Z117" s="59"/>
      <c r="AA117" s="59"/>
      <c r="AB117" s="59"/>
      <c r="AC117" s="59"/>
      <c r="AD117" s="59"/>
      <c r="AE117" s="60"/>
    </row>
    <row r="118" spans="2:31" x14ac:dyDescent="0.25">
      <c r="B118" s="61"/>
      <c r="C118" s="54"/>
      <c r="D118" s="71"/>
      <c r="E118" s="71"/>
      <c r="F118" s="71"/>
      <c r="G118" s="83"/>
      <c r="H118" s="71"/>
      <c r="I118" s="71"/>
      <c r="J118" s="71"/>
      <c r="K118" s="55"/>
      <c r="L118" s="55"/>
      <c r="M118" s="55"/>
      <c r="N118" s="55"/>
      <c r="O118" s="55"/>
      <c r="P118" s="55"/>
      <c r="Q118" s="62"/>
      <c r="R118" s="62"/>
      <c r="S118" s="62"/>
      <c r="T118" s="62"/>
      <c r="U118" s="62"/>
      <c r="V118" s="62"/>
      <c r="W118" s="62"/>
      <c r="X118" s="62"/>
      <c r="Y118" s="62"/>
      <c r="Z118" s="62"/>
      <c r="AA118" s="62"/>
      <c r="AB118" s="62"/>
      <c r="AC118" s="62"/>
      <c r="AD118" s="62"/>
      <c r="AE118" s="63"/>
    </row>
    <row r="119" spans="2:31" x14ac:dyDescent="0.25">
      <c r="B119" s="61"/>
      <c r="C119" s="54"/>
      <c r="D119" s="71"/>
      <c r="E119" s="71"/>
      <c r="F119" s="71"/>
      <c r="G119" s="83"/>
      <c r="H119" s="71"/>
      <c r="I119" s="71"/>
      <c r="J119" s="71"/>
      <c r="K119" s="55"/>
      <c r="L119" s="55"/>
      <c r="M119" s="55"/>
      <c r="N119" s="55"/>
      <c r="O119" s="55"/>
      <c r="P119" s="55"/>
      <c r="Q119" s="62"/>
      <c r="R119" s="62"/>
      <c r="S119" s="62"/>
      <c r="T119" s="62"/>
      <c r="U119" s="62"/>
      <c r="V119" s="62"/>
      <c r="W119" s="62"/>
      <c r="X119" s="62"/>
      <c r="Y119" s="62"/>
      <c r="Z119" s="62"/>
      <c r="AA119" s="62"/>
      <c r="AB119" s="62"/>
      <c r="AC119" s="62"/>
      <c r="AD119" s="62"/>
      <c r="AE119" s="63"/>
    </row>
    <row r="120" spans="2:31" x14ac:dyDescent="0.25">
      <c r="B120" s="61"/>
      <c r="C120" s="54"/>
      <c r="D120" s="71"/>
      <c r="E120" s="71"/>
      <c r="F120" s="71"/>
      <c r="G120" s="83"/>
      <c r="H120" s="71"/>
      <c r="I120" s="71"/>
      <c r="J120" s="71"/>
      <c r="K120" s="55"/>
      <c r="L120" s="55"/>
      <c r="M120" s="55"/>
      <c r="N120" s="55"/>
      <c r="O120" s="55"/>
      <c r="P120" s="55"/>
      <c r="Q120" s="62"/>
      <c r="R120" s="62"/>
      <c r="S120" s="62"/>
      <c r="T120" s="62"/>
      <c r="U120" s="62"/>
      <c r="V120" s="62"/>
      <c r="W120" s="62"/>
      <c r="X120" s="62"/>
      <c r="Y120" s="62"/>
      <c r="Z120" s="62"/>
      <c r="AA120" s="62"/>
      <c r="AB120" s="62"/>
      <c r="AC120" s="62"/>
      <c r="AD120" s="62"/>
      <c r="AE120" s="63"/>
    </row>
    <row r="121" spans="2:31" x14ac:dyDescent="0.25">
      <c r="B121" s="61"/>
      <c r="C121" s="54"/>
      <c r="D121" s="71"/>
      <c r="E121" s="71"/>
      <c r="F121" s="71"/>
      <c r="G121" s="83"/>
      <c r="H121" s="71"/>
      <c r="I121" s="71"/>
      <c r="J121" s="71"/>
      <c r="K121" s="55"/>
      <c r="L121" s="55"/>
      <c r="M121" s="55"/>
      <c r="N121" s="55"/>
      <c r="O121" s="55"/>
      <c r="P121" s="55"/>
      <c r="Q121" s="62"/>
      <c r="R121" s="62"/>
      <c r="S121" s="62"/>
      <c r="T121" s="62"/>
      <c r="U121" s="62"/>
      <c r="V121" s="62"/>
      <c r="W121" s="62"/>
      <c r="X121" s="62"/>
      <c r="Y121" s="62"/>
      <c r="Z121" s="62"/>
      <c r="AA121" s="62"/>
      <c r="AB121" s="62"/>
      <c r="AC121" s="62"/>
      <c r="AD121" s="62"/>
      <c r="AE121" s="63"/>
    </row>
    <row r="122" spans="2:31" x14ac:dyDescent="0.25">
      <c r="B122" s="61"/>
      <c r="C122" s="54"/>
      <c r="D122" s="71"/>
      <c r="E122" s="71"/>
      <c r="F122" s="71"/>
      <c r="G122" s="83"/>
      <c r="H122" s="71"/>
      <c r="I122" s="71"/>
      <c r="J122" s="71"/>
      <c r="K122" s="55"/>
      <c r="L122" s="55"/>
      <c r="M122" s="55"/>
      <c r="N122" s="55"/>
      <c r="O122" s="55"/>
      <c r="P122" s="55"/>
      <c r="Q122" s="62"/>
      <c r="R122" s="62"/>
      <c r="S122" s="62"/>
      <c r="T122" s="62"/>
      <c r="U122" s="62"/>
      <c r="V122" s="62"/>
      <c r="W122" s="62"/>
      <c r="X122" s="62"/>
      <c r="Y122" s="62"/>
      <c r="Z122" s="62"/>
      <c r="AA122" s="62"/>
      <c r="AB122" s="62"/>
      <c r="AC122" s="62"/>
      <c r="AD122" s="62"/>
      <c r="AE122" s="63"/>
    </row>
    <row r="123" spans="2:31" x14ac:dyDescent="0.25">
      <c r="B123" s="61"/>
      <c r="C123" s="54"/>
      <c r="D123" s="71"/>
      <c r="E123" s="71"/>
      <c r="F123" s="71"/>
      <c r="G123" s="83"/>
      <c r="H123" s="71"/>
      <c r="I123" s="71"/>
      <c r="J123" s="71"/>
      <c r="K123" s="55"/>
      <c r="L123" s="55"/>
      <c r="M123" s="55"/>
      <c r="N123" s="55"/>
      <c r="O123" s="55"/>
      <c r="P123" s="55"/>
      <c r="Q123" s="62"/>
      <c r="R123" s="62"/>
      <c r="S123" s="62"/>
      <c r="T123" s="62"/>
      <c r="U123" s="62"/>
      <c r="V123" s="62"/>
      <c r="W123" s="62"/>
      <c r="X123" s="62"/>
      <c r="Y123" s="62"/>
      <c r="Z123" s="62"/>
      <c r="AA123" s="62"/>
      <c r="AB123" s="62"/>
      <c r="AC123" s="62"/>
      <c r="AD123" s="62"/>
      <c r="AE123" s="63"/>
    </row>
    <row r="124" spans="2:31" x14ac:dyDescent="0.25">
      <c r="B124" s="61"/>
      <c r="C124" s="54"/>
      <c r="D124" s="71"/>
      <c r="E124" s="71"/>
      <c r="F124" s="71"/>
      <c r="G124" s="83"/>
      <c r="H124" s="71"/>
      <c r="I124" s="71"/>
      <c r="J124" s="71"/>
      <c r="K124" s="55"/>
      <c r="L124" s="55"/>
      <c r="M124" s="55"/>
      <c r="N124" s="55"/>
      <c r="O124" s="55"/>
      <c r="P124" s="55"/>
      <c r="Q124" s="62"/>
      <c r="R124" s="62"/>
      <c r="S124" s="62"/>
      <c r="T124" s="62"/>
      <c r="U124" s="62"/>
      <c r="V124" s="62"/>
      <c r="W124" s="62"/>
      <c r="X124" s="62"/>
      <c r="Y124" s="62"/>
      <c r="Z124" s="62"/>
      <c r="AA124" s="62"/>
      <c r="AB124" s="62"/>
      <c r="AC124" s="62"/>
      <c r="AD124" s="62"/>
      <c r="AE124" s="63"/>
    </row>
    <row r="125" spans="2:31" x14ac:dyDescent="0.25">
      <c r="B125" s="61"/>
      <c r="C125" s="54"/>
      <c r="D125" s="71"/>
      <c r="E125" s="71"/>
      <c r="F125" s="71"/>
      <c r="G125" s="83"/>
      <c r="H125" s="71"/>
      <c r="I125" s="71"/>
      <c r="J125" s="71"/>
      <c r="K125" s="55"/>
      <c r="L125" s="55"/>
      <c r="M125" s="55"/>
      <c r="N125" s="55"/>
      <c r="O125" s="55"/>
      <c r="P125" s="55"/>
      <c r="Q125" s="62"/>
      <c r="R125" s="62"/>
      <c r="S125" s="62"/>
      <c r="T125" s="62"/>
      <c r="U125" s="62"/>
      <c r="V125" s="62"/>
      <c r="W125" s="62"/>
      <c r="X125" s="62"/>
      <c r="Y125" s="62"/>
      <c r="Z125" s="62"/>
      <c r="AA125" s="62"/>
      <c r="AB125" s="62"/>
      <c r="AC125" s="62"/>
      <c r="AD125" s="62"/>
      <c r="AE125" s="63"/>
    </row>
    <row r="126" spans="2:31" x14ac:dyDescent="0.25">
      <c r="B126" s="61"/>
      <c r="C126" s="54"/>
      <c r="D126" s="71"/>
      <c r="E126" s="71"/>
      <c r="F126" s="71"/>
      <c r="G126" s="83"/>
      <c r="H126" s="71"/>
      <c r="I126" s="71"/>
      <c r="J126" s="71"/>
      <c r="K126" s="55"/>
      <c r="L126" s="55"/>
      <c r="M126" s="55"/>
      <c r="N126" s="55"/>
      <c r="O126" s="55"/>
      <c r="P126" s="55"/>
      <c r="Q126" s="62"/>
      <c r="R126" s="62"/>
      <c r="S126" s="62"/>
      <c r="T126" s="62"/>
      <c r="U126" s="62"/>
      <c r="V126" s="62"/>
      <c r="W126" s="62"/>
      <c r="X126" s="62"/>
      <c r="Y126" s="62"/>
      <c r="Z126" s="62"/>
      <c r="AA126" s="62"/>
      <c r="AB126" s="62"/>
      <c r="AC126" s="62"/>
      <c r="AD126" s="62"/>
      <c r="AE126" s="63"/>
    </row>
    <row r="127" spans="2:31" x14ac:dyDescent="0.25">
      <c r="B127" s="61"/>
      <c r="C127" s="54"/>
      <c r="D127" s="71"/>
      <c r="E127" s="71"/>
      <c r="F127" s="71"/>
      <c r="G127" s="83"/>
      <c r="H127" s="71"/>
      <c r="I127" s="71"/>
      <c r="J127" s="71"/>
      <c r="K127" s="55"/>
      <c r="L127" s="55"/>
      <c r="M127" s="55"/>
      <c r="N127" s="55"/>
      <c r="O127" s="55"/>
      <c r="P127" s="55"/>
      <c r="Q127" s="62"/>
      <c r="R127" s="62"/>
      <c r="S127" s="62"/>
      <c r="T127" s="62"/>
      <c r="U127" s="62"/>
      <c r="V127" s="62"/>
      <c r="W127" s="62"/>
      <c r="X127" s="62"/>
      <c r="Y127" s="62"/>
      <c r="Z127" s="62"/>
      <c r="AA127" s="62"/>
      <c r="AB127" s="62"/>
      <c r="AC127" s="62"/>
      <c r="AD127" s="62"/>
      <c r="AE127" s="63"/>
    </row>
    <row r="128" spans="2:31" x14ac:dyDescent="0.25">
      <c r="B128" s="61"/>
      <c r="C128" s="54"/>
      <c r="D128" s="71"/>
      <c r="E128" s="71"/>
      <c r="F128" s="71"/>
      <c r="G128" s="83"/>
      <c r="H128" s="71"/>
      <c r="I128" s="71"/>
      <c r="J128" s="71"/>
      <c r="K128" s="55"/>
      <c r="L128" s="55"/>
      <c r="M128" s="55"/>
      <c r="N128" s="55"/>
      <c r="O128" s="55"/>
      <c r="P128" s="55"/>
      <c r="Q128" s="62"/>
      <c r="R128" s="62"/>
      <c r="S128" s="62"/>
      <c r="T128" s="62"/>
      <c r="U128" s="62"/>
      <c r="V128" s="62"/>
      <c r="W128" s="62"/>
      <c r="X128" s="62"/>
      <c r="Y128" s="62"/>
      <c r="Z128" s="62"/>
      <c r="AA128" s="62"/>
      <c r="AB128" s="62"/>
      <c r="AC128" s="62"/>
      <c r="AD128" s="62"/>
      <c r="AE128" s="63"/>
    </row>
    <row r="129" spans="2:31" x14ac:dyDescent="0.25">
      <c r="B129" s="61"/>
      <c r="C129" s="54"/>
      <c r="D129" s="71"/>
      <c r="E129" s="71"/>
      <c r="F129" s="71"/>
      <c r="G129" s="83"/>
      <c r="H129" s="71"/>
      <c r="I129" s="71"/>
      <c r="J129" s="71"/>
      <c r="K129" s="55"/>
      <c r="L129" s="55"/>
      <c r="M129" s="55"/>
      <c r="N129" s="55"/>
      <c r="O129" s="55"/>
      <c r="P129" s="55"/>
      <c r="Q129" s="62"/>
      <c r="R129" s="62"/>
      <c r="S129" s="62"/>
      <c r="T129" s="62"/>
      <c r="U129" s="62"/>
      <c r="V129" s="62"/>
      <c r="W129" s="62"/>
      <c r="X129" s="62"/>
      <c r="Y129" s="62"/>
      <c r="Z129" s="62"/>
      <c r="AA129" s="62"/>
      <c r="AB129" s="62"/>
      <c r="AC129" s="62"/>
      <c r="AD129" s="62"/>
      <c r="AE129" s="63"/>
    </row>
    <row r="130" spans="2:31" x14ac:dyDescent="0.25">
      <c r="B130" s="61"/>
      <c r="C130" s="54"/>
      <c r="D130" s="71"/>
      <c r="E130" s="71"/>
      <c r="F130" s="71"/>
      <c r="G130" s="83"/>
      <c r="H130" s="71"/>
      <c r="I130" s="71"/>
      <c r="J130" s="71"/>
      <c r="K130" s="55"/>
      <c r="L130" s="55"/>
      <c r="M130" s="55"/>
      <c r="N130" s="55"/>
      <c r="O130" s="55"/>
      <c r="P130" s="55"/>
      <c r="Q130" s="62"/>
      <c r="R130" s="62"/>
      <c r="S130" s="62"/>
      <c r="T130" s="62"/>
      <c r="U130" s="62"/>
      <c r="V130" s="62"/>
      <c r="W130" s="62"/>
      <c r="X130" s="62"/>
      <c r="Y130" s="62"/>
      <c r="Z130" s="62"/>
      <c r="AA130" s="62"/>
      <c r="AB130" s="62"/>
      <c r="AC130" s="62"/>
      <c r="AD130" s="62"/>
      <c r="AE130" s="63"/>
    </row>
    <row r="131" spans="2:31" x14ac:dyDescent="0.25">
      <c r="B131" s="61"/>
      <c r="C131" s="54"/>
      <c r="D131" s="71"/>
      <c r="E131" s="71"/>
      <c r="F131" s="71"/>
      <c r="G131" s="83"/>
      <c r="H131" s="71"/>
      <c r="I131" s="71"/>
      <c r="J131" s="71"/>
      <c r="K131" s="55"/>
      <c r="L131" s="55"/>
      <c r="M131" s="55"/>
      <c r="N131" s="55"/>
      <c r="O131" s="55"/>
      <c r="P131" s="55"/>
      <c r="Q131" s="62"/>
      <c r="R131" s="62"/>
      <c r="S131" s="62"/>
      <c r="T131" s="62"/>
      <c r="U131" s="62"/>
      <c r="V131" s="62"/>
      <c r="W131" s="62"/>
      <c r="X131" s="62"/>
      <c r="Y131" s="62"/>
      <c r="Z131" s="62"/>
      <c r="AA131" s="62"/>
      <c r="AB131" s="62"/>
      <c r="AC131" s="62"/>
      <c r="AD131" s="62"/>
      <c r="AE131" s="63"/>
    </row>
    <row r="132" spans="2:31" x14ac:dyDescent="0.25">
      <c r="B132" s="61"/>
      <c r="C132" s="54"/>
      <c r="D132" s="71"/>
      <c r="E132" s="71"/>
      <c r="F132" s="71"/>
      <c r="G132" s="83"/>
      <c r="H132" s="71"/>
      <c r="I132" s="71"/>
      <c r="J132" s="71"/>
      <c r="K132" s="55"/>
      <c r="L132" s="55"/>
      <c r="M132" s="55"/>
      <c r="N132" s="55"/>
      <c r="O132" s="55"/>
      <c r="P132" s="55"/>
      <c r="Q132" s="62"/>
      <c r="R132" s="62"/>
      <c r="S132" s="62"/>
      <c r="T132" s="62"/>
      <c r="U132" s="62"/>
      <c r="V132" s="62"/>
      <c r="W132" s="62"/>
      <c r="X132" s="62"/>
      <c r="Y132" s="62"/>
      <c r="Z132" s="62"/>
      <c r="AA132" s="62"/>
      <c r="AB132" s="62"/>
      <c r="AC132" s="62"/>
      <c r="AD132" s="62"/>
      <c r="AE132" s="63"/>
    </row>
    <row r="133" spans="2:31" x14ac:dyDescent="0.25">
      <c r="B133" s="61"/>
      <c r="C133" s="54"/>
      <c r="D133" s="71"/>
      <c r="E133" s="71"/>
      <c r="F133" s="71"/>
      <c r="G133" s="83"/>
      <c r="H133" s="71"/>
      <c r="I133" s="71"/>
      <c r="J133" s="71"/>
      <c r="K133" s="55"/>
      <c r="L133" s="55"/>
      <c r="M133" s="55"/>
      <c r="N133" s="55"/>
      <c r="O133" s="55"/>
      <c r="P133" s="55"/>
      <c r="Q133" s="62"/>
      <c r="R133" s="62"/>
      <c r="S133" s="62"/>
      <c r="T133" s="62"/>
      <c r="U133" s="62"/>
      <c r="V133" s="62"/>
      <c r="W133" s="62"/>
      <c r="X133" s="62"/>
      <c r="Y133" s="62"/>
      <c r="Z133" s="62"/>
      <c r="AA133" s="62"/>
      <c r="AB133" s="62"/>
      <c r="AC133" s="62"/>
      <c r="AD133" s="62"/>
      <c r="AE133" s="63"/>
    </row>
    <row r="134" spans="2:31" x14ac:dyDescent="0.25">
      <c r="B134" s="61"/>
      <c r="C134" s="54"/>
      <c r="D134" s="71"/>
      <c r="E134" s="71"/>
      <c r="F134" s="71"/>
      <c r="G134" s="83"/>
      <c r="H134" s="71"/>
      <c r="I134" s="71"/>
      <c r="J134" s="71"/>
      <c r="K134" s="55"/>
      <c r="L134" s="55"/>
      <c r="M134" s="55"/>
      <c r="N134" s="55"/>
      <c r="O134" s="55"/>
      <c r="P134" s="55"/>
      <c r="Q134" s="62"/>
      <c r="R134" s="62"/>
      <c r="S134" s="62"/>
      <c r="T134" s="62"/>
      <c r="U134" s="62"/>
      <c r="V134" s="62"/>
      <c r="W134" s="62"/>
      <c r="X134" s="62"/>
      <c r="Y134" s="62"/>
      <c r="Z134" s="62"/>
      <c r="AA134" s="62"/>
      <c r="AB134" s="62"/>
      <c r="AC134" s="62"/>
      <c r="AD134" s="62"/>
      <c r="AE134" s="63"/>
    </row>
    <row r="135" spans="2:31" s="15" customFormat="1" x14ac:dyDescent="0.2">
      <c r="B135" s="58"/>
      <c r="C135" s="54"/>
      <c r="D135" s="71"/>
      <c r="E135" s="71"/>
      <c r="F135" s="71"/>
      <c r="G135" s="83"/>
      <c r="H135" s="71"/>
      <c r="I135" s="71"/>
      <c r="J135" s="71"/>
      <c r="K135" s="55"/>
      <c r="L135" s="55"/>
      <c r="M135" s="55"/>
      <c r="N135" s="55"/>
      <c r="O135" s="55"/>
      <c r="P135" s="55"/>
      <c r="Q135" s="59"/>
      <c r="R135" s="59"/>
      <c r="S135" s="59"/>
      <c r="T135" s="59"/>
      <c r="U135" s="59"/>
      <c r="V135" s="59"/>
      <c r="W135" s="59"/>
      <c r="X135" s="59"/>
      <c r="Y135" s="59"/>
      <c r="Z135" s="59"/>
      <c r="AA135" s="59"/>
      <c r="AB135" s="59"/>
      <c r="AC135" s="59"/>
      <c r="AD135" s="59"/>
      <c r="AE135" s="60"/>
    </row>
    <row r="136" spans="2:31" x14ac:dyDescent="0.25">
      <c r="B136" s="61"/>
      <c r="C136" s="54"/>
      <c r="D136" s="71"/>
      <c r="E136" s="71"/>
      <c r="F136" s="71"/>
      <c r="G136" s="83"/>
      <c r="H136" s="71"/>
      <c r="I136" s="71"/>
      <c r="J136" s="71"/>
      <c r="K136" s="55"/>
      <c r="L136" s="55"/>
      <c r="M136" s="55"/>
      <c r="N136" s="55"/>
      <c r="O136" s="55"/>
      <c r="P136" s="55"/>
      <c r="Q136" s="62"/>
      <c r="R136" s="62"/>
      <c r="S136" s="62"/>
      <c r="T136" s="62"/>
      <c r="U136" s="62"/>
      <c r="V136" s="62"/>
      <c r="W136" s="62"/>
      <c r="X136" s="62"/>
      <c r="Y136" s="62"/>
      <c r="Z136" s="62"/>
      <c r="AA136" s="62"/>
      <c r="AB136" s="62"/>
      <c r="AC136" s="62"/>
      <c r="AD136" s="62"/>
      <c r="AE136" s="63"/>
    </row>
    <row r="137" spans="2:31" x14ac:dyDescent="0.25">
      <c r="B137" s="61"/>
      <c r="C137" s="54"/>
      <c r="D137" s="71"/>
      <c r="E137" s="71"/>
      <c r="F137" s="71"/>
      <c r="G137" s="83"/>
      <c r="H137" s="71"/>
      <c r="I137" s="71"/>
      <c r="J137" s="71"/>
      <c r="K137" s="55"/>
      <c r="L137" s="55"/>
      <c r="M137" s="55"/>
      <c r="N137" s="55"/>
      <c r="O137" s="55"/>
      <c r="P137" s="55"/>
      <c r="Q137" s="62"/>
      <c r="R137" s="62"/>
      <c r="S137" s="62"/>
      <c r="T137" s="62"/>
      <c r="U137" s="62"/>
      <c r="V137" s="62"/>
      <c r="W137" s="62"/>
      <c r="X137" s="62"/>
      <c r="Y137" s="62"/>
      <c r="Z137" s="62"/>
      <c r="AA137" s="62"/>
      <c r="AB137" s="62"/>
      <c r="AC137" s="62"/>
      <c r="AD137" s="62"/>
      <c r="AE137" s="63"/>
    </row>
    <row r="138" spans="2:31" x14ac:dyDescent="0.25">
      <c r="B138" s="61"/>
      <c r="C138" s="54"/>
      <c r="D138" s="71"/>
      <c r="E138" s="71"/>
      <c r="F138" s="71"/>
      <c r="G138" s="83"/>
      <c r="H138" s="71"/>
      <c r="I138" s="71"/>
      <c r="J138" s="71"/>
      <c r="K138" s="55"/>
      <c r="L138" s="55"/>
      <c r="M138" s="55"/>
      <c r="N138" s="55"/>
      <c r="O138" s="55"/>
      <c r="P138" s="55"/>
      <c r="Q138" s="62"/>
      <c r="R138" s="62"/>
      <c r="S138" s="62"/>
      <c r="T138" s="62"/>
      <c r="U138" s="62"/>
      <c r="V138" s="62"/>
      <c r="W138" s="62"/>
      <c r="X138" s="62"/>
      <c r="Y138" s="62"/>
      <c r="Z138" s="62"/>
      <c r="AA138" s="62"/>
      <c r="AB138" s="62"/>
      <c r="AC138" s="62"/>
      <c r="AD138" s="62"/>
      <c r="AE138" s="63"/>
    </row>
    <row r="139" spans="2:31" x14ac:dyDescent="0.25">
      <c r="B139" s="61"/>
      <c r="C139" s="54"/>
      <c r="D139" s="71"/>
      <c r="E139" s="71"/>
      <c r="F139" s="71"/>
      <c r="G139" s="83"/>
      <c r="H139" s="71"/>
      <c r="I139" s="71"/>
      <c r="J139" s="71"/>
      <c r="K139" s="55"/>
      <c r="L139" s="55"/>
      <c r="M139" s="55"/>
      <c r="N139" s="55"/>
      <c r="O139" s="55"/>
      <c r="P139" s="55"/>
      <c r="Q139" s="62"/>
      <c r="R139" s="62"/>
      <c r="S139" s="62"/>
      <c r="T139" s="62"/>
      <c r="U139" s="62"/>
      <c r="V139" s="62"/>
      <c r="W139" s="62"/>
      <c r="X139" s="62"/>
      <c r="Y139" s="62"/>
      <c r="Z139" s="62"/>
      <c r="AA139" s="62"/>
      <c r="AB139" s="62"/>
      <c r="AC139" s="62"/>
      <c r="AD139" s="62"/>
      <c r="AE139" s="63"/>
    </row>
    <row r="140" spans="2:31" x14ac:dyDescent="0.25">
      <c r="B140" s="61"/>
      <c r="C140" s="54"/>
      <c r="D140" s="71"/>
      <c r="E140" s="71"/>
      <c r="F140" s="71"/>
      <c r="G140" s="83"/>
      <c r="H140" s="71"/>
      <c r="I140" s="71"/>
      <c r="J140" s="71"/>
      <c r="K140" s="55"/>
      <c r="L140" s="55"/>
      <c r="M140" s="55"/>
      <c r="N140" s="55"/>
      <c r="O140" s="55"/>
      <c r="P140" s="55"/>
      <c r="Q140" s="62"/>
      <c r="R140" s="62"/>
      <c r="S140" s="62"/>
      <c r="T140" s="62"/>
      <c r="U140" s="62"/>
      <c r="V140" s="62"/>
      <c r="W140" s="62"/>
      <c r="X140" s="62"/>
      <c r="Y140" s="62"/>
      <c r="Z140" s="62"/>
      <c r="AA140" s="62"/>
      <c r="AB140" s="62"/>
      <c r="AC140" s="62"/>
      <c r="AD140" s="62"/>
      <c r="AE140" s="63"/>
    </row>
    <row r="141" spans="2:31" x14ac:dyDescent="0.25">
      <c r="B141" s="61"/>
      <c r="C141" s="54"/>
      <c r="D141" s="71"/>
      <c r="E141" s="71"/>
      <c r="F141" s="71"/>
      <c r="G141" s="83"/>
      <c r="H141" s="71"/>
      <c r="I141" s="71"/>
      <c r="J141" s="71"/>
      <c r="K141" s="55"/>
      <c r="L141" s="55"/>
      <c r="M141" s="55"/>
      <c r="N141" s="55"/>
      <c r="O141" s="55"/>
      <c r="P141" s="55"/>
      <c r="Q141" s="62"/>
      <c r="R141" s="62"/>
      <c r="S141" s="62"/>
      <c r="T141" s="62"/>
      <c r="U141" s="62"/>
      <c r="V141" s="62"/>
      <c r="W141" s="62"/>
      <c r="X141" s="62"/>
      <c r="Y141" s="62"/>
      <c r="Z141" s="62"/>
      <c r="AA141" s="62"/>
      <c r="AB141" s="62"/>
      <c r="AC141" s="62"/>
      <c r="AD141" s="62"/>
      <c r="AE141" s="63"/>
    </row>
    <row r="142" spans="2:31" x14ac:dyDescent="0.25">
      <c r="B142" s="61"/>
      <c r="C142" s="54"/>
      <c r="D142" s="71"/>
      <c r="E142" s="71"/>
      <c r="F142" s="71"/>
      <c r="G142" s="83"/>
      <c r="H142" s="71"/>
      <c r="I142" s="71"/>
      <c r="J142" s="71"/>
      <c r="K142" s="55"/>
      <c r="L142" s="55"/>
      <c r="M142" s="55"/>
      <c r="N142" s="55"/>
      <c r="O142" s="55"/>
      <c r="P142" s="55"/>
      <c r="Q142" s="62"/>
      <c r="R142" s="62"/>
      <c r="S142" s="62"/>
      <c r="T142" s="62"/>
      <c r="U142" s="62"/>
      <c r="V142" s="62"/>
      <c r="W142" s="62"/>
      <c r="X142" s="62"/>
      <c r="Y142" s="62"/>
      <c r="Z142" s="62"/>
      <c r="AA142" s="62"/>
      <c r="AB142" s="62"/>
      <c r="AC142" s="62"/>
      <c r="AD142" s="62"/>
      <c r="AE142" s="63"/>
    </row>
    <row r="143" spans="2:31" x14ac:dyDescent="0.25">
      <c r="B143" s="61"/>
      <c r="C143" s="54"/>
      <c r="D143" s="71"/>
      <c r="E143" s="71"/>
      <c r="F143" s="71"/>
      <c r="G143" s="83"/>
      <c r="H143" s="71"/>
      <c r="I143" s="71"/>
      <c r="J143" s="71"/>
      <c r="K143" s="55"/>
      <c r="L143" s="55"/>
      <c r="M143" s="55"/>
      <c r="N143" s="55"/>
      <c r="O143" s="55"/>
      <c r="P143" s="55"/>
      <c r="Q143" s="62"/>
      <c r="R143" s="62"/>
      <c r="S143" s="62"/>
      <c r="T143" s="62"/>
      <c r="U143" s="62"/>
      <c r="V143" s="62"/>
      <c r="W143" s="62"/>
      <c r="X143" s="62"/>
      <c r="Y143" s="62"/>
      <c r="Z143" s="62"/>
      <c r="AA143" s="62"/>
      <c r="AB143" s="62"/>
      <c r="AC143" s="62"/>
      <c r="AD143" s="62"/>
      <c r="AE143" s="63"/>
    </row>
    <row r="144" spans="2:31" x14ac:dyDescent="0.25">
      <c r="B144" s="61"/>
      <c r="C144" s="54"/>
      <c r="D144" s="71"/>
      <c r="E144" s="71"/>
      <c r="F144" s="71"/>
      <c r="G144" s="83"/>
      <c r="H144" s="71"/>
      <c r="I144" s="71"/>
      <c r="J144" s="71"/>
      <c r="K144" s="55"/>
      <c r="L144" s="55"/>
      <c r="M144" s="55"/>
      <c r="N144" s="55"/>
      <c r="O144" s="55"/>
      <c r="P144" s="55"/>
      <c r="Q144" s="62"/>
      <c r="R144" s="62"/>
      <c r="S144" s="62"/>
      <c r="T144" s="62"/>
      <c r="U144" s="62"/>
      <c r="V144" s="62"/>
      <c r="W144" s="62"/>
      <c r="X144" s="62"/>
      <c r="Y144" s="62"/>
      <c r="Z144" s="62"/>
      <c r="AA144" s="62"/>
      <c r="AB144" s="62"/>
      <c r="AC144" s="62"/>
      <c r="AD144" s="62"/>
      <c r="AE144" s="63"/>
    </row>
    <row r="145" spans="2:31" x14ac:dyDescent="0.25">
      <c r="B145" s="61"/>
      <c r="C145" s="54"/>
      <c r="D145" s="71"/>
      <c r="E145" s="71"/>
      <c r="F145" s="71"/>
      <c r="G145" s="83"/>
      <c r="H145" s="71"/>
      <c r="I145" s="71"/>
      <c r="J145" s="71"/>
      <c r="K145" s="55"/>
      <c r="L145" s="55"/>
      <c r="M145" s="55"/>
      <c r="N145" s="55"/>
      <c r="O145" s="55"/>
      <c r="P145" s="55"/>
      <c r="Q145" s="62"/>
      <c r="R145" s="62"/>
      <c r="S145" s="62"/>
      <c r="T145" s="62"/>
      <c r="U145" s="62"/>
      <c r="V145" s="62"/>
      <c r="W145" s="62"/>
      <c r="X145" s="62"/>
      <c r="Y145" s="62"/>
      <c r="Z145" s="62"/>
      <c r="AA145" s="62"/>
      <c r="AB145" s="62"/>
      <c r="AC145" s="62"/>
      <c r="AD145" s="62"/>
      <c r="AE145" s="63"/>
    </row>
    <row r="146" spans="2:31" x14ac:dyDescent="0.25">
      <c r="B146" s="61"/>
      <c r="C146" s="54"/>
      <c r="D146" s="71"/>
      <c r="E146" s="71"/>
      <c r="F146" s="71"/>
      <c r="G146" s="83"/>
      <c r="H146" s="71"/>
      <c r="I146" s="71"/>
      <c r="J146" s="71"/>
      <c r="K146" s="55"/>
      <c r="L146" s="55"/>
      <c r="M146" s="55"/>
      <c r="N146" s="55"/>
      <c r="O146" s="55"/>
      <c r="P146" s="55"/>
      <c r="Q146" s="62"/>
      <c r="R146" s="62"/>
      <c r="S146" s="62"/>
      <c r="T146" s="62"/>
      <c r="U146" s="62"/>
      <c r="V146" s="62"/>
      <c r="W146" s="62"/>
      <c r="X146" s="62"/>
      <c r="Y146" s="62"/>
      <c r="Z146" s="62"/>
      <c r="AA146" s="62"/>
      <c r="AB146" s="62"/>
      <c r="AC146" s="62"/>
      <c r="AD146" s="62"/>
      <c r="AE146" s="63"/>
    </row>
    <row r="147" spans="2:31" x14ac:dyDescent="0.25">
      <c r="B147" s="61"/>
      <c r="C147" s="54"/>
      <c r="D147" s="71"/>
      <c r="E147" s="71"/>
      <c r="F147" s="71"/>
      <c r="G147" s="83"/>
      <c r="H147" s="71"/>
      <c r="I147" s="71"/>
      <c r="J147" s="71"/>
      <c r="K147" s="55"/>
      <c r="L147" s="55"/>
      <c r="M147" s="55"/>
      <c r="N147" s="55"/>
      <c r="O147" s="55"/>
      <c r="P147" s="55"/>
      <c r="Q147" s="62"/>
      <c r="R147" s="62"/>
      <c r="S147" s="62"/>
      <c r="T147" s="62"/>
      <c r="U147" s="62"/>
      <c r="V147" s="62"/>
      <c r="W147" s="62"/>
      <c r="X147" s="62"/>
      <c r="Y147" s="62"/>
      <c r="Z147" s="62"/>
      <c r="AA147" s="62"/>
      <c r="AB147" s="62"/>
      <c r="AC147" s="62"/>
      <c r="AD147" s="62"/>
      <c r="AE147" s="63"/>
    </row>
    <row r="148" spans="2:31" x14ac:dyDescent="0.25">
      <c r="B148" s="61"/>
      <c r="C148" s="54"/>
      <c r="D148" s="71"/>
      <c r="E148" s="71"/>
      <c r="F148" s="71"/>
      <c r="G148" s="83"/>
      <c r="H148" s="71"/>
      <c r="I148" s="71"/>
      <c r="J148" s="71"/>
      <c r="K148" s="55"/>
      <c r="L148" s="55"/>
      <c r="M148" s="55"/>
      <c r="N148" s="55"/>
      <c r="O148" s="55"/>
      <c r="P148" s="55"/>
      <c r="Q148" s="62"/>
      <c r="R148" s="62"/>
      <c r="S148" s="62"/>
      <c r="T148" s="62"/>
      <c r="U148" s="62"/>
      <c r="V148" s="62"/>
      <c r="W148" s="62"/>
      <c r="X148" s="62"/>
      <c r="Y148" s="62"/>
      <c r="Z148" s="62"/>
      <c r="AA148" s="62"/>
      <c r="AB148" s="62"/>
      <c r="AC148" s="62"/>
      <c r="AD148" s="62"/>
      <c r="AE148" s="63"/>
    </row>
    <row r="149" spans="2:31" x14ac:dyDescent="0.25">
      <c r="B149" s="61"/>
      <c r="C149" s="54"/>
      <c r="D149" s="71"/>
      <c r="E149" s="71"/>
      <c r="F149" s="71"/>
      <c r="G149" s="83"/>
      <c r="H149" s="71"/>
      <c r="I149" s="71"/>
      <c r="J149" s="71"/>
      <c r="K149" s="55"/>
      <c r="L149" s="55"/>
      <c r="M149" s="55"/>
      <c r="N149" s="55"/>
      <c r="O149" s="55"/>
      <c r="P149" s="55"/>
      <c r="Q149" s="62"/>
      <c r="R149" s="62"/>
      <c r="S149" s="62"/>
      <c r="T149" s="62"/>
      <c r="U149" s="62"/>
      <c r="V149" s="62"/>
      <c r="W149" s="62"/>
      <c r="X149" s="62"/>
      <c r="Y149" s="62"/>
      <c r="Z149" s="62"/>
      <c r="AA149" s="62"/>
      <c r="AB149" s="62"/>
      <c r="AC149" s="62"/>
      <c r="AD149" s="62"/>
      <c r="AE149" s="63"/>
    </row>
    <row r="150" spans="2:31" x14ac:dyDescent="0.25">
      <c r="B150" s="61"/>
      <c r="C150" s="54"/>
      <c r="D150" s="71"/>
      <c r="E150" s="71"/>
      <c r="F150" s="71"/>
      <c r="G150" s="83"/>
      <c r="H150" s="71"/>
      <c r="I150" s="71"/>
      <c r="J150" s="71"/>
      <c r="K150" s="55"/>
      <c r="L150" s="55"/>
      <c r="M150" s="55"/>
      <c r="N150" s="55"/>
      <c r="O150" s="55"/>
      <c r="P150" s="55"/>
      <c r="Q150" s="62"/>
      <c r="R150" s="62"/>
      <c r="S150" s="62"/>
      <c r="T150" s="62"/>
      <c r="U150" s="62"/>
      <c r="V150" s="62"/>
      <c r="W150" s="62"/>
      <c r="X150" s="62"/>
      <c r="Y150" s="62"/>
      <c r="Z150" s="62"/>
      <c r="AA150" s="62"/>
      <c r="AB150" s="62"/>
      <c r="AC150" s="62"/>
      <c r="AD150" s="62"/>
      <c r="AE150" s="63"/>
    </row>
    <row r="151" spans="2:31" x14ac:dyDescent="0.25">
      <c r="B151" s="61"/>
      <c r="C151" s="54"/>
      <c r="D151" s="71"/>
      <c r="E151" s="71"/>
      <c r="F151" s="71"/>
      <c r="G151" s="83"/>
      <c r="H151" s="71"/>
      <c r="I151" s="71"/>
      <c r="J151" s="71"/>
      <c r="K151" s="55"/>
      <c r="L151" s="55"/>
      <c r="M151" s="55"/>
      <c r="N151" s="55"/>
      <c r="O151" s="55"/>
      <c r="P151" s="55"/>
      <c r="Q151" s="62"/>
      <c r="R151" s="62"/>
      <c r="S151" s="62"/>
      <c r="T151" s="62"/>
      <c r="U151" s="62"/>
      <c r="V151" s="62"/>
      <c r="W151" s="62"/>
      <c r="X151" s="62"/>
      <c r="Y151" s="62"/>
      <c r="Z151" s="62"/>
      <c r="AA151" s="62"/>
      <c r="AB151" s="62"/>
      <c r="AC151" s="62"/>
      <c r="AD151" s="62"/>
      <c r="AE151" s="63"/>
    </row>
    <row r="152" spans="2:31" x14ac:dyDescent="0.25">
      <c r="B152" s="61"/>
      <c r="C152" s="54"/>
      <c r="D152" s="71"/>
      <c r="E152" s="71"/>
      <c r="F152" s="71"/>
      <c r="G152" s="83"/>
      <c r="H152" s="71"/>
      <c r="I152" s="71"/>
      <c r="J152" s="71"/>
      <c r="K152" s="55"/>
      <c r="L152" s="55"/>
      <c r="M152" s="55"/>
      <c r="N152" s="55"/>
      <c r="O152" s="55"/>
      <c r="P152" s="55"/>
      <c r="Q152" s="62"/>
      <c r="R152" s="62"/>
      <c r="S152" s="62"/>
      <c r="T152" s="62"/>
      <c r="U152" s="62"/>
      <c r="V152" s="62"/>
      <c r="W152" s="62"/>
      <c r="X152" s="62"/>
      <c r="Y152" s="62"/>
      <c r="Z152" s="62"/>
      <c r="AA152" s="62"/>
      <c r="AB152" s="62"/>
      <c r="AC152" s="62"/>
      <c r="AD152" s="62"/>
      <c r="AE152" s="63"/>
    </row>
    <row r="153" spans="2:31" s="15" customFormat="1" x14ac:dyDescent="0.2">
      <c r="B153" s="58"/>
      <c r="C153" s="54"/>
      <c r="D153" s="71"/>
      <c r="E153" s="71"/>
      <c r="F153" s="71"/>
      <c r="G153" s="83"/>
      <c r="H153" s="71"/>
      <c r="I153" s="71"/>
      <c r="J153" s="71"/>
      <c r="K153" s="55"/>
      <c r="L153" s="55"/>
      <c r="M153" s="55"/>
      <c r="N153" s="55"/>
      <c r="O153" s="55"/>
      <c r="P153" s="55"/>
      <c r="Q153" s="59"/>
      <c r="R153" s="59"/>
      <c r="S153" s="59"/>
      <c r="T153" s="59"/>
      <c r="U153" s="59"/>
      <c r="V153" s="59"/>
      <c r="W153" s="59"/>
      <c r="X153" s="59"/>
      <c r="Y153" s="59"/>
      <c r="Z153" s="59"/>
      <c r="AA153" s="59"/>
      <c r="AB153" s="59"/>
      <c r="AC153" s="59"/>
      <c r="AD153" s="59"/>
      <c r="AE153" s="60"/>
    </row>
    <row r="154" spans="2:31" x14ac:dyDescent="0.25">
      <c r="B154" s="61"/>
      <c r="C154" s="54"/>
      <c r="D154" s="71"/>
      <c r="E154" s="71"/>
      <c r="F154" s="71"/>
      <c r="G154" s="83"/>
      <c r="H154" s="71"/>
      <c r="I154" s="71"/>
      <c r="J154" s="71"/>
      <c r="K154" s="55"/>
      <c r="L154" s="55"/>
      <c r="M154" s="55"/>
      <c r="N154" s="55"/>
      <c r="O154" s="55"/>
      <c r="P154" s="55"/>
      <c r="Q154" s="62"/>
      <c r="R154" s="62"/>
      <c r="S154" s="62"/>
      <c r="T154" s="62"/>
      <c r="U154" s="62"/>
      <c r="V154" s="62"/>
      <c r="W154" s="62"/>
      <c r="X154" s="62"/>
      <c r="Y154" s="62"/>
      <c r="Z154" s="62"/>
      <c r="AA154" s="62"/>
      <c r="AB154" s="62"/>
      <c r="AC154" s="62"/>
      <c r="AD154" s="62"/>
      <c r="AE154" s="63"/>
    </row>
    <row r="155" spans="2:31" x14ac:dyDescent="0.25">
      <c r="B155" s="61"/>
      <c r="C155" s="54"/>
      <c r="D155" s="71"/>
      <c r="E155" s="71"/>
      <c r="F155" s="71"/>
      <c r="G155" s="83"/>
      <c r="H155" s="71"/>
      <c r="I155" s="71"/>
      <c r="J155" s="71"/>
      <c r="K155" s="55"/>
      <c r="L155" s="55"/>
      <c r="M155" s="55"/>
      <c r="N155" s="55"/>
      <c r="O155" s="55"/>
      <c r="P155" s="55"/>
      <c r="Q155" s="62"/>
      <c r="R155" s="62"/>
      <c r="S155" s="62"/>
      <c r="T155" s="62"/>
      <c r="U155" s="62"/>
      <c r="V155" s="62"/>
      <c r="W155" s="62"/>
      <c r="X155" s="62"/>
      <c r="Y155" s="62"/>
      <c r="Z155" s="62"/>
      <c r="AA155" s="62"/>
      <c r="AB155" s="62"/>
      <c r="AC155" s="62"/>
      <c r="AD155" s="62"/>
      <c r="AE155" s="63"/>
    </row>
    <row r="156" spans="2:31" x14ac:dyDescent="0.25">
      <c r="B156" s="61"/>
      <c r="C156" s="54"/>
      <c r="D156" s="71"/>
      <c r="E156" s="71"/>
      <c r="F156" s="71"/>
      <c r="G156" s="83"/>
      <c r="H156" s="71"/>
      <c r="I156" s="71"/>
      <c r="J156" s="71"/>
      <c r="K156" s="55"/>
      <c r="L156" s="55"/>
      <c r="M156" s="55"/>
      <c r="N156" s="55"/>
      <c r="O156" s="55"/>
      <c r="P156" s="55"/>
      <c r="Q156" s="62"/>
      <c r="R156" s="62"/>
      <c r="S156" s="62"/>
      <c r="T156" s="62"/>
      <c r="U156" s="62"/>
      <c r="V156" s="62"/>
      <c r="W156" s="62"/>
      <c r="X156" s="62"/>
      <c r="Y156" s="62"/>
      <c r="Z156" s="62"/>
      <c r="AA156" s="62"/>
      <c r="AB156" s="62"/>
      <c r="AC156" s="62"/>
      <c r="AD156" s="62"/>
      <c r="AE156" s="63"/>
    </row>
    <row r="157" spans="2:31" x14ac:dyDescent="0.25">
      <c r="B157" s="61"/>
      <c r="C157" s="54"/>
      <c r="D157" s="71"/>
      <c r="E157" s="71"/>
      <c r="F157" s="71"/>
      <c r="G157" s="83"/>
      <c r="H157" s="71"/>
      <c r="I157" s="71"/>
      <c r="J157" s="71"/>
      <c r="K157" s="55"/>
      <c r="L157" s="55"/>
      <c r="M157" s="55"/>
      <c r="N157" s="55"/>
      <c r="O157" s="55"/>
      <c r="P157" s="55"/>
      <c r="Q157" s="62"/>
      <c r="R157" s="62"/>
      <c r="S157" s="62"/>
      <c r="T157" s="62"/>
      <c r="U157" s="62"/>
      <c r="V157" s="62"/>
      <c r="W157" s="62"/>
      <c r="X157" s="62"/>
      <c r="Y157" s="62"/>
      <c r="Z157" s="62"/>
      <c r="AA157" s="62"/>
      <c r="AB157" s="62"/>
      <c r="AC157" s="62"/>
      <c r="AD157" s="62"/>
      <c r="AE157" s="63"/>
    </row>
    <row r="158" spans="2:31" x14ac:dyDescent="0.25">
      <c r="B158" s="61"/>
      <c r="C158" s="54"/>
      <c r="D158" s="71"/>
      <c r="E158" s="71"/>
      <c r="F158" s="71"/>
      <c r="G158" s="83"/>
      <c r="H158" s="71"/>
      <c r="I158" s="71"/>
      <c r="J158" s="71"/>
      <c r="K158" s="55"/>
      <c r="L158" s="55"/>
      <c r="M158" s="55"/>
      <c r="N158" s="55"/>
      <c r="O158" s="55"/>
      <c r="P158" s="55"/>
      <c r="Q158" s="62"/>
      <c r="R158" s="62"/>
      <c r="S158" s="62"/>
      <c r="T158" s="62"/>
      <c r="U158" s="62"/>
      <c r="V158" s="62"/>
      <c r="W158" s="62"/>
      <c r="X158" s="62"/>
      <c r="Y158" s="62"/>
      <c r="Z158" s="62"/>
      <c r="AA158" s="62"/>
      <c r="AB158" s="62"/>
      <c r="AC158" s="62"/>
      <c r="AD158" s="62"/>
      <c r="AE158" s="63"/>
    </row>
    <row r="159" spans="2:31" x14ac:dyDescent="0.25">
      <c r="B159" s="61"/>
      <c r="C159" s="54"/>
      <c r="D159" s="71"/>
      <c r="E159" s="71"/>
      <c r="F159" s="71"/>
      <c r="G159" s="83"/>
      <c r="H159" s="71"/>
      <c r="I159" s="71"/>
      <c r="J159" s="71"/>
      <c r="K159" s="55"/>
      <c r="L159" s="55"/>
      <c r="M159" s="55"/>
      <c r="N159" s="55"/>
      <c r="O159" s="55"/>
      <c r="P159" s="55"/>
      <c r="Q159" s="62"/>
      <c r="R159" s="62"/>
      <c r="S159" s="62"/>
      <c r="T159" s="62"/>
      <c r="U159" s="62"/>
      <c r="V159" s="62"/>
      <c r="W159" s="62"/>
      <c r="X159" s="62"/>
      <c r="Y159" s="62"/>
      <c r="Z159" s="62"/>
      <c r="AA159" s="62"/>
      <c r="AB159" s="62"/>
      <c r="AC159" s="62"/>
      <c r="AD159" s="62"/>
      <c r="AE159" s="63"/>
    </row>
    <row r="160" spans="2:31" x14ac:dyDescent="0.25">
      <c r="B160" s="61"/>
      <c r="C160" s="54"/>
      <c r="D160" s="71"/>
      <c r="E160" s="71"/>
      <c r="F160" s="71"/>
      <c r="G160" s="83"/>
      <c r="H160" s="71"/>
      <c r="I160" s="71"/>
      <c r="J160" s="71"/>
      <c r="K160" s="55"/>
      <c r="L160" s="55"/>
      <c r="M160" s="55"/>
      <c r="N160" s="55"/>
      <c r="O160" s="55"/>
      <c r="P160" s="55"/>
      <c r="Q160" s="62"/>
      <c r="R160" s="62"/>
      <c r="S160" s="62"/>
      <c r="T160" s="62"/>
      <c r="U160" s="62"/>
      <c r="V160" s="62"/>
      <c r="W160" s="62"/>
      <c r="X160" s="62"/>
      <c r="Y160" s="62"/>
      <c r="Z160" s="62"/>
      <c r="AA160" s="62"/>
      <c r="AB160" s="62"/>
      <c r="AC160" s="62"/>
      <c r="AD160" s="62"/>
      <c r="AE160" s="63"/>
    </row>
    <row r="161" spans="2:31" x14ac:dyDescent="0.25">
      <c r="B161" s="61"/>
      <c r="C161" s="54"/>
      <c r="D161" s="71"/>
      <c r="E161" s="71"/>
      <c r="F161" s="71"/>
      <c r="G161" s="83"/>
      <c r="H161" s="71"/>
      <c r="I161" s="71"/>
      <c r="J161" s="71"/>
      <c r="K161" s="55"/>
      <c r="L161" s="55"/>
      <c r="M161" s="55"/>
      <c r="N161" s="55"/>
      <c r="O161" s="55"/>
      <c r="P161" s="55"/>
      <c r="Q161" s="62"/>
      <c r="R161" s="62"/>
      <c r="S161" s="62"/>
      <c r="T161" s="62"/>
      <c r="U161" s="62"/>
      <c r="V161" s="62"/>
      <c r="W161" s="62"/>
      <c r="X161" s="62"/>
      <c r="Y161" s="62"/>
      <c r="Z161" s="62"/>
      <c r="AA161" s="62"/>
      <c r="AB161" s="62"/>
      <c r="AC161" s="62"/>
      <c r="AD161" s="62"/>
      <c r="AE161" s="63"/>
    </row>
    <row r="162" spans="2:31" x14ac:dyDescent="0.25">
      <c r="B162" s="61"/>
      <c r="C162" s="54"/>
      <c r="D162" s="71"/>
      <c r="E162" s="71"/>
      <c r="F162" s="71"/>
      <c r="G162" s="83"/>
      <c r="H162" s="71"/>
      <c r="I162" s="71"/>
      <c r="J162" s="71"/>
      <c r="K162" s="55"/>
      <c r="L162" s="55"/>
      <c r="M162" s="55"/>
      <c r="N162" s="55"/>
      <c r="O162" s="55"/>
      <c r="P162" s="55"/>
      <c r="Q162" s="62"/>
      <c r="R162" s="62"/>
      <c r="S162" s="62"/>
      <c r="T162" s="62"/>
      <c r="U162" s="62"/>
      <c r="V162" s="62"/>
      <c r="W162" s="62"/>
      <c r="X162" s="62"/>
      <c r="Y162" s="62"/>
      <c r="Z162" s="62"/>
      <c r="AA162" s="62"/>
      <c r="AB162" s="62"/>
      <c r="AC162" s="62"/>
      <c r="AD162" s="62"/>
      <c r="AE162" s="63"/>
    </row>
    <row r="163" spans="2:31" x14ac:dyDescent="0.25">
      <c r="B163" s="61"/>
      <c r="C163" s="54"/>
      <c r="D163" s="71"/>
      <c r="E163" s="71"/>
      <c r="F163" s="71"/>
      <c r="G163" s="83"/>
      <c r="H163" s="71"/>
      <c r="I163" s="71"/>
      <c r="J163" s="71"/>
      <c r="K163" s="55"/>
      <c r="L163" s="55"/>
      <c r="M163" s="55"/>
      <c r="N163" s="55"/>
      <c r="O163" s="55"/>
      <c r="P163" s="55"/>
      <c r="Q163" s="62"/>
      <c r="R163" s="62"/>
      <c r="S163" s="62"/>
      <c r="T163" s="62"/>
      <c r="U163" s="62"/>
      <c r="V163" s="62"/>
      <c r="W163" s="62"/>
      <c r="X163" s="62"/>
      <c r="Y163" s="62"/>
      <c r="Z163" s="62"/>
      <c r="AA163" s="62"/>
      <c r="AB163" s="62"/>
      <c r="AC163" s="62"/>
      <c r="AD163" s="62"/>
      <c r="AE163" s="63"/>
    </row>
    <row r="164" spans="2:31" x14ac:dyDescent="0.25">
      <c r="B164" s="61"/>
      <c r="C164" s="54"/>
      <c r="D164" s="71"/>
      <c r="E164" s="71"/>
      <c r="F164" s="71"/>
      <c r="G164" s="83"/>
      <c r="H164" s="71"/>
      <c r="I164" s="71"/>
      <c r="J164" s="71"/>
      <c r="K164" s="55"/>
      <c r="L164" s="55"/>
      <c r="M164" s="55"/>
      <c r="N164" s="55"/>
      <c r="O164" s="55"/>
      <c r="P164" s="55"/>
      <c r="Q164" s="62"/>
      <c r="R164" s="62"/>
      <c r="S164" s="62"/>
      <c r="T164" s="62"/>
      <c r="U164" s="62"/>
      <c r="V164" s="62"/>
      <c r="W164" s="62"/>
      <c r="X164" s="62"/>
      <c r="Y164" s="62"/>
      <c r="Z164" s="62"/>
      <c r="AA164" s="62"/>
      <c r="AB164" s="62"/>
      <c r="AC164" s="62"/>
      <c r="AD164" s="62"/>
      <c r="AE164" s="63"/>
    </row>
    <row r="165" spans="2:31" x14ac:dyDescent="0.25">
      <c r="B165" s="61"/>
      <c r="C165" s="54"/>
      <c r="D165" s="71"/>
      <c r="E165" s="71"/>
      <c r="F165" s="71"/>
      <c r="G165" s="83"/>
      <c r="H165" s="71"/>
      <c r="I165" s="71"/>
      <c r="J165" s="71"/>
      <c r="K165" s="55"/>
      <c r="L165" s="55"/>
      <c r="M165" s="55"/>
      <c r="N165" s="55"/>
      <c r="O165" s="55"/>
      <c r="P165" s="55"/>
      <c r="Q165" s="62"/>
      <c r="R165" s="62"/>
      <c r="S165" s="62"/>
      <c r="T165" s="62"/>
      <c r="U165" s="62"/>
      <c r="V165" s="62"/>
      <c r="W165" s="62"/>
      <c r="X165" s="62"/>
      <c r="Y165" s="62"/>
      <c r="Z165" s="62"/>
      <c r="AA165" s="62"/>
      <c r="AB165" s="62"/>
      <c r="AC165" s="62"/>
      <c r="AD165" s="62"/>
      <c r="AE165" s="63"/>
    </row>
    <row r="166" spans="2:31" x14ac:dyDescent="0.25">
      <c r="B166" s="61"/>
      <c r="C166" s="54"/>
      <c r="D166" s="71"/>
      <c r="E166" s="71"/>
      <c r="F166" s="71"/>
      <c r="G166" s="83"/>
      <c r="H166" s="71"/>
      <c r="I166" s="71"/>
      <c r="J166" s="71"/>
      <c r="K166" s="55"/>
      <c r="L166" s="55"/>
      <c r="M166" s="55"/>
      <c r="N166" s="55"/>
      <c r="O166" s="55"/>
      <c r="P166" s="55"/>
      <c r="Q166" s="62"/>
      <c r="R166" s="62"/>
      <c r="S166" s="62"/>
      <c r="T166" s="62"/>
      <c r="U166" s="62"/>
      <c r="V166" s="62"/>
      <c r="W166" s="62"/>
      <c r="X166" s="62"/>
      <c r="Y166" s="62"/>
      <c r="Z166" s="62"/>
      <c r="AA166" s="62"/>
      <c r="AB166" s="62"/>
      <c r="AC166" s="62"/>
      <c r="AD166" s="62"/>
      <c r="AE166" s="63"/>
    </row>
    <row r="167" spans="2:31" x14ac:dyDescent="0.25">
      <c r="B167" s="61"/>
      <c r="C167" s="54"/>
      <c r="D167" s="71"/>
      <c r="E167" s="71"/>
      <c r="F167" s="71"/>
      <c r="G167" s="83"/>
      <c r="H167" s="71"/>
      <c r="I167" s="71"/>
      <c r="J167" s="71"/>
      <c r="K167" s="55"/>
      <c r="L167" s="55"/>
      <c r="M167" s="55"/>
      <c r="N167" s="55"/>
      <c r="O167" s="55"/>
      <c r="P167" s="55"/>
      <c r="Q167" s="62"/>
      <c r="R167" s="62"/>
      <c r="S167" s="62"/>
      <c r="T167" s="62"/>
      <c r="U167" s="62"/>
      <c r="V167" s="62"/>
      <c r="W167" s="62"/>
      <c r="X167" s="62"/>
      <c r="Y167" s="62"/>
      <c r="Z167" s="62"/>
      <c r="AA167" s="62"/>
      <c r="AB167" s="62"/>
      <c r="AC167" s="62"/>
      <c r="AD167" s="62"/>
      <c r="AE167" s="63"/>
    </row>
    <row r="168" spans="2:31" x14ac:dyDescent="0.25">
      <c r="B168" s="61"/>
      <c r="C168" s="54"/>
      <c r="D168" s="71"/>
      <c r="E168" s="71"/>
      <c r="F168" s="71"/>
      <c r="G168" s="83"/>
      <c r="H168" s="71"/>
      <c r="I168" s="71"/>
      <c r="J168" s="71"/>
      <c r="K168" s="55"/>
      <c r="L168" s="55"/>
      <c r="M168" s="55"/>
      <c r="N168" s="55"/>
      <c r="O168" s="55"/>
      <c r="P168" s="55"/>
      <c r="Q168" s="62"/>
      <c r="R168" s="62"/>
      <c r="S168" s="62"/>
      <c r="T168" s="62"/>
      <c r="U168" s="62"/>
      <c r="V168" s="62"/>
      <c r="W168" s="62"/>
      <c r="X168" s="62"/>
      <c r="Y168" s="62"/>
      <c r="Z168" s="62"/>
      <c r="AA168" s="62"/>
      <c r="AB168" s="62"/>
      <c r="AC168" s="62"/>
      <c r="AD168" s="62"/>
      <c r="AE168" s="63"/>
    </row>
    <row r="169" spans="2:31" x14ac:dyDescent="0.25">
      <c r="B169" s="61"/>
      <c r="C169" s="54"/>
      <c r="D169" s="71"/>
      <c r="E169" s="71"/>
      <c r="F169" s="71"/>
      <c r="G169" s="83"/>
      <c r="H169" s="71"/>
      <c r="I169" s="71"/>
      <c r="J169" s="71"/>
      <c r="K169" s="55"/>
      <c r="L169" s="55"/>
      <c r="M169" s="55"/>
      <c r="N169" s="55"/>
      <c r="O169" s="55"/>
      <c r="P169" s="55"/>
      <c r="Q169" s="62"/>
      <c r="R169" s="62"/>
      <c r="S169" s="62"/>
      <c r="T169" s="62"/>
      <c r="U169" s="62"/>
      <c r="V169" s="62"/>
      <c r="W169" s="62"/>
      <c r="X169" s="62"/>
      <c r="Y169" s="62"/>
      <c r="Z169" s="62"/>
      <c r="AA169" s="62"/>
      <c r="AB169" s="62"/>
      <c r="AC169" s="62"/>
      <c r="AD169" s="62"/>
      <c r="AE169" s="63"/>
    </row>
    <row r="170" spans="2:31" x14ac:dyDescent="0.25">
      <c r="B170" s="61"/>
      <c r="C170" s="54"/>
      <c r="D170" s="71"/>
      <c r="E170" s="71"/>
      <c r="F170" s="71"/>
      <c r="G170" s="83"/>
      <c r="H170" s="71"/>
      <c r="I170" s="71"/>
      <c r="J170" s="71"/>
      <c r="K170" s="55"/>
      <c r="L170" s="55"/>
      <c r="M170" s="55"/>
      <c r="N170" s="55"/>
      <c r="O170" s="55"/>
      <c r="P170" s="55"/>
      <c r="Q170" s="62"/>
      <c r="R170" s="62"/>
      <c r="S170" s="62"/>
      <c r="T170" s="62"/>
      <c r="U170" s="62"/>
      <c r="V170" s="62"/>
      <c r="W170" s="62"/>
      <c r="X170" s="62"/>
      <c r="Y170" s="62"/>
      <c r="Z170" s="62"/>
      <c r="AA170" s="62"/>
      <c r="AB170" s="62"/>
      <c r="AC170" s="62"/>
      <c r="AD170" s="62"/>
      <c r="AE170" s="63"/>
    </row>
    <row r="171" spans="2:31" s="15" customFormat="1" x14ac:dyDescent="0.2">
      <c r="B171" s="58"/>
      <c r="C171" s="54"/>
      <c r="D171" s="71"/>
      <c r="E171" s="71"/>
      <c r="F171" s="71"/>
      <c r="G171" s="83"/>
      <c r="H171" s="71"/>
      <c r="I171" s="71"/>
      <c r="J171" s="71"/>
      <c r="K171" s="55"/>
      <c r="L171" s="55"/>
      <c r="M171" s="55"/>
      <c r="N171" s="55"/>
      <c r="O171" s="55"/>
      <c r="P171" s="55"/>
      <c r="Q171" s="59"/>
      <c r="R171" s="59"/>
      <c r="S171" s="59"/>
      <c r="T171" s="59"/>
      <c r="U171" s="59"/>
      <c r="V171" s="59"/>
      <c r="W171" s="59"/>
      <c r="X171" s="59"/>
      <c r="Y171" s="59"/>
      <c r="Z171" s="59"/>
      <c r="AA171" s="59"/>
      <c r="AB171" s="59"/>
      <c r="AC171" s="59"/>
      <c r="AD171" s="59"/>
      <c r="AE171" s="60"/>
    </row>
    <row r="172" spans="2:31" x14ac:dyDescent="0.25">
      <c r="B172" s="61"/>
      <c r="C172" s="54"/>
      <c r="D172" s="71"/>
      <c r="E172" s="71"/>
      <c r="F172" s="71"/>
      <c r="G172" s="83"/>
      <c r="H172" s="71"/>
      <c r="I172" s="71"/>
      <c r="J172" s="71"/>
      <c r="K172" s="55"/>
      <c r="L172" s="55"/>
      <c r="M172" s="55"/>
      <c r="N172" s="55"/>
      <c r="O172" s="55"/>
      <c r="P172" s="55"/>
      <c r="Q172" s="62"/>
      <c r="R172" s="62"/>
      <c r="S172" s="62"/>
      <c r="T172" s="62"/>
      <c r="U172" s="62"/>
      <c r="V172" s="62"/>
      <c r="W172" s="62"/>
      <c r="X172" s="62"/>
      <c r="Y172" s="62"/>
      <c r="Z172" s="62"/>
      <c r="AA172" s="62"/>
      <c r="AB172" s="62"/>
      <c r="AC172" s="62"/>
      <c r="AD172" s="62"/>
      <c r="AE172" s="63"/>
    </row>
    <row r="173" spans="2:31" x14ac:dyDescent="0.25">
      <c r="B173" s="61"/>
      <c r="C173" s="54"/>
      <c r="D173" s="71"/>
      <c r="E173" s="71"/>
      <c r="F173" s="71"/>
      <c r="G173" s="83"/>
      <c r="H173" s="71"/>
      <c r="I173" s="71"/>
      <c r="J173" s="71"/>
      <c r="K173" s="55"/>
      <c r="L173" s="55"/>
      <c r="M173" s="55"/>
      <c r="N173" s="55"/>
      <c r="O173" s="55"/>
      <c r="P173" s="55"/>
      <c r="Q173" s="62"/>
      <c r="R173" s="62"/>
      <c r="S173" s="62"/>
      <c r="T173" s="62"/>
      <c r="U173" s="62"/>
      <c r="V173" s="62"/>
      <c r="W173" s="62"/>
      <c r="X173" s="62"/>
      <c r="Y173" s="62"/>
      <c r="Z173" s="62"/>
      <c r="AA173" s="62"/>
      <c r="AB173" s="62"/>
      <c r="AC173" s="62"/>
      <c r="AD173" s="62"/>
      <c r="AE173" s="63"/>
    </row>
    <row r="174" spans="2:31" x14ac:dyDescent="0.25">
      <c r="B174" s="61"/>
      <c r="C174" s="54"/>
      <c r="D174" s="71"/>
      <c r="E174" s="71"/>
      <c r="F174" s="71"/>
      <c r="G174" s="83"/>
      <c r="H174" s="71"/>
      <c r="I174" s="71"/>
      <c r="J174" s="71"/>
      <c r="K174" s="55"/>
      <c r="L174" s="55"/>
      <c r="M174" s="55"/>
      <c r="N174" s="55"/>
      <c r="O174" s="55"/>
      <c r="P174" s="55"/>
      <c r="Q174" s="62"/>
      <c r="R174" s="62"/>
      <c r="S174" s="62"/>
      <c r="T174" s="62"/>
      <c r="U174" s="62"/>
      <c r="V174" s="62"/>
      <c r="W174" s="62"/>
      <c r="X174" s="62"/>
      <c r="Y174" s="62"/>
      <c r="Z174" s="62"/>
      <c r="AA174" s="62"/>
      <c r="AB174" s="62"/>
      <c r="AC174" s="62"/>
      <c r="AD174" s="62"/>
      <c r="AE174" s="63"/>
    </row>
    <row r="175" spans="2:31" x14ac:dyDescent="0.25">
      <c r="B175" s="61"/>
      <c r="C175" s="54"/>
      <c r="D175" s="71"/>
      <c r="E175" s="71"/>
      <c r="F175" s="71"/>
      <c r="G175" s="83"/>
      <c r="H175" s="71"/>
      <c r="I175" s="71"/>
      <c r="J175" s="71"/>
      <c r="K175" s="55"/>
      <c r="L175" s="55"/>
      <c r="M175" s="55"/>
      <c r="N175" s="55"/>
      <c r="O175" s="55"/>
      <c r="P175" s="55"/>
      <c r="Q175" s="62"/>
      <c r="R175" s="62"/>
      <c r="S175" s="62"/>
      <c r="T175" s="62"/>
      <c r="U175" s="62"/>
      <c r="V175" s="62"/>
      <c r="W175" s="62"/>
      <c r="X175" s="62"/>
      <c r="Y175" s="62"/>
      <c r="Z175" s="62"/>
      <c r="AA175" s="62"/>
      <c r="AB175" s="62"/>
      <c r="AC175" s="62"/>
      <c r="AD175" s="62"/>
      <c r="AE175" s="63"/>
    </row>
    <row r="176" spans="2:31" x14ac:dyDescent="0.25">
      <c r="B176" s="61"/>
      <c r="C176" s="54"/>
      <c r="D176" s="71"/>
      <c r="E176" s="71"/>
      <c r="F176" s="71"/>
      <c r="G176" s="83"/>
      <c r="H176" s="71"/>
      <c r="I176" s="71"/>
      <c r="J176" s="71"/>
      <c r="K176" s="55"/>
      <c r="L176" s="55"/>
      <c r="M176" s="55"/>
      <c r="N176" s="55"/>
      <c r="O176" s="55"/>
      <c r="P176" s="55"/>
      <c r="Q176" s="62"/>
      <c r="R176" s="62"/>
      <c r="S176" s="62"/>
      <c r="T176" s="62"/>
      <c r="U176" s="62"/>
      <c r="V176" s="62"/>
      <c r="W176" s="62"/>
      <c r="X176" s="62"/>
      <c r="Y176" s="62"/>
      <c r="Z176" s="62"/>
      <c r="AA176" s="62"/>
      <c r="AB176" s="62"/>
      <c r="AC176" s="62"/>
      <c r="AD176" s="62"/>
      <c r="AE176" s="63"/>
    </row>
    <row r="177" spans="2:31" x14ac:dyDescent="0.25">
      <c r="B177" s="61"/>
      <c r="C177" s="54"/>
      <c r="D177" s="71"/>
      <c r="E177" s="71"/>
      <c r="F177" s="71"/>
      <c r="G177" s="83"/>
      <c r="H177" s="71"/>
      <c r="I177" s="71"/>
      <c r="J177" s="71"/>
      <c r="K177" s="55"/>
      <c r="L177" s="55"/>
      <c r="M177" s="55"/>
      <c r="N177" s="55"/>
      <c r="O177" s="55"/>
      <c r="P177" s="55"/>
      <c r="Q177" s="62"/>
      <c r="R177" s="62"/>
      <c r="S177" s="62"/>
      <c r="T177" s="62"/>
      <c r="U177" s="62"/>
      <c r="V177" s="62"/>
      <c r="W177" s="62"/>
      <c r="X177" s="62"/>
      <c r="Y177" s="62"/>
      <c r="Z177" s="62"/>
      <c r="AA177" s="62"/>
      <c r="AB177" s="62"/>
      <c r="AC177" s="62"/>
      <c r="AD177" s="62"/>
      <c r="AE177" s="63"/>
    </row>
    <row r="178" spans="2:31" x14ac:dyDescent="0.25">
      <c r="B178" s="61"/>
      <c r="C178" s="54"/>
      <c r="D178" s="71"/>
      <c r="E178" s="71"/>
      <c r="F178" s="71"/>
      <c r="G178" s="83"/>
      <c r="H178" s="71"/>
      <c r="I178" s="71"/>
      <c r="J178" s="71"/>
      <c r="K178" s="55"/>
      <c r="L178" s="55"/>
      <c r="M178" s="55"/>
      <c r="N178" s="55"/>
      <c r="O178" s="55"/>
      <c r="P178" s="55"/>
      <c r="Q178" s="62"/>
      <c r="R178" s="62"/>
      <c r="S178" s="62"/>
      <c r="T178" s="62"/>
      <c r="U178" s="62"/>
      <c r="V178" s="62"/>
      <c r="W178" s="62"/>
      <c r="X178" s="62"/>
      <c r="Y178" s="62"/>
      <c r="Z178" s="62"/>
      <c r="AA178" s="62"/>
      <c r="AB178" s="62"/>
      <c r="AC178" s="62"/>
      <c r="AD178" s="62"/>
      <c r="AE178" s="63"/>
    </row>
    <row r="179" spans="2:31" x14ac:dyDescent="0.25">
      <c r="B179" s="61"/>
      <c r="C179" s="54"/>
      <c r="D179" s="71"/>
      <c r="E179" s="71"/>
      <c r="F179" s="71"/>
      <c r="G179" s="83"/>
      <c r="H179" s="71"/>
      <c r="I179" s="71"/>
      <c r="J179" s="71"/>
      <c r="K179" s="55"/>
      <c r="L179" s="55"/>
      <c r="M179" s="55"/>
      <c r="N179" s="55"/>
      <c r="O179" s="55"/>
      <c r="P179" s="55"/>
      <c r="Q179" s="62"/>
      <c r="R179" s="62"/>
      <c r="S179" s="62"/>
      <c r="T179" s="62"/>
      <c r="U179" s="62"/>
      <c r="V179" s="62"/>
      <c r="W179" s="62"/>
      <c r="X179" s="62"/>
      <c r="Y179" s="62"/>
      <c r="Z179" s="62"/>
      <c r="AA179" s="62"/>
      <c r="AB179" s="62"/>
      <c r="AC179" s="62"/>
      <c r="AD179" s="62"/>
      <c r="AE179" s="63"/>
    </row>
    <row r="180" spans="2:31" x14ac:dyDescent="0.25">
      <c r="B180" s="61"/>
      <c r="C180" s="54"/>
      <c r="D180" s="71"/>
      <c r="E180" s="71"/>
      <c r="F180" s="71"/>
      <c r="G180" s="83"/>
      <c r="H180" s="71"/>
      <c r="I180" s="71"/>
      <c r="J180" s="71"/>
      <c r="K180" s="55"/>
      <c r="L180" s="55"/>
      <c r="M180" s="55"/>
      <c r="N180" s="55"/>
      <c r="O180" s="55"/>
      <c r="P180" s="55"/>
      <c r="Q180" s="62"/>
      <c r="R180" s="62"/>
      <c r="S180" s="62"/>
      <c r="T180" s="62"/>
      <c r="U180" s="62"/>
      <c r="V180" s="62"/>
      <c r="W180" s="62"/>
      <c r="X180" s="62"/>
      <c r="Y180" s="62"/>
      <c r="Z180" s="62"/>
      <c r="AA180" s="62"/>
      <c r="AB180" s="62"/>
      <c r="AC180" s="62"/>
      <c r="AD180" s="62"/>
      <c r="AE180" s="63"/>
    </row>
    <row r="181" spans="2:31" x14ac:dyDescent="0.25">
      <c r="B181" s="61"/>
      <c r="C181" s="54"/>
      <c r="D181" s="71"/>
      <c r="E181" s="71"/>
      <c r="F181" s="71"/>
      <c r="G181" s="83"/>
      <c r="H181" s="71"/>
      <c r="I181" s="71"/>
      <c r="J181" s="71"/>
      <c r="K181" s="55"/>
      <c r="L181" s="55"/>
      <c r="M181" s="55"/>
      <c r="N181" s="55"/>
      <c r="O181" s="55"/>
      <c r="P181" s="55"/>
      <c r="Q181" s="62"/>
      <c r="R181" s="62"/>
      <c r="S181" s="62"/>
      <c r="T181" s="62"/>
      <c r="U181" s="62"/>
      <c r="V181" s="62"/>
      <c r="W181" s="62"/>
      <c r="X181" s="62"/>
      <c r="Y181" s="62"/>
      <c r="Z181" s="62"/>
      <c r="AA181" s="62"/>
      <c r="AB181" s="62"/>
      <c r="AC181" s="62"/>
      <c r="AD181" s="62"/>
      <c r="AE181" s="63"/>
    </row>
    <row r="182" spans="2:31" x14ac:dyDescent="0.25">
      <c r="B182" s="61"/>
      <c r="C182" s="54"/>
      <c r="D182" s="71"/>
      <c r="E182" s="71"/>
      <c r="F182" s="71"/>
      <c r="G182" s="83"/>
      <c r="H182" s="71"/>
      <c r="I182" s="71"/>
      <c r="J182" s="71"/>
      <c r="K182" s="55"/>
      <c r="L182" s="55"/>
      <c r="M182" s="55"/>
      <c r="N182" s="55"/>
      <c r="O182" s="55"/>
      <c r="P182" s="55"/>
      <c r="Q182" s="62"/>
      <c r="R182" s="62"/>
      <c r="S182" s="62"/>
      <c r="T182" s="62"/>
      <c r="U182" s="62"/>
      <c r="V182" s="62"/>
      <c r="W182" s="62"/>
      <c r="X182" s="62"/>
      <c r="Y182" s="62"/>
      <c r="Z182" s="62"/>
      <c r="AA182" s="62"/>
      <c r="AB182" s="62"/>
      <c r="AC182" s="62"/>
      <c r="AD182" s="62"/>
      <c r="AE182" s="63"/>
    </row>
    <row r="183" spans="2:31" x14ac:dyDescent="0.25">
      <c r="B183" s="61"/>
      <c r="C183" s="54"/>
      <c r="D183" s="71"/>
      <c r="E183" s="71"/>
      <c r="F183" s="71"/>
      <c r="G183" s="83"/>
      <c r="H183" s="71"/>
      <c r="I183" s="71"/>
      <c r="J183" s="71"/>
      <c r="K183" s="55"/>
      <c r="L183" s="55"/>
      <c r="M183" s="55"/>
      <c r="N183" s="55"/>
      <c r="O183" s="55"/>
      <c r="P183" s="55"/>
      <c r="Q183" s="62"/>
      <c r="R183" s="62"/>
      <c r="S183" s="62"/>
      <c r="T183" s="62"/>
      <c r="U183" s="62"/>
      <c r="V183" s="62"/>
      <c r="W183" s="62"/>
      <c r="X183" s="62"/>
      <c r="Y183" s="62"/>
      <c r="Z183" s="62"/>
      <c r="AA183" s="62"/>
      <c r="AB183" s="62"/>
      <c r="AC183" s="62"/>
      <c r="AD183" s="62"/>
      <c r="AE183" s="63"/>
    </row>
    <row r="184" spans="2:31" x14ac:dyDescent="0.25">
      <c r="B184" s="61"/>
      <c r="C184" s="54"/>
      <c r="D184" s="71"/>
      <c r="E184" s="71"/>
      <c r="F184" s="71"/>
      <c r="G184" s="83"/>
      <c r="H184" s="71"/>
      <c r="I184" s="71"/>
      <c r="J184" s="71"/>
      <c r="K184" s="55"/>
      <c r="L184" s="55"/>
      <c r="M184" s="55"/>
      <c r="N184" s="55"/>
      <c r="O184" s="55"/>
      <c r="P184" s="55"/>
      <c r="Q184" s="62"/>
      <c r="R184" s="62"/>
      <c r="S184" s="62"/>
      <c r="T184" s="62"/>
      <c r="U184" s="62"/>
      <c r="V184" s="62"/>
      <c r="W184" s="62"/>
      <c r="X184" s="62"/>
      <c r="Y184" s="62"/>
      <c r="Z184" s="62"/>
      <c r="AA184" s="62"/>
      <c r="AB184" s="62"/>
      <c r="AC184" s="62"/>
      <c r="AD184" s="62"/>
      <c r="AE184" s="63"/>
    </row>
    <row r="185" spans="2:31" x14ac:dyDescent="0.25">
      <c r="B185" s="61"/>
      <c r="C185" s="54"/>
      <c r="D185" s="71"/>
      <c r="E185" s="71"/>
      <c r="F185" s="71"/>
      <c r="G185" s="83"/>
      <c r="H185" s="71"/>
      <c r="I185" s="71"/>
      <c r="J185" s="71"/>
      <c r="K185" s="55"/>
      <c r="L185" s="55"/>
      <c r="M185" s="55"/>
      <c r="N185" s="55"/>
      <c r="O185" s="55"/>
      <c r="P185" s="55"/>
      <c r="Q185" s="62"/>
      <c r="R185" s="62"/>
      <c r="S185" s="62"/>
      <c r="T185" s="62"/>
      <c r="U185" s="62"/>
      <c r="V185" s="62"/>
      <c r="W185" s="62"/>
      <c r="X185" s="62"/>
      <c r="Y185" s="62"/>
      <c r="Z185" s="62"/>
      <c r="AA185" s="62"/>
      <c r="AB185" s="62"/>
      <c r="AC185" s="62"/>
      <c r="AD185" s="62"/>
      <c r="AE185" s="63"/>
    </row>
    <row r="186" spans="2:31" x14ac:dyDescent="0.25">
      <c r="B186" s="61"/>
      <c r="C186" s="54"/>
      <c r="D186" s="71"/>
      <c r="E186" s="71"/>
      <c r="F186" s="71"/>
      <c r="G186" s="83"/>
      <c r="H186" s="71"/>
      <c r="I186" s="71"/>
      <c r="J186" s="71"/>
      <c r="K186" s="55"/>
      <c r="L186" s="55"/>
      <c r="M186" s="55"/>
      <c r="N186" s="55"/>
      <c r="O186" s="55"/>
      <c r="P186" s="55"/>
      <c r="Q186" s="62"/>
      <c r="R186" s="62"/>
      <c r="S186" s="62"/>
      <c r="T186" s="62"/>
      <c r="U186" s="62"/>
      <c r="V186" s="62"/>
      <c r="W186" s="62"/>
      <c r="X186" s="62"/>
      <c r="Y186" s="62"/>
      <c r="Z186" s="62"/>
      <c r="AA186" s="62"/>
      <c r="AB186" s="62"/>
      <c r="AC186" s="62"/>
      <c r="AD186" s="62"/>
      <c r="AE186" s="63"/>
    </row>
    <row r="187" spans="2:31" x14ac:dyDescent="0.25">
      <c r="B187" s="61"/>
      <c r="C187" s="54"/>
      <c r="D187" s="71"/>
      <c r="E187" s="71"/>
      <c r="F187" s="71"/>
      <c r="G187" s="83"/>
      <c r="H187" s="71"/>
      <c r="I187" s="71"/>
      <c r="J187" s="71"/>
      <c r="K187" s="55"/>
      <c r="L187" s="55"/>
      <c r="M187" s="55"/>
      <c r="N187" s="55"/>
      <c r="O187" s="55"/>
      <c r="P187" s="55"/>
      <c r="Q187" s="62"/>
      <c r="R187" s="62"/>
      <c r="S187" s="62"/>
      <c r="T187" s="62"/>
      <c r="U187" s="62"/>
      <c r="V187" s="62"/>
      <c r="W187" s="62"/>
      <c r="X187" s="62"/>
      <c r="Y187" s="62"/>
      <c r="Z187" s="62"/>
      <c r="AA187" s="62"/>
      <c r="AB187" s="62"/>
      <c r="AC187" s="62"/>
      <c r="AD187" s="62"/>
      <c r="AE187" s="63"/>
    </row>
    <row r="188" spans="2:31" ht="15.75" thickBot="1" x14ac:dyDescent="0.3">
      <c r="B188" s="66"/>
      <c r="C188" s="54"/>
      <c r="D188" s="71"/>
      <c r="E188" s="71"/>
      <c r="F188" s="71"/>
      <c r="G188" s="83"/>
      <c r="H188" s="71"/>
      <c r="I188" s="71"/>
      <c r="J188" s="71"/>
      <c r="K188" s="55"/>
      <c r="L188" s="55"/>
      <c r="M188" s="55"/>
      <c r="N188" s="55"/>
      <c r="O188" s="55"/>
      <c r="P188" s="55"/>
      <c r="Q188" s="67"/>
      <c r="R188" s="67"/>
      <c r="S188" s="67"/>
      <c r="T188" s="67"/>
      <c r="U188" s="67"/>
      <c r="V188" s="67"/>
      <c r="W188" s="67"/>
      <c r="X188" s="67"/>
      <c r="Y188" s="67"/>
      <c r="Z188" s="67"/>
      <c r="AA188" s="67"/>
      <c r="AB188" s="67"/>
      <c r="AC188" s="67"/>
      <c r="AD188" s="67"/>
      <c r="AE188" s="68"/>
    </row>
    <row r="189" spans="2:31" ht="15.75" thickTop="1" x14ac:dyDescent="0.25">
      <c r="C189" s="3"/>
      <c r="D189" s="52"/>
      <c r="E189" s="52"/>
      <c r="F189" s="52"/>
      <c r="G189" s="84"/>
      <c r="H189" s="52"/>
      <c r="I189" s="52"/>
      <c r="J189" s="52"/>
      <c r="K189" s="2"/>
      <c r="L189" s="2"/>
      <c r="M189" s="2"/>
      <c r="N189" s="2"/>
      <c r="O189" s="2"/>
      <c r="P189" s="2"/>
    </row>
    <row r="190" spans="2:31" x14ac:dyDescent="0.25">
      <c r="C190" s="3"/>
      <c r="D190" s="52"/>
      <c r="E190" s="52"/>
      <c r="F190" s="52"/>
      <c r="G190" s="84"/>
      <c r="H190" s="52"/>
      <c r="I190" s="52"/>
      <c r="J190" s="52"/>
      <c r="K190" s="2"/>
      <c r="L190" s="2"/>
      <c r="M190" s="2"/>
      <c r="N190" s="2"/>
      <c r="O190" s="2"/>
      <c r="P190" s="2"/>
    </row>
    <row r="191" spans="2:31" x14ac:dyDescent="0.25">
      <c r="C191" s="3"/>
      <c r="D191" s="52"/>
      <c r="E191" s="52"/>
      <c r="F191" s="52"/>
      <c r="G191" s="84"/>
      <c r="H191" s="52"/>
      <c r="I191" s="52"/>
      <c r="J191" s="52"/>
      <c r="K191" s="2"/>
      <c r="L191" s="2"/>
      <c r="M191" s="2"/>
      <c r="N191" s="2"/>
      <c r="O191" s="2"/>
      <c r="P191" s="2"/>
    </row>
    <row r="192" spans="2:31" x14ac:dyDescent="0.25">
      <c r="C192" s="3"/>
    </row>
    <row r="193" spans="3:3" x14ac:dyDescent="0.25">
      <c r="C193" s="3"/>
    </row>
    <row r="194" spans="3:3" x14ac:dyDescent="0.25">
      <c r="C194" s="3"/>
    </row>
    <row r="195" spans="3:3" x14ac:dyDescent="0.25">
      <c r="C195" s="3"/>
    </row>
    <row r="196" spans="3:3" x14ac:dyDescent="0.25">
      <c r="C196" s="3"/>
    </row>
    <row r="197" spans="3:3" x14ac:dyDescent="0.25">
      <c r="C197" s="3"/>
    </row>
    <row r="198" spans="3:3" x14ac:dyDescent="0.25">
      <c r="C198" s="3"/>
    </row>
    <row r="199" spans="3:3" x14ac:dyDescent="0.25">
      <c r="C199" s="3"/>
    </row>
    <row r="200" spans="3:3" x14ac:dyDescent="0.25">
      <c r="C200" s="3"/>
    </row>
    <row r="201" spans="3:3" x14ac:dyDescent="0.25">
      <c r="C201" s="42"/>
    </row>
    <row r="202" spans="3:3" x14ac:dyDescent="0.25">
      <c r="C202" s="42"/>
    </row>
    <row r="203" spans="3:3" x14ac:dyDescent="0.25">
      <c r="C203" s="42"/>
    </row>
    <row r="204" spans="3:3" x14ac:dyDescent="0.25">
      <c r="C204" s="42"/>
    </row>
    <row r="205" spans="3:3" x14ac:dyDescent="0.25">
      <c r="C205" s="42"/>
    </row>
    <row r="206" spans="3:3" x14ac:dyDescent="0.25">
      <c r="C206" s="42"/>
    </row>
    <row r="207" spans="3:3" x14ac:dyDescent="0.25">
      <c r="C207" s="42"/>
    </row>
    <row r="208" spans="3:3" x14ac:dyDescent="0.25">
      <c r="C208" s="42"/>
    </row>
    <row r="209" spans="3:3" x14ac:dyDescent="0.25">
      <c r="C209" s="42"/>
    </row>
    <row r="210" spans="3:3" x14ac:dyDescent="0.25">
      <c r="C210" s="42"/>
    </row>
    <row r="211" spans="3:3" x14ac:dyDescent="0.25">
      <c r="C211" s="42"/>
    </row>
    <row r="212" spans="3:3" x14ac:dyDescent="0.25">
      <c r="C212" s="42"/>
    </row>
    <row r="213" spans="3:3" x14ac:dyDescent="0.25">
      <c r="C213" s="42"/>
    </row>
    <row r="214" spans="3:3" x14ac:dyDescent="0.25">
      <c r="C214" s="42"/>
    </row>
    <row r="215" spans="3:3" x14ac:dyDescent="0.25">
      <c r="C215" s="42"/>
    </row>
    <row r="216" spans="3:3" x14ac:dyDescent="0.25">
      <c r="C216" s="42"/>
    </row>
    <row r="217" spans="3:3" x14ac:dyDescent="0.25">
      <c r="C217" s="42"/>
    </row>
    <row r="218" spans="3:3" x14ac:dyDescent="0.25">
      <c r="C218" s="42"/>
    </row>
    <row r="219" spans="3:3" x14ac:dyDescent="0.25">
      <c r="C219" s="42"/>
    </row>
    <row r="220" spans="3:3" x14ac:dyDescent="0.25">
      <c r="C220" s="42"/>
    </row>
    <row r="221" spans="3:3" x14ac:dyDescent="0.25">
      <c r="C221" s="42"/>
    </row>
    <row r="222" spans="3:3" x14ac:dyDescent="0.25">
      <c r="C222" s="42"/>
    </row>
    <row r="223" spans="3:3" x14ac:dyDescent="0.25">
      <c r="C223" s="42"/>
    </row>
    <row r="224" spans="3:3" x14ac:dyDescent="0.25">
      <c r="C224" s="42"/>
    </row>
    <row r="225" spans="3:3" x14ac:dyDescent="0.25">
      <c r="C225" s="42"/>
    </row>
    <row r="226" spans="3:3" x14ac:dyDescent="0.25">
      <c r="C226" s="42"/>
    </row>
    <row r="227" spans="3:3" x14ac:dyDescent="0.25">
      <c r="C227" s="42"/>
    </row>
  </sheetData>
  <dataConsolidate/>
  <mergeCells count="31">
    <mergeCell ref="D7:F7"/>
    <mergeCell ref="G7:G8"/>
    <mergeCell ref="Q6:Q8"/>
    <mergeCell ref="P7:P8"/>
    <mergeCell ref="L7:L8"/>
    <mergeCell ref="K7:K8"/>
    <mergeCell ref="J7:J8"/>
    <mergeCell ref="H6:J6"/>
    <mergeCell ref="K6:P6"/>
    <mergeCell ref="B3:G3"/>
    <mergeCell ref="W6:X6"/>
    <mergeCell ref="Y6:Z6"/>
    <mergeCell ref="W7:W8"/>
    <mergeCell ref="X7:X8"/>
    <mergeCell ref="Y7:Y8"/>
    <mergeCell ref="Z7:Z8"/>
    <mergeCell ref="I7:I8"/>
    <mergeCell ref="H7:H8"/>
    <mergeCell ref="R6:R8"/>
    <mergeCell ref="S7:T7"/>
    <mergeCell ref="S6:V6"/>
    <mergeCell ref="U7:V7"/>
    <mergeCell ref="C6:C8"/>
    <mergeCell ref="B6:B8"/>
    <mergeCell ref="D6:G6"/>
    <mergeCell ref="I3:W3"/>
    <mergeCell ref="AC3:AE3"/>
    <mergeCell ref="AA6:AD6"/>
    <mergeCell ref="AA7:AB7"/>
    <mergeCell ref="AC7:AD7"/>
    <mergeCell ref="AE6:AE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V53"/>
  <sheetViews>
    <sheetView workbookViewId="0">
      <selection activeCell="S10" sqref="S10"/>
    </sheetView>
  </sheetViews>
  <sheetFormatPr defaultRowHeight="15" x14ac:dyDescent="0.25"/>
  <cols>
    <col min="2" max="2" width="5" bestFit="1" customWidth="1"/>
    <col min="3" max="4" width="25.140625" bestFit="1" customWidth="1"/>
    <col min="5" max="5" width="18.7109375" bestFit="1" customWidth="1"/>
    <col min="6" max="6" width="9" bestFit="1" customWidth="1"/>
    <col min="7" max="7" width="14.42578125" bestFit="1" customWidth="1"/>
    <col min="8" max="8" width="5.140625" bestFit="1" customWidth="1"/>
    <col min="9" max="9" width="13.42578125" bestFit="1" customWidth="1"/>
    <col min="10" max="10" width="9.28515625" bestFit="1" customWidth="1"/>
    <col min="11" max="11" width="6.28515625" bestFit="1" customWidth="1"/>
    <col min="12" max="12" width="21.140625" bestFit="1" customWidth="1"/>
    <col min="16" max="16" width="5" customWidth="1"/>
    <col min="17" max="17" width="8.28515625" customWidth="1"/>
    <col min="19" max="19" width="5" customWidth="1"/>
    <col min="20" max="20" width="18.7109375" customWidth="1"/>
    <col min="21" max="21" width="13.42578125" customWidth="1"/>
    <col min="22" max="22" width="9.28515625" customWidth="1"/>
  </cols>
  <sheetData>
    <row r="2" spans="2:22" x14ac:dyDescent="0.25">
      <c r="B2" t="s">
        <v>22</v>
      </c>
      <c r="C2" t="s">
        <v>50</v>
      </c>
      <c r="D2" t="s">
        <v>51</v>
      </c>
      <c r="E2" t="s">
        <v>52</v>
      </c>
      <c r="F2" t="s">
        <v>53</v>
      </c>
      <c r="G2" t="s">
        <v>30</v>
      </c>
      <c r="H2" t="s">
        <v>54</v>
      </c>
      <c r="I2" t="s">
        <v>55</v>
      </c>
      <c r="J2" t="s">
        <v>349</v>
      </c>
      <c r="K2" t="s">
        <v>350</v>
      </c>
      <c r="L2" t="s">
        <v>351</v>
      </c>
    </row>
    <row r="3" spans="2:22" x14ac:dyDescent="0.25">
      <c r="B3">
        <v>51</v>
      </c>
      <c r="C3" t="s">
        <v>56</v>
      </c>
      <c r="D3" t="s">
        <v>56</v>
      </c>
      <c r="E3" t="s">
        <v>57</v>
      </c>
      <c r="F3" t="s">
        <v>58</v>
      </c>
      <c r="G3" s="1">
        <v>45554.47215277778</v>
      </c>
      <c r="H3">
        <v>1</v>
      </c>
      <c r="I3" t="s">
        <v>59</v>
      </c>
      <c r="J3" t="s">
        <v>352</v>
      </c>
      <c r="K3">
        <v>3</v>
      </c>
    </row>
    <row r="4" spans="2:22" x14ac:dyDescent="0.25">
      <c r="B4">
        <v>52</v>
      </c>
      <c r="C4" t="s">
        <v>47</v>
      </c>
      <c r="D4" t="s">
        <v>47</v>
      </c>
      <c r="E4" t="s">
        <v>57</v>
      </c>
      <c r="F4" t="s">
        <v>58</v>
      </c>
      <c r="G4" s="1">
        <v>45554.47215277778</v>
      </c>
      <c r="H4">
        <v>2</v>
      </c>
      <c r="I4" t="s">
        <v>59</v>
      </c>
      <c r="J4" t="s">
        <v>352</v>
      </c>
      <c r="K4">
        <v>3</v>
      </c>
    </row>
    <row r="5" spans="2:22" x14ac:dyDescent="0.25">
      <c r="B5">
        <v>53</v>
      </c>
      <c r="C5" t="s">
        <v>60</v>
      </c>
      <c r="D5" t="s">
        <v>60</v>
      </c>
      <c r="E5" t="s">
        <v>57</v>
      </c>
      <c r="F5" t="s">
        <v>58</v>
      </c>
      <c r="G5" s="1">
        <v>45554.47215277778</v>
      </c>
      <c r="H5">
        <v>3</v>
      </c>
      <c r="I5" t="s">
        <v>59</v>
      </c>
      <c r="J5" t="s">
        <v>352</v>
      </c>
      <c r="K5">
        <v>3</v>
      </c>
    </row>
    <row r="6" spans="2:22" x14ac:dyDescent="0.25">
      <c r="B6">
        <v>54</v>
      </c>
      <c r="C6" t="s">
        <v>61</v>
      </c>
      <c r="D6" t="s">
        <v>61</v>
      </c>
      <c r="E6" t="s">
        <v>57</v>
      </c>
      <c r="F6" t="s">
        <v>58</v>
      </c>
      <c r="G6" s="1">
        <v>45554.47215277778</v>
      </c>
      <c r="H6">
        <v>4</v>
      </c>
      <c r="I6" t="s">
        <v>59</v>
      </c>
      <c r="J6" t="s">
        <v>352</v>
      </c>
      <c r="K6">
        <v>3</v>
      </c>
    </row>
    <row r="7" spans="2:22" x14ac:dyDescent="0.25">
      <c r="B7">
        <v>20</v>
      </c>
      <c r="C7" t="s">
        <v>82</v>
      </c>
      <c r="D7" t="s">
        <v>41</v>
      </c>
      <c r="E7" t="s">
        <v>83</v>
      </c>
      <c r="F7" t="s">
        <v>58</v>
      </c>
      <c r="G7" s="1">
        <v>45554.47215277778</v>
      </c>
      <c r="H7">
        <v>1</v>
      </c>
      <c r="I7" t="s">
        <v>353</v>
      </c>
      <c r="J7" t="s">
        <v>84</v>
      </c>
      <c r="K7">
        <v>1</v>
      </c>
    </row>
    <row r="8" spans="2:22" x14ac:dyDescent="0.25">
      <c r="B8">
        <v>21</v>
      </c>
      <c r="C8" t="s">
        <v>85</v>
      </c>
      <c r="D8" t="s">
        <v>44</v>
      </c>
      <c r="E8" t="s">
        <v>83</v>
      </c>
      <c r="F8" t="s">
        <v>58</v>
      </c>
      <c r="G8" s="1">
        <v>45554.47215277778</v>
      </c>
      <c r="H8">
        <v>2</v>
      </c>
      <c r="I8" t="s">
        <v>353</v>
      </c>
      <c r="J8" t="s">
        <v>84</v>
      </c>
      <c r="K8">
        <v>1</v>
      </c>
      <c r="P8" t="s">
        <v>22</v>
      </c>
      <c r="Q8" t="s">
        <v>126</v>
      </c>
      <c r="S8" t="s">
        <v>22</v>
      </c>
      <c r="T8" t="s">
        <v>126</v>
      </c>
      <c r="U8" t="s">
        <v>55</v>
      </c>
      <c r="V8" t="s">
        <v>349</v>
      </c>
    </row>
    <row r="9" spans="2:22" x14ac:dyDescent="0.25">
      <c r="B9">
        <v>23</v>
      </c>
      <c r="C9" t="s">
        <v>94</v>
      </c>
      <c r="D9" t="s">
        <v>95</v>
      </c>
      <c r="E9" t="s">
        <v>96</v>
      </c>
      <c r="F9" t="s">
        <v>58</v>
      </c>
      <c r="G9" s="1">
        <v>45554.47215277778</v>
      </c>
      <c r="H9">
        <v>1</v>
      </c>
      <c r="I9" t="s">
        <v>96</v>
      </c>
      <c r="J9" t="s">
        <v>84</v>
      </c>
      <c r="K9">
        <v>1</v>
      </c>
      <c r="P9">
        <v>1</v>
      </c>
      <c r="Q9" t="s">
        <v>358</v>
      </c>
      <c r="S9">
        <v>1</v>
      </c>
      <c r="T9" t="s">
        <v>81</v>
      </c>
      <c r="U9" t="s">
        <v>59</v>
      </c>
      <c r="V9" t="s">
        <v>352</v>
      </c>
    </row>
    <row r="10" spans="2:22" x14ac:dyDescent="0.25">
      <c r="B10">
        <v>24</v>
      </c>
      <c r="C10" t="s">
        <v>97</v>
      </c>
      <c r="D10" t="s">
        <v>98</v>
      </c>
      <c r="E10" t="s">
        <v>96</v>
      </c>
      <c r="F10" t="s">
        <v>58</v>
      </c>
      <c r="G10" s="1">
        <v>45554.47215277778</v>
      </c>
      <c r="H10">
        <v>2</v>
      </c>
      <c r="I10" t="s">
        <v>96</v>
      </c>
      <c r="J10" t="s">
        <v>84</v>
      </c>
      <c r="K10">
        <v>1</v>
      </c>
      <c r="P10">
        <v>2</v>
      </c>
      <c r="Q10" t="s">
        <v>359</v>
      </c>
      <c r="S10">
        <v>2</v>
      </c>
      <c r="T10" t="s">
        <v>66</v>
      </c>
      <c r="U10" t="s">
        <v>59</v>
      </c>
      <c r="V10" t="s">
        <v>352</v>
      </c>
    </row>
    <row r="11" spans="2:22" x14ac:dyDescent="0.25">
      <c r="B11">
        <v>36</v>
      </c>
      <c r="C11" t="s">
        <v>87</v>
      </c>
      <c r="D11" t="s">
        <v>88</v>
      </c>
      <c r="E11" t="s">
        <v>89</v>
      </c>
      <c r="F11" t="s">
        <v>58</v>
      </c>
      <c r="G11" s="1">
        <v>45554.47215277778</v>
      </c>
      <c r="H11">
        <v>1</v>
      </c>
      <c r="I11" t="s">
        <v>89</v>
      </c>
      <c r="J11" t="s">
        <v>84</v>
      </c>
      <c r="K11">
        <v>1</v>
      </c>
      <c r="S11">
        <v>3</v>
      </c>
      <c r="T11" t="s">
        <v>64</v>
      </c>
      <c r="U11" t="s">
        <v>59</v>
      </c>
      <c r="V11" t="s">
        <v>352</v>
      </c>
    </row>
    <row r="12" spans="2:22" x14ac:dyDescent="0.25">
      <c r="B12">
        <v>37</v>
      </c>
      <c r="C12" t="s">
        <v>90</v>
      </c>
      <c r="D12" t="s">
        <v>91</v>
      </c>
      <c r="E12" t="s">
        <v>89</v>
      </c>
      <c r="F12" t="s">
        <v>58</v>
      </c>
      <c r="G12" s="1">
        <v>45554.47215277778</v>
      </c>
      <c r="H12">
        <v>2</v>
      </c>
      <c r="I12" t="s">
        <v>89</v>
      </c>
      <c r="J12" t="s">
        <v>84</v>
      </c>
      <c r="K12">
        <v>1</v>
      </c>
      <c r="S12">
        <v>4</v>
      </c>
      <c r="T12" t="s">
        <v>120</v>
      </c>
      <c r="U12" t="s">
        <v>101</v>
      </c>
      <c r="V12" t="s">
        <v>352</v>
      </c>
    </row>
    <row r="13" spans="2:22" x14ac:dyDescent="0.25">
      <c r="B13">
        <v>38</v>
      </c>
      <c r="C13" t="s">
        <v>92</v>
      </c>
      <c r="D13" t="s">
        <v>93</v>
      </c>
      <c r="E13" t="s">
        <v>89</v>
      </c>
      <c r="F13" t="s">
        <v>58</v>
      </c>
      <c r="G13" s="1">
        <v>45554.47215277778</v>
      </c>
      <c r="H13">
        <v>3</v>
      </c>
      <c r="I13" t="s">
        <v>89</v>
      </c>
      <c r="J13" t="s">
        <v>84</v>
      </c>
      <c r="K13">
        <v>1</v>
      </c>
      <c r="S13">
        <v>5</v>
      </c>
      <c r="T13" t="s">
        <v>117</v>
      </c>
      <c r="U13" t="s">
        <v>101</v>
      </c>
      <c r="V13" t="s">
        <v>352</v>
      </c>
    </row>
    <row r="14" spans="2:22" x14ac:dyDescent="0.25">
      <c r="B14">
        <v>22</v>
      </c>
      <c r="C14" t="s">
        <v>86</v>
      </c>
      <c r="D14" t="s">
        <v>86</v>
      </c>
      <c r="E14" t="s">
        <v>354</v>
      </c>
      <c r="F14" t="s">
        <v>58</v>
      </c>
      <c r="G14" s="1">
        <v>45554.47215277778</v>
      </c>
      <c r="H14">
        <v>1</v>
      </c>
      <c r="I14" t="s">
        <v>354</v>
      </c>
      <c r="J14" t="s">
        <v>84</v>
      </c>
      <c r="K14">
        <v>1</v>
      </c>
      <c r="S14">
        <v>6</v>
      </c>
      <c r="T14" t="s">
        <v>57</v>
      </c>
      <c r="U14" t="s">
        <v>59</v>
      </c>
      <c r="V14" t="s">
        <v>352</v>
      </c>
    </row>
    <row r="15" spans="2:22" x14ac:dyDescent="0.25">
      <c r="B15">
        <v>25</v>
      </c>
      <c r="C15" t="s">
        <v>99</v>
      </c>
      <c r="D15" t="s">
        <v>99</v>
      </c>
      <c r="E15" t="s">
        <v>100</v>
      </c>
      <c r="F15" t="s">
        <v>58</v>
      </c>
      <c r="G15" s="1">
        <v>45554.47215277778</v>
      </c>
      <c r="H15">
        <v>1</v>
      </c>
      <c r="I15" t="s">
        <v>101</v>
      </c>
      <c r="J15" t="s">
        <v>352</v>
      </c>
      <c r="K15">
        <v>2</v>
      </c>
      <c r="S15">
        <v>7</v>
      </c>
      <c r="T15" t="s">
        <v>76</v>
      </c>
      <c r="U15" t="s">
        <v>59</v>
      </c>
      <c r="V15" t="s">
        <v>352</v>
      </c>
    </row>
    <row r="16" spans="2:22" x14ac:dyDescent="0.25">
      <c r="B16">
        <v>26</v>
      </c>
      <c r="C16" t="s">
        <v>102</v>
      </c>
      <c r="D16" t="s">
        <v>102</v>
      </c>
      <c r="E16" t="s">
        <v>100</v>
      </c>
      <c r="F16" t="s">
        <v>58</v>
      </c>
      <c r="G16" s="1">
        <v>45554.47215277778</v>
      </c>
      <c r="H16">
        <v>2</v>
      </c>
      <c r="I16" t="s">
        <v>101</v>
      </c>
      <c r="J16" t="s">
        <v>352</v>
      </c>
      <c r="K16">
        <v>2</v>
      </c>
      <c r="S16">
        <v>8</v>
      </c>
      <c r="T16" t="s">
        <v>89</v>
      </c>
      <c r="U16" t="s">
        <v>89</v>
      </c>
      <c r="V16" t="s">
        <v>84</v>
      </c>
    </row>
    <row r="17" spans="2:22" x14ac:dyDescent="0.25">
      <c r="B17">
        <v>27</v>
      </c>
      <c r="C17" t="s">
        <v>103</v>
      </c>
      <c r="D17" t="s">
        <v>103</v>
      </c>
      <c r="E17" t="s">
        <v>100</v>
      </c>
      <c r="F17" t="s">
        <v>58</v>
      </c>
      <c r="G17" s="1">
        <v>45554.47215277778</v>
      </c>
      <c r="H17">
        <v>3</v>
      </c>
      <c r="I17" t="s">
        <v>101</v>
      </c>
      <c r="J17" t="s">
        <v>352</v>
      </c>
      <c r="K17">
        <v>2</v>
      </c>
      <c r="S17">
        <v>9</v>
      </c>
      <c r="T17" t="s">
        <v>111</v>
      </c>
      <c r="U17" t="s">
        <v>101</v>
      </c>
      <c r="V17" t="s">
        <v>352</v>
      </c>
    </row>
    <row r="18" spans="2:22" x14ac:dyDescent="0.25">
      <c r="B18">
        <v>28</v>
      </c>
      <c r="C18" t="s">
        <v>104</v>
      </c>
      <c r="D18" t="s">
        <v>104</v>
      </c>
      <c r="E18" t="s">
        <v>100</v>
      </c>
      <c r="F18" t="s">
        <v>58</v>
      </c>
      <c r="G18" s="1">
        <v>45554.47215277778</v>
      </c>
      <c r="H18">
        <v>4</v>
      </c>
      <c r="I18" t="s">
        <v>101</v>
      </c>
      <c r="J18" t="s">
        <v>352</v>
      </c>
      <c r="K18">
        <v>2</v>
      </c>
      <c r="S18">
        <v>10</v>
      </c>
      <c r="T18" t="s">
        <v>354</v>
      </c>
      <c r="U18" t="s">
        <v>354</v>
      </c>
      <c r="V18" t="s">
        <v>84</v>
      </c>
    </row>
    <row r="19" spans="2:22" x14ac:dyDescent="0.25">
      <c r="B19">
        <v>29</v>
      </c>
      <c r="C19" t="s">
        <v>105</v>
      </c>
      <c r="D19" t="s">
        <v>105</v>
      </c>
      <c r="E19" t="s">
        <v>100</v>
      </c>
      <c r="F19" t="s">
        <v>58</v>
      </c>
      <c r="G19" s="1">
        <v>45554.47215277778</v>
      </c>
      <c r="H19">
        <v>5</v>
      </c>
      <c r="I19" t="s">
        <v>101</v>
      </c>
      <c r="J19" t="s">
        <v>352</v>
      </c>
      <c r="K19">
        <v>2</v>
      </c>
      <c r="S19">
        <v>11</v>
      </c>
      <c r="T19" t="s">
        <v>96</v>
      </c>
      <c r="U19" t="s">
        <v>96</v>
      </c>
      <c r="V19" t="s">
        <v>84</v>
      </c>
    </row>
    <row r="20" spans="2:22" x14ac:dyDescent="0.25">
      <c r="B20">
        <v>30</v>
      </c>
      <c r="C20" t="s">
        <v>46</v>
      </c>
      <c r="D20" t="s">
        <v>46</v>
      </c>
      <c r="E20" t="s">
        <v>100</v>
      </c>
      <c r="F20" t="s">
        <v>58</v>
      </c>
      <c r="G20" s="1">
        <v>45554.47215277778</v>
      </c>
      <c r="H20">
        <v>6</v>
      </c>
      <c r="I20" t="s">
        <v>101</v>
      </c>
      <c r="J20" t="s">
        <v>352</v>
      </c>
      <c r="K20">
        <v>2</v>
      </c>
      <c r="S20">
        <v>12</v>
      </c>
      <c r="T20" t="s">
        <v>100</v>
      </c>
      <c r="U20" t="s">
        <v>101</v>
      </c>
      <c r="V20" t="s">
        <v>352</v>
      </c>
    </row>
    <row r="21" spans="2:22" x14ac:dyDescent="0.25">
      <c r="B21">
        <v>31</v>
      </c>
      <c r="C21" t="s">
        <v>106</v>
      </c>
      <c r="D21" t="s">
        <v>106</v>
      </c>
      <c r="E21" t="s">
        <v>100</v>
      </c>
      <c r="F21" t="s">
        <v>58</v>
      </c>
      <c r="G21" s="1">
        <v>45554.47215277778</v>
      </c>
      <c r="H21">
        <v>7</v>
      </c>
      <c r="I21" t="s">
        <v>101</v>
      </c>
      <c r="J21" t="s">
        <v>352</v>
      </c>
      <c r="K21">
        <v>2</v>
      </c>
      <c r="S21">
        <v>13</v>
      </c>
      <c r="T21" t="s">
        <v>83</v>
      </c>
      <c r="U21" t="s">
        <v>353</v>
      </c>
      <c r="V21" t="s">
        <v>84</v>
      </c>
    </row>
    <row r="22" spans="2:22" x14ac:dyDescent="0.25">
      <c r="B22">
        <v>32</v>
      </c>
      <c r="C22" t="s">
        <v>107</v>
      </c>
      <c r="D22" t="s">
        <v>107</v>
      </c>
      <c r="E22" t="s">
        <v>100</v>
      </c>
      <c r="F22" t="s">
        <v>58</v>
      </c>
      <c r="G22" s="1">
        <v>45554.47215277778</v>
      </c>
      <c r="H22">
        <v>8</v>
      </c>
      <c r="I22" t="s">
        <v>101</v>
      </c>
      <c r="J22" t="s">
        <v>352</v>
      </c>
      <c r="K22">
        <v>2</v>
      </c>
    </row>
    <row r="23" spans="2:22" x14ac:dyDescent="0.25">
      <c r="B23">
        <v>33</v>
      </c>
      <c r="C23" t="s">
        <v>108</v>
      </c>
      <c r="D23" t="s">
        <v>108</v>
      </c>
      <c r="E23" t="s">
        <v>100</v>
      </c>
      <c r="F23" t="s">
        <v>58</v>
      </c>
      <c r="G23" s="1">
        <v>45554.47215277778</v>
      </c>
      <c r="H23">
        <v>9</v>
      </c>
      <c r="I23" t="s">
        <v>101</v>
      </c>
      <c r="J23" t="s">
        <v>352</v>
      </c>
      <c r="K23">
        <v>2</v>
      </c>
    </row>
    <row r="24" spans="2:22" x14ac:dyDescent="0.25">
      <c r="B24">
        <v>34</v>
      </c>
      <c r="C24" t="s">
        <v>109</v>
      </c>
      <c r="D24" t="s">
        <v>109</v>
      </c>
      <c r="E24" t="s">
        <v>100</v>
      </c>
      <c r="F24" t="s">
        <v>58</v>
      </c>
      <c r="G24" s="1">
        <v>45554.47215277778</v>
      </c>
      <c r="H24">
        <v>10</v>
      </c>
      <c r="I24" t="s">
        <v>101</v>
      </c>
      <c r="J24" t="s">
        <v>352</v>
      </c>
      <c r="K24">
        <v>2</v>
      </c>
    </row>
    <row r="25" spans="2:22" x14ac:dyDescent="0.25">
      <c r="B25">
        <v>35</v>
      </c>
      <c r="C25" t="s">
        <v>110</v>
      </c>
      <c r="D25" t="s">
        <v>110</v>
      </c>
      <c r="E25" t="s">
        <v>111</v>
      </c>
      <c r="F25" t="s">
        <v>58</v>
      </c>
      <c r="G25" s="1">
        <v>45554.47215277778</v>
      </c>
      <c r="H25">
        <v>1</v>
      </c>
      <c r="I25" t="s">
        <v>101</v>
      </c>
      <c r="J25" t="s">
        <v>352</v>
      </c>
      <c r="K25">
        <v>2</v>
      </c>
    </row>
    <row r="26" spans="2:22" x14ac:dyDescent="0.25">
      <c r="B26">
        <v>39</v>
      </c>
      <c r="C26" t="s">
        <v>112</v>
      </c>
      <c r="D26" t="s">
        <v>112</v>
      </c>
      <c r="E26" t="s">
        <v>111</v>
      </c>
      <c r="F26" t="s">
        <v>58</v>
      </c>
      <c r="G26" s="1">
        <v>45554.47215277778</v>
      </c>
      <c r="H26">
        <v>2</v>
      </c>
      <c r="I26" t="s">
        <v>101</v>
      </c>
      <c r="J26" t="s">
        <v>352</v>
      </c>
      <c r="K26">
        <v>2</v>
      </c>
    </row>
    <row r="27" spans="2:22" x14ac:dyDescent="0.25">
      <c r="B27">
        <v>40</v>
      </c>
      <c r="C27" t="s">
        <v>113</v>
      </c>
      <c r="D27" t="s">
        <v>113</v>
      </c>
      <c r="E27" t="s">
        <v>111</v>
      </c>
      <c r="F27" t="s">
        <v>58</v>
      </c>
      <c r="G27" s="1">
        <v>45554.47215277778</v>
      </c>
      <c r="H27">
        <v>3</v>
      </c>
      <c r="I27" t="s">
        <v>101</v>
      </c>
      <c r="J27" t="s">
        <v>352</v>
      </c>
      <c r="K27">
        <v>2</v>
      </c>
    </row>
    <row r="28" spans="2:22" x14ac:dyDescent="0.25">
      <c r="B28">
        <v>41</v>
      </c>
      <c r="C28" t="s">
        <v>114</v>
      </c>
      <c r="D28" t="s">
        <v>114</v>
      </c>
      <c r="E28" t="s">
        <v>111</v>
      </c>
      <c r="F28" t="s">
        <v>58</v>
      </c>
      <c r="G28" s="1">
        <v>45554.47215277778</v>
      </c>
      <c r="H28">
        <v>4</v>
      </c>
      <c r="I28" t="s">
        <v>101</v>
      </c>
      <c r="J28" t="s">
        <v>352</v>
      </c>
      <c r="K28">
        <v>2</v>
      </c>
    </row>
    <row r="29" spans="2:22" x14ac:dyDescent="0.25">
      <c r="B29">
        <v>42</v>
      </c>
      <c r="C29" t="s">
        <v>115</v>
      </c>
      <c r="D29" t="s">
        <v>115</v>
      </c>
      <c r="E29" t="s">
        <v>111</v>
      </c>
      <c r="F29" t="s">
        <v>58</v>
      </c>
      <c r="G29" s="1">
        <v>45554.47215277778</v>
      </c>
      <c r="H29">
        <v>5</v>
      </c>
      <c r="I29" t="s">
        <v>101</v>
      </c>
      <c r="J29" t="s">
        <v>352</v>
      </c>
      <c r="K29">
        <v>2</v>
      </c>
    </row>
    <row r="30" spans="2:22" x14ac:dyDescent="0.25">
      <c r="B30">
        <v>43</v>
      </c>
      <c r="C30" t="s">
        <v>116</v>
      </c>
      <c r="D30" t="s">
        <v>116</v>
      </c>
      <c r="E30" t="s">
        <v>117</v>
      </c>
      <c r="F30" t="s">
        <v>58</v>
      </c>
      <c r="G30" s="1">
        <v>45554.47215277778</v>
      </c>
      <c r="H30">
        <v>1</v>
      </c>
      <c r="I30" t="s">
        <v>101</v>
      </c>
      <c r="J30" t="s">
        <v>352</v>
      </c>
      <c r="K30">
        <v>2</v>
      </c>
    </row>
    <row r="31" spans="2:22" x14ac:dyDescent="0.25">
      <c r="B31">
        <v>44</v>
      </c>
      <c r="C31" t="s">
        <v>118</v>
      </c>
      <c r="D31" t="s">
        <v>118</v>
      </c>
      <c r="E31" t="s">
        <v>117</v>
      </c>
      <c r="F31" t="s">
        <v>58</v>
      </c>
      <c r="G31" s="1">
        <v>45554.47215277778</v>
      </c>
      <c r="H31">
        <v>2</v>
      </c>
      <c r="I31" t="s">
        <v>101</v>
      </c>
      <c r="J31" t="s">
        <v>352</v>
      </c>
      <c r="K31">
        <v>2</v>
      </c>
    </row>
    <row r="32" spans="2:22" x14ac:dyDescent="0.25">
      <c r="B32">
        <v>45</v>
      </c>
      <c r="C32" t="s">
        <v>119</v>
      </c>
      <c r="D32" t="s">
        <v>119</v>
      </c>
      <c r="E32" t="s">
        <v>120</v>
      </c>
      <c r="F32" t="s">
        <v>58</v>
      </c>
      <c r="G32" s="1">
        <v>45554.47215277778</v>
      </c>
      <c r="H32">
        <v>1</v>
      </c>
      <c r="I32" t="s">
        <v>101</v>
      </c>
      <c r="J32" t="s">
        <v>352</v>
      </c>
      <c r="K32">
        <v>2</v>
      </c>
    </row>
    <row r="33" spans="2:11" x14ac:dyDescent="0.25">
      <c r="B33">
        <v>46</v>
      </c>
      <c r="C33" t="s">
        <v>121</v>
      </c>
      <c r="D33" t="s">
        <v>121</v>
      </c>
      <c r="E33" t="s">
        <v>120</v>
      </c>
      <c r="F33" t="s">
        <v>58</v>
      </c>
      <c r="G33" s="1">
        <v>45554.47215277778</v>
      </c>
      <c r="H33">
        <v>2</v>
      </c>
      <c r="I33" t="s">
        <v>101</v>
      </c>
      <c r="J33" t="s">
        <v>352</v>
      </c>
      <c r="K33">
        <v>2</v>
      </c>
    </row>
    <row r="34" spans="2:11" x14ac:dyDescent="0.25">
      <c r="B34">
        <v>47</v>
      </c>
      <c r="C34" t="s">
        <v>122</v>
      </c>
      <c r="D34" t="s">
        <v>122</v>
      </c>
      <c r="E34" t="s">
        <v>120</v>
      </c>
      <c r="F34" t="s">
        <v>58</v>
      </c>
      <c r="G34" s="1">
        <v>45554.47215277778</v>
      </c>
      <c r="H34">
        <v>3</v>
      </c>
      <c r="I34" t="s">
        <v>101</v>
      </c>
      <c r="J34" t="s">
        <v>352</v>
      </c>
      <c r="K34">
        <v>2</v>
      </c>
    </row>
    <row r="35" spans="2:11" x14ac:dyDescent="0.25">
      <c r="B35">
        <v>48</v>
      </c>
      <c r="C35" t="s">
        <v>123</v>
      </c>
      <c r="D35" t="s">
        <v>123</v>
      </c>
      <c r="E35" t="s">
        <v>120</v>
      </c>
      <c r="F35" t="s">
        <v>58</v>
      </c>
      <c r="G35" s="1">
        <v>45554.47215277778</v>
      </c>
      <c r="H35">
        <v>4</v>
      </c>
      <c r="I35" t="s">
        <v>101</v>
      </c>
      <c r="J35" t="s">
        <v>352</v>
      </c>
      <c r="K35">
        <v>2</v>
      </c>
    </row>
    <row r="36" spans="2:11" x14ac:dyDescent="0.25">
      <c r="B36">
        <v>49</v>
      </c>
      <c r="C36" t="s">
        <v>124</v>
      </c>
      <c r="D36" t="s">
        <v>124</v>
      </c>
      <c r="E36" t="s">
        <v>120</v>
      </c>
      <c r="F36" t="s">
        <v>58</v>
      </c>
      <c r="G36" s="1">
        <v>45554.47215277778</v>
      </c>
      <c r="H36">
        <v>5</v>
      </c>
      <c r="I36" t="s">
        <v>101</v>
      </c>
      <c r="J36" t="s">
        <v>352</v>
      </c>
      <c r="K36">
        <v>2</v>
      </c>
    </row>
    <row r="37" spans="2:11" x14ac:dyDescent="0.25">
      <c r="B37">
        <v>50</v>
      </c>
      <c r="C37" t="s">
        <v>125</v>
      </c>
      <c r="D37" t="s">
        <v>125</v>
      </c>
      <c r="E37" t="s">
        <v>120</v>
      </c>
      <c r="F37" t="s">
        <v>58</v>
      </c>
      <c r="G37" s="1">
        <v>45554.47215277778</v>
      </c>
      <c r="H37">
        <v>6</v>
      </c>
      <c r="I37" t="s">
        <v>101</v>
      </c>
      <c r="J37" t="s">
        <v>352</v>
      </c>
      <c r="K37">
        <v>2</v>
      </c>
    </row>
    <row r="38" spans="2:11" x14ac:dyDescent="0.25">
      <c r="B38">
        <v>55</v>
      </c>
      <c r="C38" t="s">
        <v>62</v>
      </c>
      <c r="D38" t="s">
        <v>62</v>
      </c>
      <c r="E38" t="s">
        <v>57</v>
      </c>
      <c r="F38" t="s">
        <v>58</v>
      </c>
      <c r="G38" s="1">
        <v>45554.47216435185</v>
      </c>
      <c r="H38">
        <v>5</v>
      </c>
      <c r="I38" t="s">
        <v>59</v>
      </c>
      <c r="J38" t="s">
        <v>352</v>
      </c>
      <c r="K38">
        <v>3</v>
      </c>
    </row>
    <row r="39" spans="2:11" x14ac:dyDescent="0.25">
      <c r="B39">
        <v>56</v>
      </c>
      <c r="C39" t="s">
        <v>63</v>
      </c>
      <c r="D39" t="s">
        <v>63</v>
      </c>
      <c r="E39" t="s">
        <v>64</v>
      </c>
      <c r="F39" t="s">
        <v>58</v>
      </c>
      <c r="G39" s="1">
        <v>45554.47216435185</v>
      </c>
      <c r="H39">
        <v>1</v>
      </c>
      <c r="I39" t="s">
        <v>59</v>
      </c>
      <c r="J39" t="s">
        <v>352</v>
      </c>
      <c r="K39">
        <v>3</v>
      </c>
    </row>
    <row r="40" spans="2:11" x14ac:dyDescent="0.25">
      <c r="B40">
        <v>57</v>
      </c>
      <c r="C40" t="s">
        <v>65</v>
      </c>
      <c r="D40" t="s">
        <v>65</v>
      </c>
      <c r="E40" t="s">
        <v>66</v>
      </c>
      <c r="F40" t="s">
        <v>58</v>
      </c>
      <c r="G40" s="1">
        <v>45554.47216435185</v>
      </c>
      <c r="H40">
        <v>1</v>
      </c>
      <c r="I40" t="s">
        <v>59</v>
      </c>
      <c r="J40" t="s">
        <v>352</v>
      </c>
      <c r="K40">
        <v>3</v>
      </c>
    </row>
    <row r="41" spans="2:11" x14ac:dyDescent="0.25">
      <c r="B41">
        <v>58</v>
      </c>
      <c r="C41" t="s">
        <v>67</v>
      </c>
      <c r="D41" t="s">
        <v>67</v>
      </c>
      <c r="E41" t="s">
        <v>66</v>
      </c>
      <c r="F41" t="s">
        <v>58</v>
      </c>
      <c r="G41" s="1">
        <v>45554.47216435185</v>
      </c>
      <c r="H41">
        <v>2</v>
      </c>
      <c r="I41" t="s">
        <v>59</v>
      </c>
      <c r="J41" t="s">
        <v>352</v>
      </c>
      <c r="K41">
        <v>3</v>
      </c>
    </row>
    <row r="42" spans="2:11" x14ac:dyDescent="0.25">
      <c r="B42">
        <v>59</v>
      </c>
      <c r="C42" t="s">
        <v>68</v>
      </c>
      <c r="D42" t="s">
        <v>68</v>
      </c>
      <c r="E42" t="s">
        <v>66</v>
      </c>
      <c r="F42" t="s">
        <v>58</v>
      </c>
      <c r="G42" s="1">
        <v>45554.47216435185</v>
      </c>
      <c r="H42">
        <v>3</v>
      </c>
      <c r="I42" t="s">
        <v>59</v>
      </c>
      <c r="J42" t="s">
        <v>352</v>
      </c>
      <c r="K42">
        <v>3</v>
      </c>
    </row>
    <row r="43" spans="2:11" x14ac:dyDescent="0.25">
      <c r="B43">
        <v>60</v>
      </c>
      <c r="C43" t="s">
        <v>69</v>
      </c>
      <c r="D43" t="s">
        <v>69</v>
      </c>
      <c r="E43" t="s">
        <v>66</v>
      </c>
      <c r="F43" t="s">
        <v>58</v>
      </c>
      <c r="G43" s="1">
        <v>45554.47216435185</v>
      </c>
      <c r="H43">
        <v>4</v>
      </c>
      <c r="I43" t="s">
        <v>59</v>
      </c>
      <c r="J43" t="s">
        <v>352</v>
      </c>
      <c r="K43">
        <v>3</v>
      </c>
    </row>
    <row r="44" spans="2:11" x14ac:dyDescent="0.25">
      <c r="B44">
        <v>61</v>
      </c>
      <c r="C44" t="s">
        <v>70</v>
      </c>
      <c r="D44" t="s">
        <v>70</v>
      </c>
      <c r="E44" t="s">
        <v>66</v>
      </c>
      <c r="F44" t="s">
        <v>58</v>
      </c>
      <c r="G44" s="1">
        <v>45554.47216435185</v>
      </c>
      <c r="H44">
        <v>5</v>
      </c>
      <c r="I44" t="s">
        <v>59</v>
      </c>
      <c r="J44" t="s">
        <v>352</v>
      </c>
      <c r="K44">
        <v>3</v>
      </c>
    </row>
    <row r="45" spans="2:11" x14ac:dyDescent="0.25">
      <c r="B45">
        <v>62</v>
      </c>
      <c r="C45" t="s">
        <v>71</v>
      </c>
      <c r="D45" t="s">
        <v>71</v>
      </c>
      <c r="E45" t="s">
        <v>66</v>
      </c>
      <c r="F45" t="s">
        <v>58</v>
      </c>
      <c r="G45" s="1">
        <v>45554.47216435185</v>
      </c>
      <c r="H45">
        <v>6</v>
      </c>
      <c r="I45" t="s">
        <v>59</v>
      </c>
      <c r="J45" t="s">
        <v>352</v>
      </c>
      <c r="K45">
        <v>3</v>
      </c>
    </row>
    <row r="46" spans="2:11" x14ac:dyDescent="0.25">
      <c r="B46">
        <v>63</v>
      </c>
      <c r="C46" t="s">
        <v>72</v>
      </c>
      <c r="D46" t="s">
        <v>72</v>
      </c>
      <c r="E46" t="s">
        <v>66</v>
      </c>
      <c r="F46" t="s">
        <v>58</v>
      </c>
      <c r="G46" s="1">
        <v>45554.47216435185</v>
      </c>
      <c r="H46">
        <v>7</v>
      </c>
      <c r="I46" t="s">
        <v>59</v>
      </c>
      <c r="J46" t="s">
        <v>352</v>
      </c>
      <c r="K46">
        <v>3</v>
      </c>
    </row>
    <row r="47" spans="2:11" x14ac:dyDescent="0.25">
      <c r="B47">
        <v>64</v>
      </c>
      <c r="C47" t="s">
        <v>73</v>
      </c>
      <c r="D47" t="s">
        <v>73</v>
      </c>
      <c r="E47" t="s">
        <v>66</v>
      </c>
      <c r="F47" t="s">
        <v>58</v>
      </c>
      <c r="G47" s="1">
        <v>45554.47216435185</v>
      </c>
      <c r="H47">
        <v>8</v>
      </c>
      <c r="I47" t="s">
        <v>59</v>
      </c>
      <c r="J47" t="s">
        <v>352</v>
      </c>
      <c r="K47">
        <v>3</v>
      </c>
    </row>
    <row r="48" spans="2:11" x14ac:dyDescent="0.25">
      <c r="B48">
        <v>65</v>
      </c>
      <c r="C48" t="s">
        <v>74</v>
      </c>
      <c r="D48" t="s">
        <v>74</v>
      </c>
      <c r="E48" t="s">
        <v>66</v>
      </c>
      <c r="F48" t="s">
        <v>58</v>
      </c>
      <c r="G48" s="1">
        <v>45554.47216435185</v>
      </c>
      <c r="H48">
        <v>9</v>
      </c>
      <c r="I48" t="s">
        <v>59</v>
      </c>
      <c r="J48" t="s">
        <v>352</v>
      </c>
      <c r="K48">
        <v>3</v>
      </c>
    </row>
    <row r="49" spans="2:11" x14ac:dyDescent="0.25">
      <c r="B49">
        <v>66</v>
      </c>
      <c r="C49" t="s">
        <v>75</v>
      </c>
      <c r="D49" t="s">
        <v>75</v>
      </c>
      <c r="E49" t="s">
        <v>76</v>
      </c>
      <c r="F49" t="s">
        <v>58</v>
      </c>
      <c r="G49" s="1">
        <v>45554.47216435185</v>
      </c>
      <c r="H49">
        <v>1</v>
      </c>
      <c r="I49" t="s">
        <v>59</v>
      </c>
      <c r="J49" t="s">
        <v>352</v>
      </c>
      <c r="K49">
        <v>3</v>
      </c>
    </row>
    <row r="50" spans="2:11" x14ac:dyDescent="0.25">
      <c r="B50">
        <v>67</v>
      </c>
      <c r="C50" t="s">
        <v>77</v>
      </c>
      <c r="D50" t="s">
        <v>77</v>
      </c>
      <c r="E50" t="s">
        <v>76</v>
      </c>
      <c r="F50" t="s">
        <v>58</v>
      </c>
      <c r="G50" s="1">
        <v>45554.47216435185</v>
      </c>
      <c r="H50">
        <v>2</v>
      </c>
      <c r="I50" t="s">
        <v>59</v>
      </c>
      <c r="J50" t="s">
        <v>352</v>
      </c>
      <c r="K50">
        <v>3</v>
      </c>
    </row>
    <row r="51" spans="2:11" x14ac:dyDescent="0.25">
      <c r="B51">
        <v>68</v>
      </c>
      <c r="C51" t="s">
        <v>78</v>
      </c>
      <c r="D51" t="s">
        <v>78</v>
      </c>
      <c r="E51" t="s">
        <v>76</v>
      </c>
      <c r="F51" t="s">
        <v>58</v>
      </c>
      <c r="G51" s="1">
        <v>45554.47216435185</v>
      </c>
      <c r="H51">
        <v>3</v>
      </c>
      <c r="I51" t="s">
        <v>59</v>
      </c>
      <c r="J51" t="s">
        <v>352</v>
      </c>
      <c r="K51">
        <v>3</v>
      </c>
    </row>
    <row r="52" spans="2:11" x14ac:dyDescent="0.25">
      <c r="B52">
        <v>69</v>
      </c>
      <c r="C52" t="s">
        <v>79</v>
      </c>
      <c r="D52" t="s">
        <v>79</v>
      </c>
      <c r="E52" t="s">
        <v>76</v>
      </c>
      <c r="F52" t="s">
        <v>58</v>
      </c>
      <c r="G52" s="1">
        <v>45554.47216435185</v>
      </c>
      <c r="H52">
        <v>4</v>
      </c>
      <c r="I52" t="s">
        <v>59</v>
      </c>
      <c r="J52" t="s">
        <v>352</v>
      </c>
      <c r="K52">
        <v>3</v>
      </c>
    </row>
    <row r="53" spans="2:11" x14ac:dyDescent="0.25">
      <c r="B53">
        <v>70</v>
      </c>
      <c r="C53" t="s">
        <v>80</v>
      </c>
      <c r="D53" t="s">
        <v>80</v>
      </c>
      <c r="E53" t="s">
        <v>81</v>
      </c>
      <c r="F53" t="s">
        <v>58</v>
      </c>
      <c r="G53" s="1">
        <v>45554.47216435185</v>
      </c>
      <c r="H53">
        <v>1</v>
      </c>
      <c r="I53" t="s">
        <v>59</v>
      </c>
      <c r="J53" t="s">
        <v>352</v>
      </c>
      <c r="K53">
        <v>3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37"/>
  <sheetViews>
    <sheetView workbookViewId="0">
      <selection activeCell="C12" sqref="C12"/>
    </sheetView>
  </sheetViews>
  <sheetFormatPr defaultRowHeight="15" x14ac:dyDescent="0.25"/>
  <cols>
    <col min="1" max="1" width="5" bestFit="1" customWidth="1"/>
    <col min="2" max="2" width="17.140625" bestFit="1" customWidth="1"/>
    <col min="3" max="3" width="13.28515625" bestFit="1" customWidth="1"/>
    <col min="4" max="4" width="12.140625" bestFit="1" customWidth="1"/>
    <col min="5" max="5" width="11.7109375" bestFit="1" customWidth="1"/>
    <col min="6" max="6" width="5" customWidth="1"/>
    <col min="7" max="7" width="19" customWidth="1"/>
    <col min="8" max="8" width="10" customWidth="1"/>
    <col min="9" max="9" width="15.42578125" customWidth="1"/>
  </cols>
  <sheetData>
    <row r="1" spans="1:9" x14ac:dyDescent="0.25">
      <c r="A1" t="s">
        <v>22</v>
      </c>
      <c r="B1" t="s">
        <v>141</v>
      </c>
      <c r="C1" t="s">
        <v>142</v>
      </c>
    </row>
    <row r="2" spans="1:9" x14ac:dyDescent="0.25">
      <c r="A2">
        <v>1</v>
      </c>
      <c r="B2" t="s">
        <v>43</v>
      </c>
      <c r="C2" t="s">
        <v>143</v>
      </c>
    </row>
    <row r="3" spans="1:9" x14ac:dyDescent="0.25">
      <c r="A3">
        <v>2</v>
      </c>
      <c r="B3" t="s">
        <v>144</v>
      </c>
      <c r="C3" t="s">
        <v>143</v>
      </c>
    </row>
    <row r="4" spans="1:9" x14ac:dyDescent="0.25">
      <c r="A4">
        <v>17</v>
      </c>
      <c r="B4" t="s">
        <v>45</v>
      </c>
      <c r="C4" t="s">
        <v>145</v>
      </c>
      <c r="F4" t="s">
        <v>22</v>
      </c>
      <c r="G4" t="s">
        <v>126</v>
      </c>
      <c r="H4" t="s">
        <v>55</v>
      </c>
      <c r="I4" t="s">
        <v>30</v>
      </c>
    </row>
    <row r="5" spans="1:9" x14ac:dyDescent="0.25">
      <c r="A5">
        <v>18</v>
      </c>
      <c r="B5" t="s">
        <v>49</v>
      </c>
      <c r="C5" t="s">
        <v>145</v>
      </c>
      <c r="F5">
        <v>6</v>
      </c>
      <c r="G5" t="s">
        <v>127</v>
      </c>
      <c r="H5" t="s">
        <v>128</v>
      </c>
      <c r="I5" s="1">
        <v>45563.667997685188</v>
      </c>
    </row>
    <row r="6" spans="1:9" x14ac:dyDescent="0.25">
      <c r="A6">
        <v>19</v>
      </c>
      <c r="B6" t="s">
        <v>146</v>
      </c>
      <c r="C6" t="s">
        <v>145</v>
      </c>
      <c r="F6">
        <v>19</v>
      </c>
      <c r="G6" t="s">
        <v>130</v>
      </c>
      <c r="H6" t="s">
        <v>48</v>
      </c>
      <c r="I6" s="1">
        <v>45569.305289351854</v>
      </c>
    </row>
    <row r="7" spans="1:9" x14ac:dyDescent="0.25">
      <c r="A7">
        <v>20</v>
      </c>
      <c r="B7" t="s">
        <v>147</v>
      </c>
      <c r="C7" t="s">
        <v>145</v>
      </c>
      <c r="F7">
        <v>20</v>
      </c>
      <c r="G7" t="s">
        <v>131</v>
      </c>
      <c r="H7" t="s">
        <v>132</v>
      </c>
      <c r="I7" s="1">
        <v>45569.305532407408</v>
      </c>
    </row>
    <row r="8" spans="1:9" x14ac:dyDescent="0.25">
      <c r="A8">
        <v>21</v>
      </c>
      <c r="B8" t="s">
        <v>148</v>
      </c>
      <c r="C8" t="s">
        <v>145</v>
      </c>
      <c r="F8">
        <v>21</v>
      </c>
      <c r="G8" t="s">
        <v>133</v>
      </c>
      <c r="H8" t="s">
        <v>132</v>
      </c>
      <c r="I8" s="1">
        <v>45569.305960648147</v>
      </c>
    </row>
    <row r="9" spans="1:9" x14ac:dyDescent="0.25">
      <c r="A9">
        <v>22</v>
      </c>
      <c r="B9" t="s">
        <v>149</v>
      </c>
      <c r="C9" t="s">
        <v>145</v>
      </c>
      <c r="F9">
        <v>24</v>
      </c>
      <c r="G9" t="s">
        <v>134</v>
      </c>
      <c r="H9" t="s">
        <v>48</v>
      </c>
      <c r="I9" s="1">
        <v>45569.306851851848</v>
      </c>
    </row>
    <row r="10" spans="1:9" x14ac:dyDescent="0.25">
      <c r="A10">
        <v>23</v>
      </c>
      <c r="B10" t="s">
        <v>150</v>
      </c>
      <c r="C10" t="s">
        <v>145</v>
      </c>
      <c r="F10">
        <v>1</v>
      </c>
      <c r="G10" t="s">
        <v>135</v>
      </c>
      <c r="H10" t="s">
        <v>48</v>
      </c>
      <c r="I10" s="1">
        <v>45563.663124999999</v>
      </c>
    </row>
    <row r="11" spans="1:9" x14ac:dyDescent="0.25">
      <c r="A11">
        <v>24</v>
      </c>
      <c r="B11" t="s">
        <v>151</v>
      </c>
      <c r="C11" t="s">
        <v>145</v>
      </c>
      <c r="F11">
        <v>2</v>
      </c>
      <c r="G11" t="s">
        <v>136</v>
      </c>
      <c r="H11" t="s">
        <v>48</v>
      </c>
      <c r="I11" s="1">
        <v>45563.665358796294</v>
      </c>
    </row>
    <row r="12" spans="1:9" x14ac:dyDescent="0.25">
      <c r="A12">
        <v>25</v>
      </c>
      <c r="B12" t="s">
        <v>152</v>
      </c>
      <c r="C12" t="s">
        <v>145</v>
      </c>
      <c r="F12">
        <v>3</v>
      </c>
      <c r="G12" t="s">
        <v>137</v>
      </c>
      <c r="H12" t="s">
        <v>48</v>
      </c>
      <c r="I12" s="1">
        <v>45563.665706018517</v>
      </c>
    </row>
    <row r="13" spans="1:9" x14ac:dyDescent="0.25">
      <c r="A13">
        <v>26</v>
      </c>
      <c r="B13" t="s">
        <v>153</v>
      </c>
      <c r="C13" t="s">
        <v>145</v>
      </c>
      <c r="F13">
        <v>13</v>
      </c>
      <c r="G13" t="s">
        <v>138</v>
      </c>
      <c r="H13" t="s">
        <v>48</v>
      </c>
      <c r="I13" s="1">
        <v>45563.685682870368</v>
      </c>
    </row>
    <row r="14" spans="1:9" x14ac:dyDescent="0.25">
      <c r="A14">
        <v>36</v>
      </c>
      <c r="B14" t="s">
        <v>154</v>
      </c>
      <c r="C14" t="s">
        <v>145</v>
      </c>
      <c r="F14">
        <v>7</v>
      </c>
      <c r="G14" t="s">
        <v>139</v>
      </c>
      <c r="H14" t="s">
        <v>48</v>
      </c>
      <c r="I14" s="1">
        <v>45563.668668981481</v>
      </c>
    </row>
    <row r="15" spans="1:9" x14ac:dyDescent="0.25">
      <c r="A15">
        <v>37</v>
      </c>
      <c r="B15" t="s">
        <v>155</v>
      </c>
      <c r="C15" t="s">
        <v>145</v>
      </c>
      <c r="F15">
        <v>18</v>
      </c>
      <c r="G15" t="s">
        <v>140</v>
      </c>
      <c r="H15" t="s">
        <v>48</v>
      </c>
      <c r="I15" s="1">
        <v>45568.691365740742</v>
      </c>
    </row>
    <row r="16" spans="1:9" x14ac:dyDescent="0.25">
      <c r="A16">
        <v>29</v>
      </c>
      <c r="B16" t="s">
        <v>156</v>
      </c>
      <c r="C16" t="s">
        <v>145</v>
      </c>
      <c r="F16">
        <v>26</v>
      </c>
      <c r="G16" t="s">
        <v>356</v>
      </c>
      <c r="I16" s="1">
        <v>45576.723993055559</v>
      </c>
    </row>
    <row r="17" spans="1:9" x14ac:dyDescent="0.25">
      <c r="A17">
        <v>30</v>
      </c>
      <c r="B17" t="s">
        <v>157</v>
      </c>
      <c r="C17" t="s">
        <v>145</v>
      </c>
      <c r="F17">
        <v>27</v>
      </c>
      <c r="G17" t="s">
        <v>357</v>
      </c>
      <c r="I17" s="1">
        <v>45578.7344212963</v>
      </c>
    </row>
    <row r="18" spans="1:9" x14ac:dyDescent="0.25">
      <c r="A18">
        <v>31</v>
      </c>
      <c r="B18" t="s">
        <v>158</v>
      </c>
      <c r="C18" t="s">
        <v>145</v>
      </c>
      <c r="F18">
        <v>28</v>
      </c>
      <c r="G18" t="s">
        <v>358</v>
      </c>
      <c r="I18" s="1">
        <v>45578.7344212963</v>
      </c>
    </row>
    <row r="19" spans="1:9" x14ac:dyDescent="0.25">
      <c r="A19">
        <v>32</v>
      </c>
      <c r="B19" t="s">
        <v>159</v>
      </c>
      <c r="C19" t="s">
        <v>145</v>
      </c>
    </row>
    <row r="20" spans="1:9" x14ac:dyDescent="0.25">
      <c r="A20">
        <v>33</v>
      </c>
      <c r="B20" t="s">
        <v>160</v>
      </c>
      <c r="C20" t="s">
        <v>145</v>
      </c>
    </row>
    <row r="21" spans="1:9" x14ac:dyDescent="0.25">
      <c r="A21">
        <v>34</v>
      </c>
      <c r="B21" t="s">
        <v>161</v>
      </c>
      <c r="C21" t="s">
        <v>145</v>
      </c>
    </row>
    <row r="22" spans="1:9" x14ac:dyDescent="0.25">
      <c r="A22">
        <v>53</v>
      </c>
      <c r="B22" t="s">
        <v>140</v>
      </c>
      <c r="C22" t="s">
        <v>145</v>
      </c>
    </row>
    <row r="23" spans="1:9" x14ac:dyDescent="0.25">
      <c r="A23">
        <v>3</v>
      </c>
      <c r="B23" t="s">
        <v>162</v>
      </c>
      <c r="C23" t="s">
        <v>145</v>
      </c>
    </row>
    <row r="24" spans="1:9" x14ac:dyDescent="0.25">
      <c r="A24">
        <v>4</v>
      </c>
      <c r="B24" t="s">
        <v>163</v>
      </c>
      <c r="C24" t="s">
        <v>145</v>
      </c>
    </row>
    <row r="25" spans="1:9" x14ac:dyDescent="0.25">
      <c r="A25">
        <v>5</v>
      </c>
      <c r="B25" t="s">
        <v>164</v>
      </c>
      <c r="C25" t="s">
        <v>145</v>
      </c>
    </row>
    <row r="26" spans="1:9" x14ac:dyDescent="0.25">
      <c r="A26">
        <v>6</v>
      </c>
      <c r="B26" t="s">
        <v>165</v>
      </c>
      <c r="C26" t="s">
        <v>145</v>
      </c>
    </row>
    <row r="27" spans="1:9" x14ac:dyDescent="0.25">
      <c r="A27">
        <v>8</v>
      </c>
      <c r="B27" t="s">
        <v>166</v>
      </c>
      <c r="C27" t="s">
        <v>145</v>
      </c>
    </row>
    <row r="28" spans="1:9" x14ac:dyDescent="0.25">
      <c r="A28">
        <v>9</v>
      </c>
      <c r="B28" t="s">
        <v>167</v>
      </c>
      <c r="C28" t="s">
        <v>145</v>
      </c>
    </row>
    <row r="29" spans="1:9" x14ac:dyDescent="0.25">
      <c r="A29">
        <v>10</v>
      </c>
      <c r="B29" t="s">
        <v>168</v>
      </c>
      <c r="C29" t="s">
        <v>145</v>
      </c>
    </row>
    <row r="30" spans="1:9" x14ac:dyDescent="0.25">
      <c r="A30">
        <v>28</v>
      </c>
      <c r="B30" t="s">
        <v>169</v>
      </c>
      <c r="C30" t="s">
        <v>145</v>
      </c>
    </row>
    <row r="31" spans="1:9" x14ac:dyDescent="0.25">
      <c r="A31">
        <v>54</v>
      </c>
      <c r="B31" t="s">
        <v>40</v>
      </c>
      <c r="C31" t="s">
        <v>145</v>
      </c>
    </row>
    <row r="32" spans="1:9" x14ac:dyDescent="0.25">
      <c r="A32">
        <v>40</v>
      </c>
      <c r="B32" t="s">
        <v>139</v>
      </c>
      <c r="C32" t="s">
        <v>145</v>
      </c>
    </row>
    <row r="33" spans="1:3" x14ac:dyDescent="0.25">
      <c r="A33">
        <v>47</v>
      </c>
      <c r="B33" t="s">
        <v>170</v>
      </c>
      <c r="C33" t="s">
        <v>145</v>
      </c>
    </row>
    <row r="34" spans="1:3" x14ac:dyDescent="0.25">
      <c r="A34">
        <v>49</v>
      </c>
      <c r="B34" t="s">
        <v>171</v>
      </c>
      <c r="C34" t="s">
        <v>145</v>
      </c>
    </row>
    <row r="35" spans="1:3" x14ac:dyDescent="0.25">
      <c r="A35">
        <v>51</v>
      </c>
      <c r="B35" t="s">
        <v>172</v>
      </c>
      <c r="C35" t="s">
        <v>145</v>
      </c>
    </row>
    <row r="36" spans="1:3" x14ac:dyDescent="0.25">
      <c r="A36">
        <v>52</v>
      </c>
      <c r="B36" t="s">
        <v>134</v>
      </c>
      <c r="C36" t="s">
        <v>145</v>
      </c>
    </row>
    <row r="37" spans="1:3" x14ac:dyDescent="0.25">
      <c r="A37">
        <v>84</v>
      </c>
      <c r="B37" t="s">
        <v>355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12"/>
  <sheetViews>
    <sheetView workbookViewId="0"/>
  </sheetViews>
  <sheetFormatPr defaultRowHeight="15" x14ac:dyDescent="0.25"/>
  <cols>
    <col min="1" max="1" width="16.7109375" bestFit="1" customWidth="1"/>
    <col min="2" max="2" width="5.7109375" bestFit="1" customWidth="1"/>
    <col min="3" max="3" width="8.7109375" bestFit="1" customWidth="1"/>
  </cols>
  <sheetData>
    <row r="1" spans="1:3" x14ac:dyDescent="0.25">
      <c r="A1" s="45" t="s">
        <v>292</v>
      </c>
    </row>
    <row r="2" spans="1:3" x14ac:dyDescent="0.25">
      <c r="A2" s="46" t="s">
        <v>293</v>
      </c>
      <c r="B2" s="46" t="s">
        <v>294</v>
      </c>
      <c r="C2" s="46" t="s">
        <v>295</v>
      </c>
    </row>
    <row r="4" spans="1:3" x14ac:dyDescent="0.25">
      <c r="A4" s="45" t="s">
        <v>296</v>
      </c>
    </row>
    <row r="5" spans="1:3" x14ac:dyDescent="0.25">
      <c r="A5" s="46" t="s">
        <v>293</v>
      </c>
      <c r="B5" s="46" t="s">
        <v>297</v>
      </c>
      <c r="C5" s="46" t="s">
        <v>295</v>
      </c>
    </row>
    <row r="8" spans="1:3" x14ac:dyDescent="0.25">
      <c r="A8" s="45" t="s">
        <v>298</v>
      </c>
      <c r="B8" t="s">
        <v>299</v>
      </c>
    </row>
    <row r="9" spans="1:3" x14ac:dyDescent="0.25">
      <c r="B9" t="s">
        <v>300</v>
      </c>
    </row>
    <row r="11" spans="1:3" x14ac:dyDescent="0.25">
      <c r="B11" t="s">
        <v>301</v>
      </c>
    </row>
    <row r="12" spans="1:3" x14ac:dyDescent="0.25">
      <c r="B12" t="s">
        <v>302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BK18"/>
  <sheetViews>
    <sheetView topLeftCell="U1" workbookViewId="0">
      <selection activeCell="AQ15" sqref="AQ15"/>
    </sheetView>
  </sheetViews>
  <sheetFormatPr defaultRowHeight="15" x14ac:dyDescent="0.25"/>
  <cols>
    <col min="2" max="2" width="6.140625" customWidth="1"/>
    <col min="3" max="3" width="10.5703125" customWidth="1"/>
    <col min="4" max="4" width="9.42578125" customWidth="1"/>
    <col min="5" max="5" width="17.42578125" customWidth="1"/>
    <col min="6" max="6" width="13.28515625" hidden="1" customWidth="1"/>
    <col min="7" max="7" width="12.85546875" customWidth="1"/>
    <col min="8" max="8" width="5.42578125" customWidth="1"/>
    <col min="9" max="9" width="16" hidden="1" customWidth="1"/>
    <col min="10" max="10" width="23.28515625" customWidth="1"/>
    <col min="11" max="11" width="19.85546875" hidden="1" customWidth="1"/>
    <col min="12" max="12" width="8.85546875" hidden="1" customWidth="1"/>
    <col min="13" max="13" width="13.42578125" hidden="1" customWidth="1"/>
    <col min="14" max="14" width="12.28515625" customWidth="1"/>
    <col min="15" max="15" width="14" customWidth="1"/>
    <col min="16" max="16" width="11.140625" customWidth="1"/>
    <col min="17" max="17" width="12.7109375" customWidth="1"/>
    <col min="18" max="18" width="12.42578125" customWidth="1"/>
    <col min="19" max="19" width="10.5703125" customWidth="1"/>
    <col min="20" max="20" width="13.140625" customWidth="1"/>
    <col min="21" max="21" width="9.5703125" customWidth="1"/>
    <col min="22" max="22" width="9.42578125" customWidth="1"/>
    <col min="23" max="23" width="7.7109375" customWidth="1"/>
    <col min="24" max="24" width="6.85546875" hidden="1" customWidth="1"/>
    <col min="25" max="25" width="11.7109375" hidden="1" customWidth="1"/>
    <col min="26" max="26" width="14.140625" hidden="1" customWidth="1"/>
    <col min="27" max="27" width="6.7109375" hidden="1" customWidth="1"/>
    <col min="28" max="28" width="20" hidden="1" customWidth="1"/>
    <col min="29" max="29" width="7.42578125" hidden="1" customWidth="1"/>
    <col min="30" max="30" width="11" hidden="1" customWidth="1"/>
    <col min="31" max="31" width="13" hidden="1" customWidth="1"/>
    <col min="32" max="32" width="14.28515625" hidden="1" customWidth="1"/>
    <col min="33" max="33" width="9" hidden="1" customWidth="1"/>
    <col min="34" max="34" width="14.140625" hidden="1" customWidth="1"/>
    <col min="35" max="35" width="13.5703125" hidden="1" customWidth="1"/>
    <col min="36" max="36" width="16.85546875" hidden="1" customWidth="1"/>
    <col min="37" max="37" width="16.7109375" hidden="1" customWidth="1"/>
    <col min="38" max="38" width="21.42578125" hidden="1" customWidth="1"/>
    <col min="39" max="39" width="10.7109375" hidden="1" customWidth="1"/>
    <col min="40" max="40" width="17" hidden="1" customWidth="1"/>
    <col min="41" max="41" width="12.7109375" customWidth="1"/>
    <col min="42" max="42" width="12.140625" customWidth="1"/>
    <col min="43" max="44" width="17.140625" customWidth="1"/>
    <col min="45" max="45" width="12.5703125" customWidth="1"/>
    <col min="46" max="46" width="8" style="47" customWidth="1"/>
    <col min="47" max="47" width="11.28515625" style="47" customWidth="1"/>
    <col min="48" max="48" width="15.7109375" style="47" customWidth="1"/>
    <col min="49" max="49" width="14.42578125" style="47" customWidth="1"/>
    <col min="50" max="50" width="22.7109375" style="47" customWidth="1"/>
    <col min="51" max="51" width="11.7109375" style="47" customWidth="1"/>
    <col min="52" max="52" width="13.85546875" customWidth="1"/>
    <col min="53" max="53" width="12.5703125" customWidth="1"/>
    <col min="56" max="56" width="5" customWidth="1"/>
    <col min="57" max="57" width="13" customWidth="1"/>
    <col min="58" max="58" width="9" customWidth="1"/>
    <col min="59" max="59" width="10.140625" customWidth="1"/>
    <col min="60" max="60" width="12.7109375" customWidth="1"/>
    <col min="61" max="61" width="11.85546875" customWidth="1"/>
    <col min="62" max="62" width="9" customWidth="1"/>
    <col min="63" max="63" width="14.140625" customWidth="1"/>
    <col min="64" max="64" width="9" customWidth="1"/>
    <col min="65" max="65" width="14.140625" customWidth="1"/>
  </cols>
  <sheetData>
    <row r="2" spans="2:63" x14ac:dyDescent="0.25">
      <c r="B2" s="123" t="s">
        <v>371</v>
      </c>
      <c r="C2" s="123"/>
      <c r="D2" s="123"/>
      <c r="BF2" t="s">
        <v>370</v>
      </c>
    </row>
    <row r="3" spans="2:63" x14ac:dyDescent="0.25">
      <c r="B3" t="s">
        <v>0</v>
      </c>
      <c r="C3" t="s">
        <v>1</v>
      </c>
      <c r="D3" t="s">
        <v>2</v>
      </c>
      <c r="E3" t="s">
        <v>3</v>
      </c>
      <c r="F3" t="s">
        <v>4</v>
      </c>
      <c r="G3" t="s">
        <v>5</v>
      </c>
      <c r="H3" t="s">
        <v>6</v>
      </c>
      <c r="I3" t="s">
        <v>7</v>
      </c>
      <c r="J3" t="s">
        <v>8</v>
      </c>
      <c r="K3" t="s">
        <v>9</v>
      </c>
      <c r="L3" t="s">
        <v>10</v>
      </c>
      <c r="M3" t="s">
        <v>11</v>
      </c>
      <c r="N3" t="s">
        <v>12</v>
      </c>
      <c r="O3" t="s">
        <v>13</v>
      </c>
      <c r="P3" t="s">
        <v>14</v>
      </c>
      <c r="Q3" t="s">
        <v>15</v>
      </c>
      <c r="R3" t="s">
        <v>16</v>
      </c>
      <c r="S3" t="s">
        <v>17</v>
      </c>
      <c r="T3" t="s">
        <v>18</v>
      </c>
      <c r="U3" t="s">
        <v>19</v>
      </c>
      <c r="V3" t="s">
        <v>20</v>
      </c>
      <c r="W3" t="s">
        <v>21</v>
      </c>
      <c r="X3" t="s">
        <v>22</v>
      </c>
      <c r="Y3" t="s">
        <v>23</v>
      </c>
      <c r="Z3" t="s">
        <v>24</v>
      </c>
      <c r="AA3" t="s">
        <v>25</v>
      </c>
      <c r="AB3" t="s">
        <v>26</v>
      </c>
      <c r="AC3" t="s">
        <v>27</v>
      </c>
      <c r="AD3" t="s">
        <v>28</v>
      </c>
      <c r="AE3" t="s">
        <v>29</v>
      </c>
      <c r="AF3" t="s">
        <v>30</v>
      </c>
      <c r="AG3" t="s">
        <v>31</v>
      </c>
      <c r="AH3" t="s">
        <v>32</v>
      </c>
      <c r="AI3" t="s">
        <v>33</v>
      </c>
      <c r="AJ3" t="s">
        <v>34</v>
      </c>
      <c r="AK3" t="s">
        <v>35</v>
      </c>
      <c r="AL3" t="s">
        <v>36</v>
      </c>
      <c r="AM3" t="s">
        <v>37</v>
      </c>
      <c r="AN3" t="s">
        <v>38</v>
      </c>
      <c r="AO3" t="s">
        <v>39</v>
      </c>
      <c r="AP3" t="s">
        <v>304</v>
      </c>
      <c r="AQ3" t="s">
        <v>305</v>
      </c>
      <c r="AR3" t="s">
        <v>306</v>
      </c>
      <c r="AS3" t="s">
        <v>307</v>
      </c>
      <c r="AT3" s="47" t="s">
        <v>376</v>
      </c>
      <c r="AU3" s="47" t="s">
        <v>392</v>
      </c>
      <c r="AV3" s="47" t="s">
        <v>396</v>
      </c>
      <c r="AW3" s="47" t="s">
        <v>397</v>
      </c>
      <c r="AX3" s="43" t="s">
        <v>405</v>
      </c>
      <c r="AY3" s="43" t="s">
        <v>408</v>
      </c>
      <c r="BD3" t="s">
        <v>22</v>
      </c>
      <c r="BE3" t="s">
        <v>29</v>
      </c>
      <c r="BF3" t="s">
        <v>365</v>
      </c>
      <c r="BG3" t="s">
        <v>366</v>
      </c>
      <c r="BH3" t="s">
        <v>367</v>
      </c>
      <c r="BI3" t="s">
        <v>368</v>
      </c>
      <c r="BJ3" t="s">
        <v>53</v>
      </c>
      <c r="BK3" t="s">
        <v>369</v>
      </c>
    </row>
    <row r="4" spans="2:63" x14ac:dyDescent="0.25">
      <c r="C4" t="s">
        <v>309</v>
      </c>
      <c r="E4" t="s">
        <v>88</v>
      </c>
      <c r="G4" t="s">
        <v>129</v>
      </c>
      <c r="H4" t="s">
        <v>409</v>
      </c>
      <c r="I4" t="s">
        <v>48</v>
      </c>
      <c r="J4" t="s">
        <v>375</v>
      </c>
      <c r="K4" t="s">
        <v>48</v>
      </c>
      <c r="L4" t="s">
        <v>48</v>
      </c>
      <c r="N4">
        <v>2000</v>
      </c>
      <c r="O4" t="s">
        <v>42</v>
      </c>
      <c r="P4">
        <v>0</v>
      </c>
      <c r="Q4">
        <v>0</v>
      </c>
      <c r="R4">
        <v>0</v>
      </c>
      <c r="S4">
        <v>142857</v>
      </c>
      <c r="T4">
        <v>285714000</v>
      </c>
      <c r="U4">
        <v>0</v>
      </c>
      <c r="V4">
        <v>2</v>
      </c>
      <c r="W4" t="s">
        <v>162</v>
      </c>
      <c r="X4">
        <v>1057</v>
      </c>
      <c r="Y4">
        <v>36</v>
      </c>
      <c r="Z4">
        <v>0</v>
      </c>
      <c r="AB4">
        <v>3</v>
      </c>
      <c r="AD4" t="s">
        <v>308</v>
      </c>
      <c r="AE4">
        <v>20</v>
      </c>
      <c r="AF4" s="1">
        <v>45605.580659722225</v>
      </c>
      <c r="AG4">
        <v>0</v>
      </c>
      <c r="AH4">
        <v>17</v>
      </c>
      <c r="AI4">
        <v>0</v>
      </c>
      <c r="AJ4">
        <v>0</v>
      </c>
      <c r="AK4">
        <v>24</v>
      </c>
      <c r="AL4">
        <v>0</v>
      </c>
      <c r="AM4">
        <v>3</v>
      </c>
      <c r="AN4">
        <v>0</v>
      </c>
      <c r="AO4">
        <v>0</v>
      </c>
      <c r="AP4">
        <v>370</v>
      </c>
      <c r="AQ4">
        <v>3</v>
      </c>
      <c r="AR4">
        <v>0</v>
      </c>
      <c r="AS4" t="s">
        <v>291</v>
      </c>
      <c r="AT4" s="47" t="s">
        <v>401</v>
      </c>
      <c r="AU4" s="94" t="s">
        <v>398</v>
      </c>
      <c r="AV4" s="43">
        <v>2000</v>
      </c>
      <c r="AW4" s="94" t="s">
        <v>402</v>
      </c>
      <c r="AX4" s="43">
        <v>257</v>
      </c>
      <c r="AY4" s="43">
        <v>2000</v>
      </c>
      <c r="BD4">
        <v>370</v>
      </c>
      <c r="BE4">
        <v>20</v>
      </c>
      <c r="BF4">
        <v>2938</v>
      </c>
      <c r="BG4">
        <v>0</v>
      </c>
      <c r="BH4" s="85">
        <v>45603</v>
      </c>
      <c r="BI4" s="85">
        <v>45605</v>
      </c>
      <c r="BJ4" t="s">
        <v>58</v>
      </c>
      <c r="BK4">
        <v>0</v>
      </c>
    </row>
    <row r="5" spans="2:63" x14ac:dyDescent="0.25">
      <c r="C5" t="s">
        <v>310</v>
      </c>
      <c r="E5" t="s">
        <v>93</v>
      </c>
      <c r="G5" t="s">
        <v>129</v>
      </c>
      <c r="H5" t="s">
        <v>412</v>
      </c>
      <c r="I5" t="s">
        <v>48</v>
      </c>
      <c r="J5" t="s">
        <v>311</v>
      </c>
      <c r="K5" t="s">
        <v>48</v>
      </c>
      <c r="L5" t="s">
        <v>48</v>
      </c>
      <c r="N5">
        <v>1321</v>
      </c>
      <c r="O5" t="s">
        <v>413</v>
      </c>
      <c r="P5">
        <v>0</v>
      </c>
      <c r="Q5">
        <v>0</v>
      </c>
      <c r="R5">
        <v>0</v>
      </c>
      <c r="S5">
        <v>142857</v>
      </c>
      <c r="T5">
        <v>188714097</v>
      </c>
      <c r="U5">
        <v>0</v>
      </c>
      <c r="V5">
        <v>2</v>
      </c>
      <c r="W5" t="s">
        <v>162</v>
      </c>
      <c r="X5">
        <v>1060</v>
      </c>
      <c r="Y5">
        <v>38</v>
      </c>
      <c r="Z5">
        <v>0</v>
      </c>
      <c r="AB5">
        <v>3</v>
      </c>
      <c r="AD5" t="s">
        <v>380</v>
      </c>
      <c r="AE5">
        <v>20</v>
      </c>
      <c r="AF5" s="1">
        <v>45605.582997685182</v>
      </c>
      <c r="AG5">
        <v>0</v>
      </c>
      <c r="AH5">
        <v>1</v>
      </c>
      <c r="AI5">
        <v>0</v>
      </c>
      <c r="AJ5">
        <v>0</v>
      </c>
      <c r="AK5">
        <v>24</v>
      </c>
      <c r="AL5">
        <v>0</v>
      </c>
      <c r="AM5">
        <v>21</v>
      </c>
      <c r="AN5">
        <v>0</v>
      </c>
      <c r="AO5">
        <v>0</v>
      </c>
      <c r="AP5">
        <v>373</v>
      </c>
      <c r="AQ5">
        <v>3</v>
      </c>
      <c r="AR5">
        <v>0</v>
      </c>
      <c r="AS5" t="s">
        <v>291</v>
      </c>
      <c r="AT5" s="47" t="s">
        <v>414</v>
      </c>
      <c r="AU5" s="94" t="s">
        <v>398</v>
      </c>
      <c r="AV5" s="43">
        <v>1321</v>
      </c>
      <c r="AW5" s="94" t="s">
        <v>415</v>
      </c>
      <c r="AX5" s="43">
        <v>251</v>
      </c>
      <c r="AY5" s="43">
        <v>1321</v>
      </c>
      <c r="BD5">
        <v>371</v>
      </c>
      <c r="BE5">
        <v>20</v>
      </c>
      <c r="BF5">
        <v>2939</v>
      </c>
      <c r="BG5">
        <v>142857000</v>
      </c>
      <c r="BH5" s="85">
        <v>45597</v>
      </c>
      <c r="BI5" s="85">
        <v>45601</v>
      </c>
      <c r="BJ5" t="s">
        <v>58</v>
      </c>
      <c r="BK5">
        <v>0</v>
      </c>
    </row>
    <row r="6" spans="2:63" x14ac:dyDescent="0.25">
      <c r="C6" t="s">
        <v>384</v>
      </c>
      <c r="E6" t="s">
        <v>41</v>
      </c>
      <c r="G6" t="s">
        <v>129</v>
      </c>
      <c r="H6" t="s">
        <v>416</v>
      </c>
      <c r="I6" t="s">
        <v>48</v>
      </c>
      <c r="J6" t="s">
        <v>311</v>
      </c>
      <c r="K6" t="s">
        <v>48</v>
      </c>
      <c r="L6" t="s">
        <v>48</v>
      </c>
      <c r="N6">
        <v>1231</v>
      </c>
      <c r="O6" t="s">
        <v>42</v>
      </c>
      <c r="P6">
        <v>0</v>
      </c>
      <c r="Q6">
        <v>0</v>
      </c>
      <c r="R6">
        <v>1232</v>
      </c>
      <c r="S6">
        <v>142857</v>
      </c>
      <c r="T6">
        <v>175999824</v>
      </c>
      <c r="U6">
        <v>0</v>
      </c>
      <c r="V6">
        <v>22</v>
      </c>
      <c r="W6" t="s">
        <v>162</v>
      </c>
      <c r="X6">
        <v>1061</v>
      </c>
      <c r="Y6">
        <v>20</v>
      </c>
      <c r="Z6">
        <v>0</v>
      </c>
      <c r="AB6">
        <v>3</v>
      </c>
      <c r="AD6" t="s">
        <v>373</v>
      </c>
      <c r="AE6">
        <v>20</v>
      </c>
      <c r="AF6" s="1">
        <v>45605.586516203701</v>
      </c>
      <c r="AG6">
        <v>0</v>
      </c>
      <c r="AH6">
        <v>1</v>
      </c>
      <c r="AI6">
        <v>0</v>
      </c>
      <c r="AJ6">
        <v>0</v>
      </c>
      <c r="AK6">
        <v>24</v>
      </c>
      <c r="AL6">
        <v>0</v>
      </c>
      <c r="AM6">
        <v>23</v>
      </c>
      <c r="AN6">
        <v>0</v>
      </c>
      <c r="AO6">
        <v>0</v>
      </c>
      <c r="AP6">
        <v>374</v>
      </c>
      <c r="AQ6">
        <v>3</v>
      </c>
      <c r="AR6">
        <v>0</v>
      </c>
      <c r="AS6" t="s">
        <v>314</v>
      </c>
      <c r="AT6" s="47" t="s">
        <v>417</v>
      </c>
      <c r="AU6" s="94" t="s">
        <v>418</v>
      </c>
      <c r="AV6" s="43">
        <v>0</v>
      </c>
      <c r="AW6" s="94" t="s">
        <v>398</v>
      </c>
      <c r="AX6" s="43">
        <v>251</v>
      </c>
      <c r="AY6" s="43">
        <v>1232</v>
      </c>
      <c r="BD6">
        <v>372</v>
      </c>
      <c r="BE6">
        <v>20</v>
      </c>
      <c r="BF6">
        <v>2993</v>
      </c>
      <c r="BG6">
        <v>285714000</v>
      </c>
      <c r="BH6" s="85">
        <v>45604</v>
      </c>
      <c r="BI6" s="85">
        <v>45607</v>
      </c>
      <c r="BJ6" t="s">
        <v>58</v>
      </c>
      <c r="BK6">
        <v>0</v>
      </c>
    </row>
    <row r="7" spans="2:63" x14ac:dyDescent="0.25">
      <c r="C7" t="s">
        <v>310</v>
      </c>
      <c r="E7" t="s">
        <v>88</v>
      </c>
      <c r="G7" t="s">
        <v>129</v>
      </c>
      <c r="H7" t="s">
        <v>419</v>
      </c>
      <c r="I7" t="s">
        <v>48</v>
      </c>
      <c r="J7" t="s">
        <v>382</v>
      </c>
      <c r="K7" t="s">
        <v>48</v>
      </c>
      <c r="L7" t="s">
        <v>48</v>
      </c>
      <c r="N7">
        <v>4234</v>
      </c>
      <c r="O7" t="s">
        <v>42</v>
      </c>
      <c r="P7">
        <v>0</v>
      </c>
      <c r="Q7">
        <v>0</v>
      </c>
      <c r="R7">
        <v>0</v>
      </c>
      <c r="S7">
        <v>142857</v>
      </c>
      <c r="T7">
        <v>334571094</v>
      </c>
      <c r="U7">
        <v>0</v>
      </c>
      <c r="V7">
        <v>22</v>
      </c>
      <c r="W7" t="s">
        <v>162</v>
      </c>
      <c r="X7">
        <v>1062</v>
      </c>
      <c r="Y7">
        <v>36</v>
      </c>
      <c r="Z7">
        <v>0</v>
      </c>
      <c r="AB7">
        <v>3</v>
      </c>
      <c r="AD7" t="s">
        <v>407</v>
      </c>
      <c r="AE7">
        <v>20</v>
      </c>
      <c r="AF7" s="1">
        <v>45605.586967592593</v>
      </c>
      <c r="AG7">
        <v>0</v>
      </c>
      <c r="AH7">
        <v>6</v>
      </c>
      <c r="AI7">
        <v>0</v>
      </c>
      <c r="AJ7">
        <v>0</v>
      </c>
      <c r="AK7">
        <v>24</v>
      </c>
      <c r="AL7">
        <v>0</v>
      </c>
      <c r="AM7">
        <v>22</v>
      </c>
      <c r="AN7">
        <v>0</v>
      </c>
      <c r="AO7">
        <v>0</v>
      </c>
      <c r="AP7">
        <v>375</v>
      </c>
      <c r="AQ7">
        <v>3</v>
      </c>
      <c r="AR7">
        <v>0</v>
      </c>
      <c r="AS7" t="s">
        <v>291</v>
      </c>
      <c r="AT7" s="47" t="s">
        <v>420</v>
      </c>
      <c r="AU7" s="94" t="s">
        <v>398</v>
      </c>
      <c r="AV7" s="43">
        <v>2342</v>
      </c>
      <c r="AW7" s="94" t="s">
        <v>421</v>
      </c>
      <c r="AX7" s="43">
        <v>256</v>
      </c>
      <c r="AY7" s="43">
        <v>2342</v>
      </c>
      <c r="BD7">
        <v>373</v>
      </c>
      <c r="BE7">
        <v>20</v>
      </c>
      <c r="BF7">
        <v>2002</v>
      </c>
      <c r="BG7">
        <v>0</v>
      </c>
      <c r="BH7" s="85">
        <v>45604</v>
      </c>
      <c r="BI7" s="85">
        <v>45608</v>
      </c>
      <c r="BJ7" t="s">
        <v>58</v>
      </c>
      <c r="BK7">
        <v>0</v>
      </c>
    </row>
    <row r="8" spans="2:63" x14ac:dyDescent="0.25">
      <c r="C8" t="s">
        <v>310</v>
      </c>
      <c r="E8" t="s">
        <v>91</v>
      </c>
      <c r="G8" t="s">
        <v>129</v>
      </c>
      <c r="H8" t="s">
        <v>422</v>
      </c>
      <c r="I8" t="s">
        <v>48</v>
      </c>
      <c r="J8" t="s">
        <v>379</v>
      </c>
      <c r="K8" t="s">
        <v>48</v>
      </c>
      <c r="L8" t="s">
        <v>48</v>
      </c>
      <c r="N8">
        <v>34243</v>
      </c>
      <c r="O8" t="s">
        <v>42</v>
      </c>
      <c r="P8">
        <v>0</v>
      </c>
      <c r="Q8">
        <v>0</v>
      </c>
      <c r="R8">
        <v>0</v>
      </c>
      <c r="S8">
        <v>142857</v>
      </c>
      <c r="T8">
        <v>617427954</v>
      </c>
      <c r="U8">
        <v>0</v>
      </c>
      <c r="V8">
        <v>11</v>
      </c>
      <c r="W8" t="s">
        <v>163</v>
      </c>
      <c r="X8">
        <v>1063</v>
      </c>
      <c r="Y8">
        <v>37</v>
      </c>
      <c r="Z8">
        <v>0</v>
      </c>
      <c r="AB8">
        <v>4</v>
      </c>
      <c r="AD8" t="s">
        <v>394</v>
      </c>
      <c r="AE8">
        <v>20</v>
      </c>
      <c r="AF8" s="1">
        <v>45605.587858796294</v>
      </c>
      <c r="AG8">
        <v>0</v>
      </c>
      <c r="AH8">
        <v>5</v>
      </c>
      <c r="AI8">
        <v>0</v>
      </c>
      <c r="AJ8">
        <v>0</v>
      </c>
      <c r="AK8">
        <v>26</v>
      </c>
      <c r="AL8">
        <v>0</v>
      </c>
      <c r="AM8">
        <v>22</v>
      </c>
      <c r="AN8">
        <v>0</v>
      </c>
      <c r="AO8">
        <v>0</v>
      </c>
      <c r="AP8">
        <v>376</v>
      </c>
      <c r="AQ8">
        <v>4</v>
      </c>
      <c r="AR8">
        <v>0</v>
      </c>
      <c r="AS8" t="s">
        <v>291</v>
      </c>
      <c r="AT8" s="47" t="s">
        <v>423</v>
      </c>
      <c r="AU8" s="94" t="s">
        <v>398</v>
      </c>
      <c r="AV8" s="43">
        <v>4322</v>
      </c>
      <c r="AW8" s="94" t="s">
        <v>424</v>
      </c>
      <c r="AX8" s="43">
        <v>245</v>
      </c>
      <c r="AY8" s="43">
        <v>4322</v>
      </c>
      <c r="BD8">
        <v>374</v>
      </c>
      <c r="BE8">
        <v>20</v>
      </c>
      <c r="BF8">
        <v>1290</v>
      </c>
      <c r="BG8">
        <v>175999824</v>
      </c>
      <c r="BH8" s="85">
        <v>45602</v>
      </c>
      <c r="BI8" s="85">
        <v>45612</v>
      </c>
      <c r="BJ8" t="s">
        <v>58</v>
      </c>
      <c r="BK8">
        <v>0</v>
      </c>
    </row>
    <row r="9" spans="2:63" x14ac:dyDescent="0.25">
      <c r="C9" t="s">
        <v>313</v>
      </c>
      <c r="E9" t="s">
        <v>93</v>
      </c>
      <c r="G9" t="s">
        <v>129</v>
      </c>
      <c r="H9" t="s">
        <v>425</v>
      </c>
      <c r="I9" t="s">
        <v>48</v>
      </c>
      <c r="J9" t="s">
        <v>375</v>
      </c>
      <c r="K9" t="s">
        <v>48</v>
      </c>
      <c r="L9" t="s">
        <v>48</v>
      </c>
      <c r="N9">
        <v>2132</v>
      </c>
      <c r="O9" t="s">
        <v>42</v>
      </c>
      <c r="P9">
        <v>0</v>
      </c>
      <c r="Q9">
        <v>0</v>
      </c>
      <c r="R9">
        <v>1242</v>
      </c>
      <c r="S9">
        <v>142857</v>
      </c>
      <c r="T9">
        <v>177428394</v>
      </c>
      <c r="U9">
        <v>0</v>
      </c>
      <c r="V9">
        <v>3</v>
      </c>
      <c r="W9" t="s">
        <v>162</v>
      </c>
      <c r="X9">
        <v>1064</v>
      </c>
      <c r="Y9">
        <v>38</v>
      </c>
      <c r="Z9">
        <v>0</v>
      </c>
      <c r="AB9">
        <v>3</v>
      </c>
      <c r="AD9" t="s">
        <v>394</v>
      </c>
      <c r="AE9">
        <v>20</v>
      </c>
      <c r="AF9" s="1">
        <v>45605.589039351849</v>
      </c>
      <c r="AG9">
        <v>0</v>
      </c>
      <c r="AH9">
        <v>17</v>
      </c>
      <c r="AI9">
        <v>0</v>
      </c>
      <c r="AJ9">
        <v>0</v>
      </c>
      <c r="AK9">
        <v>24</v>
      </c>
      <c r="AL9">
        <v>0</v>
      </c>
      <c r="AM9">
        <v>23</v>
      </c>
      <c r="AN9">
        <v>0</v>
      </c>
      <c r="AO9">
        <v>0</v>
      </c>
      <c r="AP9">
        <v>377</v>
      </c>
      <c r="AQ9">
        <v>3</v>
      </c>
      <c r="AR9">
        <v>0</v>
      </c>
      <c r="AS9" t="s">
        <v>314</v>
      </c>
      <c r="AT9" s="47" t="s">
        <v>403</v>
      </c>
      <c r="AU9" s="94" t="s">
        <v>404</v>
      </c>
      <c r="AV9" s="43">
        <v>0</v>
      </c>
      <c r="AW9" s="94" t="s">
        <v>398</v>
      </c>
      <c r="AX9" s="43">
        <v>257</v>
      </c>
      <c r="AY9" s="43">
        <v>1242</v>
      </c>
      <c r="BD9">
        <v>375</v>
      </c>
      <c r="BE9">
        <v>20</v>
      </c>
      <c r="BF9">
        <v>1255</v>
      </c>
      <c r="BG9">
        <v>0</v>
      </c>
      <c r="BH9" s="85">
        <v>45604</v>
      </c>
      <c r="BI9" s="85">
        <v>45615</v>
      </c>
      <c r="BJ9" t="s">
        <v>58</v>
      </c>
      <c r="BK9">
        <v>0</v>
      </c>
    </row>
    <row r="10" spans="2:63" x14ac:dyDescent="0.25">
      <c r="C10" t="s">
        <v>313</v>
      </c>
      <c r="E10" t="s">
        <v>91</v>
      </c>
      <c r="G10" t="s">
        <v>129</v>
      </c>
      <c r="H10" t="s">
        <v>426</v>
      </c>
      <c r="I10" t="s">
        <v>48</v>
      </c>
      <c r="J10" t="s">
        <v>375</v>
      </c>
      <c r="K10" t="s">
        <v>48</v>
      </c>
      <c r="L10" t="s">
        <v>48</v>
      </c>
      <c r="N10">
        <v>2342</v>
      </c>
      <c r="O10" t="s">
        <v>42</v>
      </c>
      <c r="P10">
        <v>0</v>
      </c>
      <c r="Q10">
        <v>0</v>
      </c>
      <c r="R10">
        <v>0</v>
      </c>
      <c r="S10">
        <v>142857</v>
      </c>
      <c r="T10">
        <v>334713951</v>
      </c>
      <c r="U10">
        <v>0</v>
      </c>
      <c r="V10">
        <v>2</v>
      </c>
      <c r="W10" t="s">
        <v>163</v>
      </c>
      <c r="X10">
        <v>1065</v>
      </c>
      <c r="Y10">
        <v>37</v>
      </c>
      <c r="Z10">
        <v>0</v>
      </c>
      <c r="AB10">
        <v>4</v>
      </c>
      <c r="AD10" t="s">
        <v>427</v>
      </c>
      <c r="AE10">
        <v>20</v>
      </c>
      <c r="AF10" s="1">
        <v>45605.590833333335</v>
      </c>
      <c r="AG10">
        <v>0</v>
      </c>
      <c r="AH10">
        <v>17</v>
      </c>
      <c r="AI10">
        <v>0</v>
      </c>
      <c r="AJ10">
        <v>0</v>
      </c>
      <c r="AK10">
        <v>26</v>
      </c>
      <c r="AL10">
        <v>0</v>
      </c>
      <c r="AM10">
        <v>12</v>
      </c>
      <c r="AN10">
        <v>0</v>
      </c>
      <c r="AO10">
        <v>0</v>
      </c>
      <c r="AP10">
        <v>378</v>
      </c>
      <c r="AQ10">
        <v>4</v>
      </c>
      <c r="AR10">
        <v>0</v>
      </c>
      <c r="AS10" t="s">
        <v>291</v>
      </c>
      <c r="AT10" s="47" t="s">
        <v>428</v>
      </c>
      <c r="AU10" s="94" t="s">
        <v>398</v>
      </c>
      <c r="AV10" s="43">
        <v>2343</v>
      </c>
      <c r="AW10" s="94" t="s">
        <v>429</v>
      </c>
      <c r="AX10" s="43">
        <v>247</v>
      </c>
      <c r="AY10" s="43">
        <v>2343</v>
      </c>
      <c r="BD10">
        <v>376</v>
      </c>
      <c r="BE10">
        <v>20</v>
      </c>
      <c r="BF10">
        <v>3423</v>
      </c>
      <c r="BG10">
        <v>0</v>
      </c>
      <c r="BH10" s="85">
        <v>45604</v>
      </c>
      <c r="BI10" s="85">
        <v>45617</v>
      </c>
      <c r="BJ10" t="s">
        <v>58</v>
      </c>
      <c r="BK10">
        <v>0</v>
      </c>
    </row>
    <row r="11" spans="2:63" x14ac:dyDescent="0.25">
      <c r="C11" t="s">
        <v>384</v>
      </c>
      <c r="E11" t="s">
        <v>91</v>
      </c>
      <c r="G11" t="s">
        <v>129</v>
      </c>
      <c r="H11" t="s">
        <v>430</v>
      </c>
      <c r="I11" t="s">
        <v>48</v>
      </c>
      <c r="J11" t="s">
        <v>311</v>
      </c>
      <c r="K11" t="s">
        <v>48</v>
      </c>
      <c r="L11" t="s">
        <v>48</v>
      </c>
      <c r="N11">
        <v>2312</v>
      </c>
      <c r="O11" t="s">
        <v>42</v>
      </c>
      <c r="P11">
        <v>0</v>
      </c>
      <c r="Q11">
        <v>0</v>
      </c>
      <c r="R11">
        <v>1231</v>
      </c>
      <c r="S11">
        <v>142857</v>
      </c>
      <c r="T11">
        <v>175856967</v>
      </c>
      <c r="U11">
        <v>0</v>
      </c>
      <c r="V11">
        <v>21</v>
      </c>
      <c r="W11" t="s">
        <v>163</v>
      </c>
      <c r="X11">
        <v>1066</v>
      </c>
      <c r="Y11">
        <v>37</v>
      </c>
      <c r="Z11">
        <v>0</v>
      </c>
      <c r="AB11">
        <v>4</v>
      </c>
      <c r="AD11" t="s">
        <v>313</v>
      </c>
      <c r="AE11">
        <v>20</v>
      </c>
      <c r="AF11" s="1">
        <v>45605.595000000001</v>
      </c>
      <c r="AG11">
        <v>0</v>
      </c>
      <c r="AH11">
        <v>1</v>
      </c>
      <c r="AI11">
        <v>0</v>
      </c>
      <c r="AJ11">
        <v>0</v>
      </c>
      <c r="AK11">
        <v>26</v>
      </c>
      <c r="AL11">
        <v>0</v>
      </c>
      <c r="AM11">
        <v>2</v>
      </c>
      <c r="AN11">
        <v>0</v>
      </c>
      <c r="AO11">
        <v>0</v>
      </c>
      <c r="AP11">
        <v>379</v>
      </c>
      <c r="AQ11">
        <v>4</v>
      </c>
      <c r="AR11">
        <v>0</v>
      </c>
      <c r="AS11" t="s">
        <v>314</v>
      </c>
      <c r="AT11" s="47" t="s">
        <v>431</v>
      </c>
      <c r="AU11" s="94" t="s">
        <v>432</v>
      </c>
      <c r="AV11" s="43">
        <v>0</v>
      </c>
      <c r="AW11" s="94" t="s">
        <v>398</v>
      </c>
      <c r="AX11" s="43">
        <v>241</v>
      </c>
      <c r="AY11" s="43">
        <v>1231</v>
      </c>
      <c r="BD11">
        <v>377</v>
      </c>
      <c r="BE11">
        <v>20</v>
      </c>
      <c r="BF11">
        <v>5232</v>
      </c>
      <c r="BG11">
        <v>177428394</v>
      </c>
      <c r="BH11" s="85">
        <v>45611</v>
      </c>
      <c r="BI11" s="85">
        <v>45617</v>
      </c>
      <c r="BJ11" t="s">
        <v>58</v>
      </c>
      <c r="BK11">
        <v>0</v>
      </c>
    </row>
    <row r="12" spans="2:63" x14ac:dyDescent="0.25">
      <c r="C12" t="s">
        <v>312</v>
      </c>
      <c r="E12" t="s">
        <v>91</v>
      </c>
      <c r="G12" t="s">
        <v>129</v>
      </c>
      <c r="H12" t="s">
        <v>433</v>
      </c>
      <c r="I12" t="s">
        <v>48</v>
      </c>
      <c r="J12" t="s">
        <v>375</v>
      </c>
      <c r="K12" t="s">
        <v>48</v>
      </c>
      <c r="L12" t="s">
        <v>48</v>
      </c>
      <c r="N12">
        <v>23212</v>
      </c>
      <c r="O12" t="s">
        <v>42</v>
      </c>
      <c r="P12">
        <v>0</v>
      </c>
      <c r="Q12">
        <v>0</v>
      </c>
      <c r="R12">
        <v>0</v>
      </c>
      <c r="S12">
        <v>142857</v>
      </c>
      <c r="T12">
        <v>618856524</v>
      </c>
      <c r="U12">
        <v>0</v>
      </c>
      <c r="V12">
        <v>23</v>
      </c>
      <c r="W12" t="s">
        <v>163</v>
      </c>
      <c r="X12">
        <v>1067</v>
      </c>
      <c r="Y12">
        <v>37</v>
      </c>
      <c r="Z12">
        <v>0</v>
      </c>
      <c r="AB12">
        <v>4</v>
      </c>
      <c r="AD12" t="s">
        <v>313</v>
      </c>
      <c r="AE12">
        <v>20</v>
      </c>
      <c r="AF12" s="1">
        <v>45605.595439814817</v>
      </c>
      <c r="AG12">
        <v>0</v>
      </c>
      <c r="AH12">
        <v>17</v>
      </c>
      <c r="AI12">
        <v>0</v>
      </c>
      <c r="AJ12">
        <v>0</v>
      </c>
      <c r="AK12">
        <v>26</v>
      </c>
      <c r="AL12">
        <v>0</v>
      </c>
      <c r="AM12">
        <v>33</v>
      </c>
      <c r="AN12">
        <v>0</v>
      </c>
      <c r="AO12">
        <v>0</v>
      </c>
      <c r="AP12">
        <v>380</v>
      </c>
      <c r="AQ12">
        <v>4</v>
      </c>
      <c r="AR12">
        <v>0</v>
      </c>
      <c r="AS12" t="s">
        <v>291</v>
      </c>
      <c r="AT12" s="47" t="s">
        <v>434</v>
      </c>
      <c r="AU12" s="94" t="s">
        <v>398</v>
      </c>
      <c r="AV12" s="43">
        <v>4332</v>
      </c>
      <c r="AW12" s="94" t="s">
        <v>435</v>
      </c>
      <c r="AX12" s="43">
        <v>247</v>
      </c>
      <c r="AY12" s="43">
        <v>4332</v>
      </c>
      <c r="BD12">
        <v>378</v>
      </c>
      <c r="BE12">
        <v>20</v>
      </c>
      <c r="BF12">
        <v>7744</v>
      </c>
      <c r="BG12">
        <v>0</v>
      </c>
      <c r="BH12" s="85">
        <v>45611</v>
      </c>
      <c r="BI12" s="85">
        <v>45614</v>
      </c>
      <c r="BJ12" t="s">
        <v>58</v>
      </c>
      <c r="BK12">
        <v>0</v>
      </c>
    </row>
    <row r="13" spans="2:63" x14ac:dyDescent="0.25">
      <c r="C13" t="s">
        <v>310</v>
      </c>
      <c r="E13" t="s">
        <v>93</v>
      </c>
      <c r="G13" t="s">
        <v>129</v>
      </c>
      <c r="H13" t="s">
        <v>377</v>
      </c>
      <c r="I13" t="s">
        <v>48</v>
      </c>
      <c r="J13" t="s">
        <v>393</v>
      </c>
      <c r="K13" t="s">
        <v>48</v>
      </c>
      <c r="L13" t="s">
        <v>48</v>
      </c>
      <c r="N13">
        <v>1231</v>
      </c>
      <c r="O13" t="s">
        <v>42</v>
      </c>
      <c r="P13">
        <v>0</v>
      </c>
      <c r="Q13">
        <v>0</v>
      </c>
      <c r="R13">
        <v>4322</v>
      </c>
      <c r="S13">
        <v>142857</v>
      </c>
      <c r="T13">
        <v>617427954</v>
      </c>
      <c r="U13">
        <v>0</v>
      </c>
      <c r="V13">
        <v>12</v>
      </c>
      <c r="W13" t="s">
        <v>162</v>
      </c>
      <c r="X13">
        <v>1068</v>
      </c>
      <c r="Y13">
        <v>38</v>
      </c>
      <c r="Z13">
        <v>0</v>
      </c>
      <c r="AB13">
        <v>3</v>
      </c>
      <c r="AD13" t="s">
        <v>312</v>
      </c>
      <c r="AE13">
        <v>20</v>
      </c>
      <c r="AF13" s="1">
        <v>45605.595810185187</v>
      </c>
      <c r="AG13">
        <v>0</v>
      </c>
      <c r="AH13">
        <v>17</v>
      </c>
      <c r="AI13">
        <v>0</v>
      </c>
      <c r="AJ13">
        <v>0</v>
      </c>
      <c r="AK13">
        <v>25</v>
      </c>
      <c r="AL13">
        <v>0</v>
      </c>
      <c r="AM13">
        <v>22</v>
      </c>
      <c r="AN13">
        <v>0</v>
      </c>
      <c r="AO13">
        <v>0</v>
      </c>
      <c r="AP13">
        <v>381</v>
      </c>
      <c r="AQ13">
        <v>3</v>
      </c>
      <c r="AR13">
        <v>0</v>
      </c>
      <c r="AS13" t="s">
        <v>314</v>
      </c>
      <c r="AT13" s="47" t="s">
        <v>436</v>
      </c>
      <c r="AU13" s="94" t="s">
        <v>437</v>
      </c>
      <c r="AV13" s="43">
        <v>0</v>
      </c>
      <c r="AW13" s="94" t="s">
        <v>398</v>
      </c>
      <c r="AX13" s="43">
        <v>257</v>
      </c>
      <c r="AY13" s="43">
        <v>4322</v>
      </c>
      <c r="BD13">
        <v>379</v>
      </c>
      <c r="BE13">
        <v>20</v>
      </c>
      <c r="BF13">
        <v>1243</v>
      </c>
      <c r="BG13">
        <v>175856967</v>
      </c>
      <c r="BH13" s="85">
        <v>45602</v>
      </c>
      <c r="BI13" s="85">
        <v>45611</v>
      </c>
      <c r="BJ13" t="s">
        <v>58</v>
      </c>
      <c r="BK13">
        <v>0</v>
      </c>
    </row>
    <row r="14" spans="2:63" x14ac:dyDescent="0.25">
      <c r="C14" t="s">
        <v>313</v>
      </c>
      <c r="E14" t="s">
        <v>91</v>
      </c>
      <c r="G14" t="s">
        <v>129</v>
      </c>
      <c r="H14" t="s">
        <v>438</v>
      </c>
      <c r="I14" t="s">
        <v>48</v>
      </c>
      <c r="J14" t="s">
        <v>382</v>
      </c>
      <c r="K14" t="s">
        <v>48</v>
      </c>
      <c r="L14" t="s">
        <v>48</v>
      </c>
      <c r="N14">
        <v>2131</v>
      </c>
      <c r="O14" t="s">
        <v>439</v>
      </c>
      <c r="P14">
        <v>0</v>
      </c>
      <c r="Q14">
        <v>0</v>
      </c>
      <c r="R14">
        <v>0</v>
      </c>
      <c r="S14">
        <v>142857</v>
      </c>
      <c r="T14">
        <v>175999824</v>
      </c>
      <c r="U14">
        <v>0</v>
      </c>
      <c r="V14">
        <v>2</v>
      </c>
      <c r="W14" t="s">
        <v>162</v>
      </c>
      <c r="X14">
        <v>1069</v>
      </c>
      <c r="Y14">
        <v>37</v>
      </c>
      <c r="Z14">
        <v>0</v>
      </c>
      <c r="AB14">
        <v>3</v>
      </c>
      <c r="AD14" t="s">
        <v>407</v>
      </c>
      <c r="AE14">
        <v>20</v>
      </c>
      <c r="AF14" s="1">
        <v>45605.598495370374</v>
      </c>
      <c r="AG14">
        <v>0</v>
      </c>
      <c r="AH14">
        <v>6</v>
      </c>
      <c r="AI14">
        <v>0</v>
      </c>
      <c r="AJ14">
        <v>0</v>
      </c>
      <c r="AK14">
        <v>25</v>
      </c>
      <c r="AL14">
        <v>0</v>
      </c>
      <c r="AM14">
        <v>11</v>
      </c>
      <c r="AN14">
        <v>0</v>
      </c>
      <c r="AO14">
        <v>0</v>
      </c>
      <c r="AP14">
        <v>382</v>
      </c>
      <c r="AQ14">
        <v>3</v>
      </c>
      <c r="AR14">
        <v>0</v>
      </c>
      <c r="AS14" t="s">
        <v>291</v>
      </c>
      <c r="AT14" s="47" t="s">
        <v>399</v>
      </c>
      <c r="AU14" s="94" t="s">
        <v>398</v>
      </c>
      <c r="AV14" s="43">
        <v>1232</v>
      </c>
      <c r="AW14" s="94" t="s">
        <v>400</v>
      </c>
      <c r="AX14" s="43">
        <v>256</v>
      </c>
      <c r="AY14" s="43">
        <v>1232</v>
      </c>
      <c r="BD14">
        <v>380</v>
      </c>
      <c r="BE14">
        <v>20</v>
      </c>
      <c r="BF14">
        <v>5322</v>
      </c>
      <c r="BG14">
        <v>618856524</v>
      </c>
      <c r="BH14" s="85">
        <v>45609</v>
      </c>
      <c r="BI14" s="85">
        <v>45611</v>
      </c>
      <c r="BJ14" t="s">
        <v>58</v>
      </c>
      <c r="BK14">
        <v>0</v>
      </c>
    </row>
    <row r="15" spans="2:63" x14ac:dyDescent="0.25">
      <c r="C15" t="s">
        <v>312</v>
      </c>
      <c r="E15" t="s">
        <v>93</v>
      </c>
      <c r="G15" t="s">
        <v>129</v>
      </c>
      <c r="H15" t="s">
        <v>440</v>
      </c>
      <c r="I15" t="s">
        <v>48</v>
      </c>
      <c r="J15" t="s">
        <v>311</v>
      </c>
      <c r="K15" t="s">
        <v>48</v>
      </c>
      <c r="L15" t="s">
        <v>48</v>
      </c>
      <c r="N15">
        <v>1235</v>
      </c>
      <c r="O15" t="s">
        <v>42</v>
      </c>
      <c r="P15">
        <v>0</v>
      </c>
      <c r="Q15">
        <v>0</v>
      </c>
      <c r="R15">
        <v>0</v>
      </c>
      <c r="S15">
        <v>142857</v>
      </c>
      <c r="T15">
        <v>176285538</v>
      </c>
      <c r="U15">
        <v>0</v>
      </c>
      <c r="V15">
        <v>12</v>
      </c>
      <c r="W15" t="s">
        <v>164</v>
      </c>
      <c r="X15">
        <v>1070</v>
      </c>
      <c r="Y15">
        <v>38</v>
      </c>
      <c r="Z15">
        <v>0</v>
      </c>
      <c r="AB15">
        <v>5</v>
      </c>
      <c r="AD15" t="s">
        <v>373</v>
      </c>
      <c r="AE15">
        <v>20</v>
      </c>
      <c r="AF15" s="1">
        <v>45605.60732638889</v>
      </c>
      <c r="AG15">
        <v>0</v>
      </c>
      <c r="AH15">
        <v>1</v>
      </c>
      <c r="AI15">
        <v>0</v>
      </c>
      <c r="AJ15">
        <v>0</v>
      </c>
      <c r="AK15">
        <v>24</v>
      </c>
      <c r="AL15">
        <v>0</v>
      </c>
      <c r="AM15">
        <v>11</v>
      </c>
      <c r="AN15">
        <v>0</v>
      </c>
      <c r="AO15">
        <v>0</v>
      </c>
      <c r="AP15">
        <v>383</v>
      </c>
      <c r="AQ15">
        <v>5</v>
      </c>
      <c r="AR15">
        <v>0</v>
      </c>
      <c r="AS15" t="s">
        <v>291</v>
      </c>
      <c r="AT15" s="47" t="s">
        <v>441</v>
      </c>
      <c r="AU15" s="94" t="s">
        <v>398</v>
      </c>
      <c r="AV15" s="43">
        <v>1234</v>
      </c>
      <c r="AW15" s="94" t="s">
        <v>442</v>
      </c>
      <c r="AX15" s="43">
        <v>231</v>
      </c>
      <c r="AY15" s="43">
        <v>1234</v>
      </c>
      <c r="BD15">
        <v>381</v>
      </c>
      <c r="BE15">
        <v>20</v>
      </c>
      <c r="BF15">
        <v>1234</v>
      </c>
      <c r="BG15">
        <v>617427954</v>
      </c>
      <c r="BH15" s="85">
        <v>45604</v>
      </c>
      <c r="BI15" s="85">
        <v>45609</v>
      </c>
      <c r="BJ15" t="s">
        <v>58</v>
      </c>
      <c r="BK15">
        <v>0</v>
      </c>
    </row>
    <row r="16" spans="2:63" x14ac:dyDescent="0.25">
      <c r="B16" t="s">
        <v>163</v>
      </c>
      <c r="C16" t="s">
        <v>406</v>
      </c>
      <c r="E16" t="s">
        <v>41</v>
      </c>
      <c r="G16" t="s">
        <v>129</v>
      </c>
      <c r="H16" t="s">
        <v>410</v>
      </c>
      <c r="I16" t="s">
        <v>48</v>
      </c>
      <c r="J16" t="s">
        <v>374</v>
      </c>
      <c r="K16" t="s">
        <v>48</v>
      </c>
      <c r="L16" t="s">
        <v>48</v>
      </c>
      <c r="N16">
        <v>10000</v>
      </c>
      <c r="O16" t="s">
        <v>42</v>
      </c>
      <c r="P16">
        <v>0</v>
      </c>
      <c r="Q16">
        <v>0</v>
      </c>
      <c r="R16">
        <v>1000</v>
      </c>
      <c r="S16">
        <v>142857</v>
      </c>
      <c r="T16">
        <v>142857000</v>
      </c>
      <c r="U16">
        <v>0</v>
      </c>
      <c r="V16">
        <v>0</v>
      </c>
      <c r="W16" t="s">
        <v>40</v>
      </c>
      <c r="X16">
        <v>1058</v>
      </c>
      <c r="Y16">
        <v>20</v>
      </c>
      <c r="Z16">
        <v>4</v>
      </c>
      <c r="AB16">
        <v>54</v>
      </c>
      <c r="AD16" t="s">
        <v>372</v>
      </c>
      <c r="AE16">
        <v>20</v>
      </c>
      <c r="AF16" s="1">
        <v>45605.581226851849</v>
      </c>
      <c r="AG16">
        <v>2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371</v>
      </c>
      <c r="AQ16">
        <v>4</v>
      </c>
      <c r="AR16">
        <v>54</v>
      </c>
      <c r="AU16" s="94" t="s">
        <v>398</v>
      </c>
      <c r="AV16" s="43">
        <v>0</v>
      </c>
      <c r="AW16" s="94" t="s">
        <v>398</v>
      </c>
      <c r="AX16" s="43">
        <v>0</v>
      </c>
      <c r="AY16" s="43">
        <v>0</v>
      </c>
      <c r="BD16">
        <v>382</v>
      </c>
      <c r="BE16">
        <v>20</v>
      </c>
      <c r="BF16">
        <v>9839</v>
      </c>
      <c r="BG16">
        <v>175999824</v>
      </c>
      <c r="BH16" s="85">
        <v>45611</v>
      </c>
      <c r="BI16" s="85">
        <v>45615</v>
      </c>
      <c r="BJ16" t="s">
        <v>58</v>
      </c>
      <c r="BK16">
        <v>0</v>
      </c>
    </row>
    <row r="17" spans="2:63" x14ac:dyDescent="0.25">
      <c r="B17" t="s">
        <v>148</v>
      </c>
      <c r="C17" t="s">
        <v>310</v>
      </c>
      <c r="E17" t="s">
        <v>88</v>
      </c>
      <c r="G17" t="s">
        <v>129</v>
      </c>
      <c r="H17" t="s">
        <v>411</v>
      </c>
      <c r="I17" t="s">
        <v>48</v>
      </c>
      <c r="J17" t="s">
        <v>378</v>
      </c>
      <c r="K17" t="s">
        <v>48</v>
      </c>
      <c r="L17" t="s">
        <v>48</v>
      </c>
      <c r="N17">
        <v>2000</v>
      </c>
      <c r="O17" t="s">
        <v>42</v>
      </c>
      <c r="P17">
        <v>0</v>
      </c>
      <c r="Q17">
        <v>0</v>
      </c>
      <c r="R17">
        <v>2000</v>
      </c>
      <c r="S17">
        <v>142857</v>
      </c>
      <c r="T17">
        <v>285714000</v>
      </c>
      <c r="U17">
        <v>0</v>
      </c>
      <c r="V17">
        <v>0</v>
      </c>
      <c r="W17" t="s">
        <v>40</v>
      </c>
      <c r="X17">
        <v>1059</v>
      </c>
      <c r="Y17">
        <v>36</v>
      </c>
      <c r="Z17">
        <v>21</v>
      </c>
      <c r="AB17">
        <v>54</v>
      </c>
      <c r="AD17" t="s">
        <v>381</v>
      </c>
      <c r="AE17">
        <v>20</v>
      </c>
      <c r="AF17" s="1">
        <v>45605.582430555558</v>
      </c>
      <c r="AG17">
        <v>10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372</v>
      </c>
      <c r="AQ17">
        <v>21</v>
      </c>
      <c r="AR17">
        <v>54</v>
      </c>
      <c r="AU17" s="94" t="s">
        <v>398</v>
      </c>
      <c r="AV17" s="43">
        <v>0</v>
      </c>
      <c r="AW17" s="94" t="s">
        <v>398</v>
      </c>
      <c r="AX17" s="43">
        <v>0</v>
      </c>
      <c r="AY17" s="43">
        <v>2000</v>
      </c>
      <c r="BD17">
        <v>383</v>
      </c>
      <c r="BE17">
        <v>20</v>
      </c>
      <c r="BF17">
        <v>2989</v>
      </c>
      <c r="BG17">
        <v>176285538</v>
      </c>
      <c r="BH17" s="85">
        <v>45609</v>
      </c>
      <c r="BI17" s="85">
        <v>45612</v>
      </c>
      <c r="BJ17" t="s">
        <v>58</v>
      </c>
      <c r="BK17">
        <v>0</v>
      </c>
    </row>
    <row r="18" spans="2:63" x14ac:dyDescent="0.25">
      <c r="AF18" s="1"/>
      <c r="AU18"/>
      <c r="AV18"/>
      <c r="AW18"/>
      <c r="AX18" s="43"/>
      <c r="AY18"/>
    </row>
  </sheetData>
  <mergeCells count="1">
    <mergeCell ref="B2:D2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D11:AE102"/>
  <sheetViews>
    <sheetView topLeftCell="G1" workbookViewId="0">
      <selection activeCell="M24" sqref="M24"/>
    </sheetView>
  </sheetViews>
  <sheetFormatPr defaultRowHeight="15" x14ac:dyDescent="0.25"/>
  <cols>
    <col min="4" max="4" width="5" customWidth="1"/>
    <col min="5" max="5" width="19.42578125" customWidth="1"/>
    <col min="6" max="7" width="20.42578125" customWidth="1"/>
    <col min="8" max="8" width="17.28515625" customWidth="1"/>
    <col min="9" max="9" width="5" customWidth="1"/>
    <col min="10" max="10" width="20.5703125" customWidth="1"/>
    <col min="11" max="11" width="16.7109375" customWidth="1"/>
    <col min="12" max="12" width="17.140625" customWidth="1"/>
    <col min="13" max="13" width="13.5703125" customWidth="1"/>
    <col min="14" max="14" width="13.28515625" customWidth="1"/>
    <col min="15" max="15" width="9" customWidth="1"/>
    <col min="16" max="16" width="10.7109375" customWidth="1"/>
    <col min="17" max="17" width="22.140625" customWidth="1"/>
    <col min="18" max="18" width="15.85546875" customWidth="1"/>
    <col min="19" max="19" width="5" customWidth="1"/>
    <col min="20" max="20" width="14.140625" customWidth="1"/>
    <col min="21" max="21" width="19.85546875" customWidth="1"/>
    <col min="22" max="22" width="9.5703125" customWidth="1"/>
    <col min="23" max="23" width="17.28515625" customWidth="1"/>
    <col min="24" max="24" width="5" bestFit="1" customWidth="1"/>
    <col min="25" max="25" width="13" bestFit="1" customWidth="1"/>
    <col min="26" max="26" width="9.7109375" bestFit="1" customWidth="1"/>
    <col min="27" max="27" width="14.140625" bestFit="1" customWidth="1"/>
    <col min="28" max="28" width="8.140625" bestFit="1" customWidth="1"/>
    <col min="29" max="29" width="9" bestFit="1" customWidth="1"/>
    <col min="30" max="30" width="10" bestFit="1" customWidth="1"/>
    <col min="31" max="31" width="12.28515625" bestFit="1" customWidth="1"/>
    <col min="32" max="32" width="17.85546875" customWidth="1"/>
    <col min="33" max="33" width="18.85546875" bestFit="1" customWidth="1"/>
    <col min="34" max="34" width="14.140625" customWidth="1"/>
    <col min="35" max="35" width="18.140625" customWidth="1"/>
    <col min="36" max="36" width="21" bestFit="1" customWidth="1"/>
    <col min="37" max="37" width="17.42578125" bestFit="1" customWidth="1"/>
    <col min="38" max="38" width="15.28515625" customWidth="1"/>
    <col min="39" max="39" width="16.42578125" customWidth="1"/>
    <col min="40" max="40" width="18.85546875" bestFit="1" customWidth="1"/>
    <col min="41" max="41" width="10" customWidth="1"/>
    <col min="42" max="42" width="17.42578125" bestFit="1" customWidth="1"/>
    <col min="43" max="43" width="15.140625" bestFit="1" customWidth="1"/>
    <col min="44" max="44" width="15.140625" customWidth="1"/>
    <col min="45" max="45" width="8.85546875" customWidth="1"/>
    <col min="46" max="46" width="13.28515625" customWidth="1"/>
    <col min="47" max="47" width="19" bestFit="1" customWidth="1"/>
    <col min="48" max="48" width="7.5703125" customWidth="1"/>
    <col min="49" max="49" width="12.140625" bestFit="1" customWidth="1"/>
  </cols>
  <sheetData>
    <row r="11" spans="4:31" x14ac:dyDescent="0.25">
      <c r="D11" t="s">
        <v>22</v>
      </c>
      <c r="E11" t="s">
        <v>126</v>
      </c>
      <c r="F11" t="s">
        <v>215</v>
      </c>
      <c r="I11" t="s">
        <v>22</v>
      </c>
      <c r="J11" t="s">
        <v>226</v>
      </c>
      <c r="K11" t="s">
        <v>227</v>
      </c>
      <c r="L11" t="s">
        <v>228</v>
      </c>
      <c r="M11" t="s">
        <v>229</v>
      </c>
      <c r="N11" t="s">
        <v>142</v>
      </c>
      <c r="O11" t="s">
        <v>53</v>
      </c>
      <c r="P11" t="s">
        <v>230</v>
      </c>
      <c r="Q11" t="s">
        <v>231</v>
      </c>
      <c r="S11" t="s">
        <v>22</v>
      </c>
      <c r="T11" t="s">
        <v>32</v>
      </c>
      <c r="U11" t="s">
        <v>276</v>
      </c>
      <c r="X11" t="s">
        <v>22</v>
      </c>
      <c r="Y11" t="s">
        <v>29</v>
      </c>
      <c r="Z11" t="s">
        <v>360</v>
      </c>
      <c r="AA11" t="s">
        <v>32</v>
      </c>
      <c r="AB11" t="s">
        <v>361</v>
      </c>
      <c r="AC11" t="s">
        <v>362</v>
      </c>
      <c r="AD11" t="s">
        <v>363</v>
      </c>
      <c r="AE11" t="s">
        <v>364</v>
      </c>
    </row>
    <row r="12" spans="4:31" x14ac:dyDescent="0.25">
      <c r="D12">
        <v>1</v>
      </c>
      <c r="E12" t="s">
        <v>216</v>
      </c>
      <c r="F12" t="s">
        <v>217</v>
      </c>
      <c r="I12">
        <v>40</v>
      </c>
      <c r="J12" t="s">
        <v>232</v>
      </c>
      <c r="K12" t="s">
        <v>48</v>
      </c>
      <c r="L12" t="s">
        <v>48</v>
      </c>
      <c r="M12" t="s">
        <v>48</v>
      </c>
      <c r="N12" t="s">
        <v>145</v>
      </c>
      <c r="O12" t="s">
        <v>58</v>
      </c>
      <c r="P12">
        <v>1</v>
      </c>
      <c r="S12">
        <v>1</v>
      </c>
      <c r="T12">
        <v>1</v>
      </c>
      <c r="U12" t="s">
        <v>268</v>
      </c>
      <c r="X12">
        <v>181</v>
      </c>
      <c r="Y12">
        <v>20</v>
      </c>
      <c r="Z12">
        <v>28</v>
      </c>
      <c r="AA12">
        <v>1</v>
      </c>
      <c r="AB12" t="s">
        <v>338</v>
      </c>
      <c r="AC12" t="s">
        <v>338</v>
      </c>
      <c r="AD12" t="s">
        <v>339</v>
      </c>
      <c r="AE12">
        <v>9000</v>
      </c>
    </row>
    <row r="13" spans="4:31" x14ac:dyDescent="0.25">
      <c r="D13">
        <v>2</v>
      </c>
      <c r="E13" t="s">
        <v>218</v>
      </c>
      <c r="F13" t="s">
        <v>219</v>
      </c>
      <c r="I13">
        <v>41</v>
      </c>
      <c r="J13" t="s">
        <v>233</v>
      </c>
      <c r="K13" t="s">
        <v>48</v>
      </c>
      <c r="L13" t="s">
        <v>48</v>
      </c>
      <c r="M13" t="s">
        <v>48</v>
      </c>
      <c r="N13" t="s">
        <v>145</v>
      </c>
      <c r="O13" t="s">
        <v>58</v>
      </c>
      <c r="P13">
        <v>1</v>
      </c>
      <c r="S13">
        <v>2</v>
      </c>
      <c r="T13">
        <v>2</v>
      </c>
      <c r="U13" t="s">
        <v>269</v>
      </c>
      <c r="X13">
        <v>182</v>
      </c>
      <c r="Y13">
        <v>20</v>
      </c>
      <c r="Z13">
        <v>28</v>
      </c>
      <c r="AA13">
        <v>2</v>
      </c>
      <c r="AB13" t="s">
        <v>338</v>
      </c>
      <c r="AC13" t="s">
        <v>338</v>
      </c>
      <c r="AD13" t="s">
        <v>339</v>
      </c>
      <c r="AE13">
        <v>9000</v>
      </c>
    </row>
    <row r="14" spans="4:31" x14ac:dyDescent="0.25">
      <c r="D14">
        <v>3</v>
      </c>
      <c r="E14" t="s">
        <v>220</v>
      </c>
      <c r="F14" t="s">
        <v>221</v>
      </c>
      <c r="I14">
        <v>42</v>
      </c>
      <c r="J14" t="s">
        <v>234</v>
      </c>
      <c r="K14" t="s">
        <v>48</v>
      </c>
      <c r="L14" t="s">
        <v>48</v>
      </c>
      <c r="M14" t="s">
        <v>48</v>
      </c>
      <c r="N14" t="s">
        <v>145</v>
      </c>
      <c r="O14" t="s">
        <v>58</v>
      </c>
      <c r="P14">
        <v>1</v>
      </c>
      <c r="S14">
        <v>3</v>
      </c>
      <c r="T14">
        <v>6</v>
      </c>
      <c r="U14" t="s">
        <v>274</v>
      </c>
      <c r="X14">
        <v>183</v>
      </c>
      <c r="Y14">
        <v>20</v>
      </c>
      <c r="Z14">
        <v>28</v>
      </c>
      <c r="AA14">
        <v>3</v>
      </c>
      <c r="AB14" t="s">
        <v>338</v>
      </c>
      <c r="AC14" t="s">
        <v>338</v>
      </c>
      <c r="AD14" t="s">
        <v>339</v>
      </c>
      <c r="AE14">
        <v>9000</v>
      </c>
    </row>
    <row r="15" spans="4:31" x14ac:dyDescent="0.25">
      <c r="D15">
        <v>4</v>
      </c>
      <c r="E15" t="s">
        <v>222</v>
      </c>
      <c r="F15" t="s">
        <v>223</v>
      </c>
      <c r="I15">
        <v>43</v>
      </c>
      <c r="J15" t="s">
        <v>235</v>
      </c>
      <c r="K15" t="s">
        <v>48</v>
      </c>
      <c r="L15" t="s">
        <v>48</v>
      </c>
      <c r="M15" t="s">
        <v>48</v>
      </c>
      <c r="N15" t="s">
        <v>145</v>
      </c>
      <c r="O15" t="s">
        <v>58</v>
      </c>
      <c r="P15">
        <v>1</v>
      </c>
      <c r="S15">
        <v>4</v>
      </c>
      <c r="T15">
        <v>6</v>
      </c>
      <c r="U15" t="s">
        <v>277</v>
      </c>
      <c r="X15">
        <v>184</v>
      </c>
      <c r="Y15">
        <v>20</v>
      </c>
      <c r="Z15">
        <v>28</v>
      </c>
      <c r="AA15">
        <v>4</v>
      </c>
      <c r="AB15" t="s">
        <v>338</v>
      </c>
      <c r="AC15" t="s">
        <v>338</v>
      </c>
      <c r="AD15" t="s">
        <v>339</v>
      </c>
      <c r="AE15">
        <v>9000</v>
      </c>
    </row>
    <row r="16" spans="4:31" x14ac:dyDescent="0.25">
      <c r="D16">
        <v>5</v>
      </c>
      <c r="E16" t="s">
        <v>224</v>
      </c>
      <c r="F16" t="s">
        <v>225</v>
      </c>
      <c r="I16">
        <v>44</v>
      </c>
      <c r="J16" t="s">
        <v>236</v>
      </c>
      <c r="K16" t="s">
        <v>48</v>
      </c>
      <c r="L16" t="s">
        <v>48</v>
      </c>
      <c r="M16" t="s">
        <v>48</v>
      </c>
      <c r="N16" t="s">
        <v>145</v>
      </c>
      <c r="O16" t="s">
        <v>58</v>
      </c>
      <c r="P16">
        <v>1</v>
      </c>
      <c r="S16">
        <v>5</v>
      </c>
      <c r="T16">
        <v>9</v>
      </c>
      <c r="U16" t="s">
        <v>275</v>
      </c>
      <c r="X16">
        <v>185</v>
      </c>
      <c r="Y16">
        <v>20</v>
      </c>
      <c r="Z16">
        <v>28</v>
      </c>
      <c r="AA16">
        <v>5</v>
      </c>
      <c r="AB16" t="s">
        <v>338</v>
      </c>
      <c r="AC16" t="s">
        <v>338</v>
      </c>
      <c r="AD16" t="s">
        <v>339</v>
      </c>
      <c r="AE16">
        <v>9000</v>
      </c>
    </row>
    <row r="17" spans="9:31" x14ac:dyDescent="0.25">
      <c r="I17">
        <v>45</v>
      </c>
      <c r="J17" t="s">
        <v>237</v>
      </c>
      <c r="K17" t="s">
        <v>48</v>
      </c>
      <c r="L17" t="s">
        <v>48</v>
      </c>
      <c r="M17" t="s">
        <v>48</v>
      </c>
      <c r="N17" t="s">
        <v>145</v>
      </c>
      <c r="O17" t="s">
        <v>58</v>
      </c>
      <c r="P17">
        <v>1</v>
      </c>
      <c r="S17">
        <v>6</v>
      </c>
      <c r="T17">
        <v>9</v>
      </c>
      <c r="U17" t="s">
        <v>278</v>
      </c>
      <c r="X17">
        <v>186</v>
      </c>
      <c r="Y17">
        <v>20</v>
      </c>
      <c r="Z17">
        <v>28</v>
      </c>
      <c r="AA17">
        <v>6</v>
      </c>
      <c r="AB17" t="s">
        <v>338</v>
      </c>
      <c r="AC17" t="s">
        <v>338</v>
      </c>
      <c r="AD17" t="s">
        <v>339</v>
      </c>
      <c r="AE17">
        <v>9000</v>
      </c>
    </row>
    <row r="18" spans="9:31" x14ac:dyDescent="0.25">
      <c r="I18">
        <v>46</v>
      </c>
      <c r="J18" t="s">
        <v>238</v>
      </c>
      <c r="K18" t="s">
        <v>48</v>
      </c>
      <c r="L18" t="s">
        <v>48</v>
      </c>
      <c r="M18" t="s">
        <v>48</v>
      </c>
      <c r="N18" t="s">
        <v>145</v>
      </c>
      <c r="O18" t="s">
        <v>58</v>
      </c>
      <c r="P18">
        <v>1</v>
      </c>
      <c r="S18">
        <v>7</v>
      </c>
      <c r="T18">
        <v>11</v>
      </c>
      <c r="U18" t="s">
        <v>242</v>
      </c>
      <c r="X18">
        <v>187</v>
      </c>
      <c r="Y18">
        <v>20</v>
      </c>
      <c r="Z18">
        <v>28</v>
      </c>
      <c r="AA18">
        <v>17</v>
      </c>
      <c r="AB18" t="s">
        <v>338</v>
      </c>
      <c r="AC18" t="s">
        <v>338</v>
      </c>
      <c r="AD18" t="s">
        <v>339</v>
      </c>
      <c r="AE18">
        <v>9000</v>
      </c>
    </row>
    <row r="19" spans="9:31" x14ac:dyDescent="0.25">
      <c r="I19">
        <v>47</v>
      </c>
      <c r="J19" t="s">
        <v>239</v>
      </c>
      <c r="K19" t="s">
        <v>239</v>
      </c>
      <c r="L19" t="s">
        <v>48</v>
      </c>
      <c r="M19" t="s">
        <v>48</v>
      </c>
      <c r="N19" t="s">
        <v>145</v>
      </c>
      <c r="O19" t="s">
        <v>58</v>
      </c>
      <c r="P19">
        <v>1</v>
      </c>
      <c r="S19">
        <v>8</v>
      </c>
      <c r="T19">
        <v>11</v>
      </c>
      <c r="U19" t="s">
        <v>279</v>
      </c>
      <c r="X19">
        <v>188</v>
      </c>
      <c r="Y19">
        <v>20</v>
      </c>
      <c r="Z19">
        <v>28</v>
      </c>
      <c r="AA19">
        <v>18</v>
      </c>
      <c r="AB19" t="s">
        <v>338</v>
      </c>
      <c r="AC19" t="s">
        <v>338</v>
      </c>
      <c r="AD19" t="s">
        <v>339</v>
      </c>
      <c r="AE19">
        <v>9000</v>
      </c>
    </row>
    <row r="20" spans="9:31" x14ac:dyDescent="0.25">
      <c r="I20">
        <v>49</v>
      </c>
      <c r="J20" t="s">
        <v>240</v>
      </c>
      <c r="K20" t="s">
        <v>48</v>
      </c>
      <c r="L20" t="s">
        <v>48</v>
      </c>
      <c r="M20" t="s">
        <v>48</v>
      </c>
      <c r="N20" t="s">
        <v>145</v>
      </c>
      <c r="O20" t="s">
        <v>58</v>
      </c>
      <c r="P20">
        <v>1</v>
      </c>
      <c r="S20">
        <v>9</v>
      </c>
      <c r="T20">
        <v>11</v>
      </c>
      <c r="U20" t="s">
        <v>280</v>
      </c>
      <c r="X20">
        <v>189</v>
      </c>
      <c r="Y20">
        <v>20</v>
      </c>
      <c r="Z20">
        <v>28</v>
      </c>
      <c r="AA20">
        <v>19</v>
      </c>
      <c r="AB20" t="s">
        <v>338</v>
      </c>
      <c r="AC20" t="s">
        <v>338</v>
      </c>
      <c r="AD20" t="s">
        <v>339</v>
      </c>
      <c r="AE20">
        <v>9000</v>
      </c>
    </row>
    <row r="21" spans="9:31" x14ac:dyDescent="0.25">
      <c r="I21">
        <v>11</v>
      </c>
      <c r="J21" t="s">
        <v>241</v>
      </c>
      <c r="K21" t="s">
        <v>242</v>
      </c>
      <c r="L21" t="s">
        <v>48</v>
      </c>
      <c r="M21" t="s">
        <v>48</v>
      </c>
      <c r="N21" t="s">
        <v>145</v>
      </c>
      <c r="O21" t="s">
        <v>58</v>
      </c>
      <c r="P21">
        <v>3</v>
      </c>
      <c r="S21">
        <v>10</v>
      </c>
      <c r="T21">
        <v>17</v>
      </c>
      <c r="U21" t="s">
        <v>247</v>
      </c>
      <c r="X21">
        <v>190</v>
      </c>
      <c r="Y21">
        <v>20</v>
      </c>
      <c r="Z21">
        <v>28</v>
      </c>
      <c r="AA21">
        <v>20</v>
      </c>
      <c r="AB21" t="s">
        <v>338</v>
      </c>
      <c r="AC21" t="s">
        <v>338</v>
      </c>
      <c r="AD21" t="s">
        <v>339</v>
      </c>
      <c r="AE21">
        <v>9000</v>
      </c>
    </row>
    <row r="22" spans="9:31" x14ac:dyDescent="0.25">
      <c r="I22">
        <v>14</v>
      </c>
      <c r="J22" t="s">
        <v>243</v>
      </c>
      <c r="K22" t="s">
        <v>48</v>
      </c>
      <c r="L22" t="s">
        <v>48</v>
      </c>
      <c r="M22" t="s">
        <v>48</v>
      </c>
      <c r="N22" t="s">
        <v>145</v>
      </c>
      <c r="O22" t="s">
        <v>58</v>
      </c>
      <c r="P22">
        <v>3</v>
      </c>
      <c r="S22">
        <v>11</v>
      </c>
      <c r="T22">
        <v>17</v>
      </c>
      <c r="U22" t="s">
        <v>281</v>
      </c>
      <c r="X22">
        <v>191</v>
      </c>
      <c r="Y22">
        <v>20</v>
      </c>
      <c r="Z22">
        <v>10</v>
      </c>
      <c r="AA22">
        <v>1</v>
      </c>
      <c r="AB22" t="s">
        <v>338</v>
      </c>
      <c r="AC22" t="s">
        <v>338</v>
      </c>
      <c r="AD22" t="s">
        <v>339</v>
      </c>
      <c r="AE22">
        <v>9000</v>
      </c>
    </row>
    <row r="23" spans="9:31" x14ac:dyDescent="0.25">
      <c r="I23">
        <v>15</v>
      </c>
      <c r="J23" t="s">
        <v>244</v>
      </c>
      <c r="K23" t="s">
        <v>48</v>
      </c>
      <c r="L23" t="s">
        <v>48</v>
      </c>
      <c r="M23" t="s">
        <v>48</v>
      </c>
      <c r="N23" t="s">
        <v>145</v>
      </c>
      <c r="O23" t="s">
        <v>58</v>
      </c>
      <c r="P23">
        <v>3</v>
      </c>
      <c r="S23">
        <v>12</v>
      </c>
      <c r="T23">
        <v>17</v>
      </c>
      <c r="U23" t="s">
        <v>282</v>
      </c>
      <c r="X23">
        <v>192</v>
      </c>
      <c r="Y23">
        <v>20</v>
      </c>
      <c r="Z23">
        <v>10</v>
      </c>
      <c r="AA23">
        <v>2</v>
      </c>
      <c r="AB23" t="s">
        <v>338</v>
      </c>
      <c r="AC23" t="s">
        <v>338</v>
      </c>
      <c r="AD23" t="s">
        <v>339</v>
      </c>
      <c r="AE23">
        <v>9000</v>
      </c>
    </row>
    <row r="24" spans="9:31" x14ac:dyDescent="0.25">
      <c r="I24">
        <v>16</v>
      </c>
      <c r="J24" t="s">
        <v>245</v>
      </c>
      <c r="K24" t="s">
        <v>48</v>
      </c>
      <c r="L24" t="s">
        <v>48</v>
      </c>
      <c r="M24" t="s">
        <v>48</v>
      </c>
      <c r="N24" t="s">
        <v>145</v>
      </c>
      <c r="O24" t="s">
        <v>58</v>
      </c>
      <c r="P24">
        <v>3</v>
      </c>
      <c r="S24">
        <v>13</v>
      </c>
      <c r="T24">
        <v>28</v>
      </c>
      <c r="U24" t="s">
        <v>283</v>
      </c>
      <c r="X24">
        <v>193</v>
      </c>
      <c r="Y24">
        <v>20</v>
      </c>
      <c r="Z24">
        <v>10</v>
      </c>
      <c r="AA24">
        <v>3</v>
      </c>
      <c r="AB24" t="s">
        <v>338</v>
      </c>
      <c r="AC24" t="s">
        <v>338</v>
      </c>
      <c r="AD24" t="s">
        <v>339</v>
      </c>
      <c r="AE24">
        <v>9000</v>
      </c>
    </row>
    <row r="25" spans="9:31" x14ac:dyDescent="0.25">
      <c r="I25">
        <v>17</v>
      </c>
      <c r="J25" t="s">
        <v>246</v>
      </c>
      <c r="K25" t="s">
        <v>247</v>
      </c>
      <c r="L25" t="s">
        <v>48</v>
      </c>
      <c r="M25" t="s">
        <v>48</v>
      </c>
      <c r="N25" t="s">
        <v>145</v>
      </c>
      <c r="O25" t="s">
        <v>58</v>
      </c>
      <c r="P25">
        <v>3</v>
      </c>
      <c r="S25">
        <v>14</v>
      </c>
      <c r="T25">
        <v>28</v>
      </c>
      <c r="U25" t="s">
        <v>284</v>
      </c>
      <c r="X25">
        <v>194</v>
      </c>
      <c r="Y25">
        <v>20</v>
      </c>
      <c r="Z25">
        <v>10</v>
      </c>
      <c r="AA25">
        <v>4</v>
      </c>
      <c r="AB25" t="s">
        <v>338</v>
      </c>
      <c r="AC25" t="s">
        <v>338</v>
      </c>
      <c r="AD25" t="s">
        <v>339</v>
      </c>
      <c r="AE25">
        <v>9000</v>
      </c>
    </row>
    <row r="26" spans="9:31" x14ac:dyDescent="0.25">
      <c r="I26">
        <v>20</v>
      </c>
      <c r="J26" t="s">
        <v>248</v>
      </c>
      <c r="K26" t="s">
        <v>48</v>
      </c>
      <c r="L26" t="s">
        <v>48</v>
      </c>
      <c r="M26" t="s">
        <v>48</v>
      </c>
      <c r="N26" t="s">
        <v>145</v>
      </c>
      <c r="O26" t="s">
        <v>58</v>
      </c>
      <c r="P26">
        <v>3</v>
      </c>
      <c r="S26">
        <v>15</v>
      </c>
      <c r="T26">
        <v>47</v>
      </c>
      <c r="U26" t="s">
        <v>285</v>
      </c>
      <c r="X26">
        <v>195</v>
      </c>
      <c r="Y26">
        <v>20</v>
      </c>
      <c r="Z26">
        <v>10</v>
      </c>
      <c r="AA26">
        <v>5</v>
      </c>
      <c r="AB26" t="s">
        <v>338</v>
      </c>
      <c r="AC26" t="s">
        <v>338</v>
      </c>
      <c r="AD26" t="s">
        <v>339</v>
      </c>
      <c r="AE26">
        <v>9000</v>
      </c>
    </row>
    <row r="27" spans="9:31" x14ac:dyDescent="0.25">
      <c r="I27">
        <v>21</v>
      </c>
      <c r="J27" t="s">
        <v>249</v>
      </c>
      <c r="K27" t="s">
        <v>48</v>
      </c>
      <c r="L27" t="s">
        <v>48</v>
      </c>
      <c r="M27" t="s">
        <v>48</v>
      </c>
      <c r="N27" t="s">
        <v>145</v>
      </c>
      <c r="O27" t="s">
        <v>58</v>
      </c>
      <c r="P27">
        <v>3</v>
      </c>
      <c r="S27">
        <v>16</v>
      </c>
      <c r="T27">
        <v>47</v>
      </c>
      <c r="U27" t="s">
        <v>286</v>
      </c>
      <c r="X27">
        <v>196</v>
      </c>
      <c r="Y27">
        <v>20</v>
      </c>
      <c r="Z27">
        <v>10</v>
      </c>
      <c r="AA27">
        <v>6</v>
      </c>
      <c r="AB27" t="s">
        <v>338</v>
      </c>
      <c r="AC27" t="s">
        <v>338</v>
      </c>
      <c r="AD27" t="s">
        <v>339</v>
      </c>
      <c r="AE27">
        <v>9000</v>
      </c>
    </row>
    <row r="28" spans="9:31" x14ac:dyDescent="0.25">
      <c r="I28">
        <v>22</v>
      </c>
      <c r="J28" t="s">
        <v>250</v>
      </c>
      <c r="K28" t="s">
        <v>48</v>
      </c>
      <c r="L28" t="s">
        <v>48</v>
      </c>
      <c r="M28" t="s">
        <v>48</v>
      </c>
      <c r="N28" t="s">
        <v>145</v>
      </c>
      <c r="O28" t="s">
        <v>58</v>
      </c>
      <c r="P28">
        <v>3</v>
      </c>
      <c r="S28">
        <v>17</v>
      </c>
      <c r="T28">
        <v>3</v>
      </c>
      <c r="U28" t="s">
        <v>270</v>
      </c>
      <c r="X28">
        <v>197</v>
      </c>
      <c r="Y28">
        <v>20</v>
      </c>
      <c r="Z28">
        <v>10</v>
      </c>
      <c r="AA28">
        <v>17</v>
      </c>
      <c r="AB28" t="s">
        <v>338</v>
      </c>
      <c r="AC28" t="s">
        <v>338</v>
      </c>
      <c r="AD28" t="s">
        <v>339</v>
      </c>
      <c r="AE28">
        <v>9000</v>
      </c>
    </row>
    <row r="29" spans="9:31" x14ac:dyDescent="0.25">
      <c r="I29">
        <v>23</v>
      </c>
      <c r="J29" t="s">
        <v>251</v>
      </c>
      <c r="K29" t="s">
        <v>48</v>
      </c>
      <c r="L29" t="s">
        <v>48</v>
      </c>
      <c r="M29" t="s">
        <v>48</v>
      </c>
      <c r="N29" t="s">
        <v>145</v>
      </c>
      <c r="O29" t="s">
        <v>58</v>
      </c>
      <c r="P29">
        <v>3</v>
      </c>
      <c r="S29">
        <v>18</v>
      </c>
      <c r="T29">
        <v>4</v>
      </c>
      <c r="U29" t="s">
        <v>271</v>
      </c>
      <c r="X29">
        <v>198</v>
      </c>
      <c r="Y29">
        <v>20</v>
      </c>
      <c r="Z29">
        <v>10</v>
      </c>
      <c r="AA29">
        <v>18</v>
      </c>
      <c r="AB29" t="s">
        <v>338</v>
      </c>
      <c r="AC29" t="s">
        <v>338</v>
      </c>
      <c r="AD29" t="s">
        <v>339</v>
      </c>
      <c r="AE29">
        <v>9000</v>
      </c>
    </row>
    <row r="30" spans="9:31" x14ac:dyDescent="0.25">
      <c r="I30">
        <v>24</v>
      </c>
      <c r="J30" t="s">
        <v>252</v>
      </c>
      <c r="K30" t="s">
        <v>48</v>
      </c>
      <c r="L30" t="s">
        <v>48</v>
      </c>
      <c r="M30" t="s">
        <v>48</v>
      </c>
      <c r="N30" t="s">
        <v>145</v>
      </c>
      <c r="O30" t="s">
        <v>58</v>
      </c>
      <c r="P30">
        <v>3</v>
      </c>
      <c r="S30">
        <v>19</v>
      </c>
      <c r="T30">
        <v>5</v>
      </c>
      <c r="U30" t="s">
        <v>272</v>
      </c>
      <c r="X30">
        <v>199</v>
      </c>
      <c r="Y30">
        <v>20</v>
      </c>
      <c r="Z30">
        <v>10</v>
      </c>
      <c r="AA30">
        <v>19</v>
      </c>
      <c r="AB30" t="s">
        <v>338</v>
      </c>
      <c r="AC30" t="s">
        <v>338</v>
      </c>
      <c r="AD30" t="s">
        <v>339</v>
      </c>
      <c r="AE30">
        <v>9000</v>
      </c>
    </row>
    <row r="31" spans="9:31" x14ac:dyDescent="0.25">
      <c r="I31">
        <v>25</v>
      </c>
      <c r="J31" t="s">
        <v>253</v>
      </c>
      <c r="K31" t="s">
        <v>48</v>
      </c>
      <c r="L31" t="s">
        <v>48</v>
      </c>
      <c r="M31" t="s">
        <v>48</v>
      </c>
      <c r="N31" t="s">
        <v>145</v>
      </c>
      <c r="O31" t="s">
        <v>58</v>
      </c>
      <c r="P31">
        <v>3</v>
      </c>
      <c r="S31">
        <v>20</v>
      </c>
      <c r="T31">
        <v>8</v>
      </c>
      <c r="U31" t="s">
        <v>134</v>
      </c>
      <c r="X31">
        <v>200</v>
      </c>
      <c r="Y31">
        <v>20</v>
      </c>
      <c r="Z31">
        <v>10</v>
      </c>
      <c r="AA31">
        <v>20</v>
      </c>
      <c r="AB31" t="s">
        <v>338</v>
      </c>
      <c r="AC31" t="s">
        <v>338</v>
      </c>
      <c r="AD31" t="s">
        <v>339</v>
      </c>
      <c r="AE31">
        <v>9000</v>
      </c>
    </row>
    <row r="32" spans="9:31" x14ac:dyDescent="0.25">
      <c r="I32">
        <v>26</v>
      </c>
      <c r="J32" t="s">
        <v>254</v>
      </c>
      <c r="K32" t="s">
        <v>48</v>
      </c>
      <c r="L32" t="s">
        <v>48</v>
      </c>
      <c r="M32" t="s">
        <v>48</v>
      </c>
      <c r="N32" t="s">
        <v>145</v>
      </c>
      <c r="O32" t="s">
        <v>58</v>
      </c>
      <c r="P32">
        <v>3</v>
      </c>
      <c r="S32">
        <v>21</v>
      </c>
      <c r="T32">
        <v>14</v>
      </c>
      <c r="U32" t="s">
        <v>243</v>
      </c>
      <c r="X32">
        <v>201</v>
      </c>
      <c r="Y32">
        <v>20</v>
      </c>
      <c r="Z32">
        <v>9</v>
      </c>
      <c r="AA32">
        <v>1</v>
      </c>
      <c r="AB32" t="s">
        <v>338</v>
      </c>
      <c r="AC32" t="s">
        <v>338</v>
      </c>
      <c r="AD32" t="s">
        <v>339</v>
      </c>
      <c r="AE32">
        <v>9000</v>
      </c>
    </row>
    <row r="33" spans="9:31" x14ac:dyDescent="0.25">
      <c r="I33">
        <v>27</v>
      </c>
      <c r="J33" t="s">
        <v>255</v>
      </c>
      <c r="K33" t="s">
        <v>48</v>
      </c>
      <c r="L33" t="s">
        <v>48</v>
      </c>
      <c r="M33" t="s">
        <v>48</v>
      </c>
      <c r="N33" t="s">
        <v>145</v>
      </c>
      <c r="O33" t="s">
        <v>58</v>
      </c>
      <c r="P33">
        <v>3</v>
      </c>
      <c r="S33">
        <v>22</v>
      </c>
      <c r="T33">
        <v>15</v>
      </c>
      <c r="U33" t="s">
        <v>244</v>
      </c>
      <c r="X33">
        <v>202</v>
      </c>
      <c r="Y33">
        <v>20</v>
      </c>
      <c r="Z33">
        <v>9</v>
      </c>
      <c r="AA33">
        <v>2</v>
      </c>
      <c r="AB33" t="s">
        <v>338</v>
      </c>
      <c r="AC33" t="s">
        <v>338</v>
      </c>
      <c r="AD33" t="s">
        <v>339</v>
      </c>
      <c r="AE33">
        <v>9000</v>
      </c>
    </row>
    <row r="34" spans="9:31" x14ac:dyDescent="0.25">
      <c r="I34">
        <v>28</v>
      </c>
      <c r="J34" t="s">
        <v>256</v>
      </c>
      <c r="K34" t="s">
        <v>48</v>
      </c>
      <c r="L34" t="s">
        <v>48</v>
      </c>
      <c r="M34" t="s">
        <v>48</v>
      </c>
      <c r="N34" t="s">
        <v>145</v>
      </c>
      <c r="O34" t="s">
        <v>58</v>
      </c>
      <c r="P34">
        <v>2</v>
      </c>
      <c r="S34">
        <v>23</v>
      </c>
      <c r="T34">
        <v>16</v>
      </c>
      <c r="U34" t="s">
        <v>245</v>
      </c>
      <c r="X34">
        <v>203</v>
      </c>
      <c r="Y34">
        <v>20</v>
      </c>
      <c r="Z34">
        <v>9</v>
      </c>
      <c r="AA34">
        <v>3</v>
      </c>
      <c r="AB34" t="s">
        <v>338</v>
      </c>
      <c r="AC34" t="s">
        <v>338</v>
      </c>
      <c r="AD34" t="s">
        <v>339</v>
      </c>
      <c r="AE34">
        <v>9000</v>
      </c>
    </row>
    <row r="35" spans="9:31" x14ac:dyDescent="0.25">
      <c r="I35">
        <v>30</v>
      </c>
      <c r="J35" t="s">
        <v>257</v>
      </c>
      <c r="K35" t="s">
        <v>48</v>
      </c>
      <c r="L35" t="s">
        <v>48</v>
      </c>
      <c r="M35" t="s">
        <v>48</v>
      </c>
      <c r="N35" t="s">
        <v>145</v>
      </c>
      <c r="O35" t="s">
        <v>58</v>
      </c>
      <c r="P35">
        <v>2</v>
      </c>
      <c r="S35">
        <v>24</v>
      </c>
      <c r="T35">
        <v>20</v>
      </c>
      <c r="U35" t="s">
        <v>248</v>
      </c>
      <c r="X35">
        <v>204</v>
      </c>
      <c r="Y35">
        <v>20</v>
      </c>
      <c r="Z35">
        <v>9</v>
      </c>
      <c r="AA35">
        <v>4</v>
      </c>
      <c r="AB35" t="s">
        <v>338</v>
      </c>
      <c r="AC35" t="s">
        <v>338</v>
      </c>
      <c r="AD35" t="s">
        <v>339</v>
      </c>
      <c r="AE35">
        <v>9000</v>
      </c>
    </row>
    <row r="36" spans="9:31" x14ac:dyDescent="0.25">
      <c r="I36">
        <v>31</v>
      </c>
      <c r="J36" t="s">
        <v>258</v>
      </c>
      <c r="K36" t="s">
        <v>48</v>
      </c>
      <c r="L36" t="s">
        <v>48</v>
      </c>
      <c r="M36" t="s">
        <v>48</v>
      </c>
      <c r="N36" t="s">
        <v>145</v>
      </c>
      <c r="O36" t="s">
        <v>58</v>
      </c>
      <c r="P36">
        <v>2</v>
      </c>
      <c r="S36">
        <v>25</v>
      </c>
      <c r="T36">
        <v>21</v>
      </c>
      <c r="U36" t="s">
        <v>249</v>
      </c>
      <c r="X36">
        <v>205</v>
      </c>
      <c r="Y36">
        <v>20</v>
      </c>
      <c r="Z36">
        <v>9</v>
      </c>
      <c r="AA36">
        <v>5</v>
      </c>
      <c r="AB36" t="s">
        <v>338</v>
      </c>
      <c r="AC36" t="s">
        <v>338</v>
      </c>
      <c r="AD36" t="s">
        <v>339</v>
      </c>
      <c r="AE36">
        <v>9000</v>
      </c>
    </row>
    <row r="37" spans="9:31" x14ac:dyDescent="0.25">
      <c r="I37">
        <v>32</v>
      </c>
      <c r="J37" t="s">
        <v>259</v>
      </c>
      <c r="K37" t="s">
        <v>48</v>
      </c>
      <c r="L37" t="s">
        <v>48</v>
      </c>
      <c r="M37" t="s">
        <v>48</v>
      </c>
      <c r="N37" t="s">
        <v>145</v>
      </c>
      <c r="O37" t="s">
        <v>58</v>
      </c>
      <c r="P37">
        <v>2</v>
      </c>
      <c r="S37">
        <v>26</v>
      </c>
      <c r="T37">
        <v>22</v>
      </c>
      <c r="U37" t="s">
        <v>250</v>
      </c>
      <c r="X37">
        <v>206</v>
      </c>
      <c r="Y37">
        <v>20</v>
      </c>
      <c r="Z37">
        <v>9</v>
      </c>
      <c r="AA37">
        <v>6</v>
      </c>
      <c r="AB37" t="s">
        <v>338</v>
      </c>
      <c r="AC37" t="s">
        <v>338</v>
      </c>
      <c r="AD37" t="s">
        <v>339</v>
      </c>
      <c r="AE37">
        <v>9000</v>
      </c>
    </row>
    <row r="38" spans="9:31" x14ac:dyDescent="0.25">
      <c r="I38">
        <v>33</v>
      </c>
      <c r="J38" t="s">
        <v>260</v>
      </c>
      <c r="K38" t="s">
        <v>48</v>
      </c>
      <c r="L38" t="s">
        <v>48</v>
      </c>
      <c r="M38" t="s">
        <v>48</v>
      </c>
      <c r="N38" t="s">
        <v>145</v>
      </c>
      <c r="O38" t="s">
        <v>58</v>
      </c>
      <c r="P38">
        <v>2</v>
      </c>
      <c r="S38">
        <v>27</v>
      </c>
      <c r="T38">
        <v>23</v>
      </c>
      <c r="U38" t="s">
        <v>251</v>
      </c>
      <c r="X38">
        <v>207</v>
      </c>
      <c r="Y38">
        <v>20</v>
      </c>
      <c r="Z38">
        <v>9</v>
      </c>
      <c r="AA38">
        <v>17</v>
      </c>
      <c r="AB38" t="s">
        <v>338</v>
      </c>
      <c r="AC38" t="s">
        <v>338</v>
      </c>
      <c r="AD38" t="s">
        <v>339</v>
      </c>
      <c r="AE38">
        <v>9000</v>
      </c>
    </row>
    <row r="39" spans="9:31" x14ac:dyDescent="0.25">
      <c r="I39">
        <v>34</v>
      </c>
      <c r="J39" t="s">
        <v>261</v>
      </c>
      <c r="K39" t="s">
        <v>48</v>
      </c>
      <c r="L39" t="s">
        <v>48</v>
      </c>
      <c r="M39" t="s">
        <v>48</v>
      </c>
      <c r="N39" t="s">
        <v>145</v>
      </c>
      <c r="O39" t="s">
        <v>58</v>
      </c>
      <c r="P39">
        <v>4</v>
      </c>
      <c r="S39">
        <v>28</v>
      </c>
      <c r="T39">
        <v>24</v>
      </c>
      <c r="U39" t="s">
        <v>252</v>
      </c>
      <c r="X39">
        <v>208</v>
      </c>
      <c r="Y39">
        <v>20</v>
      </c>
      <c r="Z39">
        <v>9</v>
      </c>
      <c r="AA39">
        <v>18</v>
      </c>
      <c r="AB39" t="s">
        <v>338</v>
      </c>
      <c r="AC39" t="s">
        <v>338</v>
      </c>
      <c r="AD39" t="s">
        <v>339</v>
      </c>
      <c r="AE39">
        <v>9000</v>
      </c>
    </row>
    <row r="40" spans="9:31" x14ac:dyDescent="0.25">
      <c r="I40">
        <v>35</v>
      </c>
      <c r="J40" t="s">
        <v>262</v>
      </c>
      <c r="K40" t="s">
        <v>48</v>
      </c>
      <c r="L40" t="s">
        <v>48</v>
      </c>
      <c r="M40" t="s">
        <v>48</v>
      </c>
      <c r="N40" t="s">
        <v>145</v>
      </c>
      <c r="O40" t="s">
        <v>58</v>
      </c>
      <c r="P40">
        <v>4</v>
      </c>
      <c r="S40">
        <v>29</v>
      </c>
      <c r="T40">
        <v>25</v>
      </c>
      <c r="U40" t="s">
        <v>253</v>
      </c>
      <c r="X40">
        <v>209</v>
      </c>
      <c r="Y40">
        <v>20</v>
      </c>
      <c r="Z40">
        <v>9</v>
      </c>
      <c r="AA40">
        <v>19</v>
      </c>
      <c r="AB40" t="s">
        <v>338</v>
      </c>
      <c r="AC40" t="s">
        <v>338</v>
      </c>
      <c r="AD40" t="s">
        <v>339</v>
      </c>
      <c r="AE40">
        <v>9000</v>
      </c>
    </row>
    <row r="41" spans="9:31" x14ac:dyDescent="0.25">
      <c r="I41">
        <v>36</v>
      </c>
      <c r="J41" t="s">
        <v>263</v>
      </c>
      <c r="K41" t="s">
        <v>48</v>
      </c>
      <c r="L41" t="s">
        <v>48</v>
      </c>
      <c r="M41" t="s">
        <v>48</v>
      </c>
      <c r="N41" t="s">
        <v>145</v>
      </c>
      <c r="O41" t="s">
        <v>58</v>
      </c>
      <c r="P41">
        <v>4</v>
      </c>
      <c r="S41">
        <v>30</v>
      </c>
      <c r="T41">
        <v>26</v>
      </c>
      <c r="U41" t="s">
        <v>254</v>
      </c>
      <c r="X41">
        <v>210</v>
      </c>
      <c r="Y41">
        <v>20</v>
      </c>
      <c r="Z41">
        <v>9</v>
      </c>
      <c r="AA41">
        <v>20</v>
      </c>
      <c r="AB41" t="s">
        <v>338</v>
      </c>
      <c r="AC41" t="s">
        <v>338</v>
      </c>
      <c r="AD41" t="s">
        <v>339</v>
      </c>
      <c r="AE41">
        <v>9000</v>
      </c>
    </row>
    <row r="42" spans="9:31" x14ac:dyDescent="0.25">
      <c r="I42">
        <v>37</v>
      </c>
      <c r="J42" t="s">
        <v>264</v>
      </c>
      <c r="K42" t="s">
        <v>48</v>
      </c>
      <c r="L42" t="s">
        <v>48</v>
      </c>
      <c r="M42" t="s">
        <v>48</v>
      </c>
      <c r="N42" t="s">
        <v>145</v>
      </c>
      <c r="O42" t="s">
        <v>58</v>
      </c>
      <c r="P42">
        <v>4</v>
      </c>
      <c r="S42">
        <v>31</v>
      </c>
      <c r="T42">
        <v>27</v>
      </c>
      <c r="U42" t="s">
        <v>255</v>
      </c>
      <c r="X42">
        <v>211</v>
      </c>
      <c r="Y42">
        <v>20</v>
      </c>
      <c r="Z42">
        <v>8</v>
      </c>
      <c r="AA42">
        <v>1</v>
      </c>
      <c r="AB42" t="s">
        <v>338</v>
      </c>
      <c r="AC42" t="s">
        <v>338</v>
      </c>
      <c r="AD42" t="s">
        <v>339</v>
      </c>
      <c r="AE42">
        <v>9000</v>
      </c>
    </row>
    <row r="43" spans="9:31" x14ac:dyDescent="0.25">
      <c r="I43">
        <v>38</v>
      </c>
      <c r="J43" t="s">
        <v>265</v>
      </c>
      <c r="K43" t="s">
        <v>48</v>
      </c>
      <c r="L43" t="s">
        <v>48</v>
      </c>
      <c r="M43" t="s">
        <v>48</v>
      </c>
      <c r="N43" t="s">
        <v>145</v>
      </c>
      <c r="O43" t="s">
        <v>58</v>
      </c>
      <c r="P43">
        <v>4</v>
      </c>
      <c r="S43">
        <v>32</v>
      </c>
      <c r="T43">
        <v>30</v>
      </c>
      <c r="U43" t="s">
        <v>257</v>
      </c>
      <c r="X43">
        <v>212</v>
      </c>
      <c r="Y43">
        <v>20</v>
      </c>
      <c r="Z43">
        <v>8</v>
      </c>
      <c r="AA43">
        <v>2</v>
      </c>
      <c r="AB43" t="s">
        <v>338</v>
      </c>
      <c r="AC43" t="s">
        <v>338</v>
      </c>
      <c r="AD43" t="s">
        <v>339</v>
      </c>
      <c r="AE43">
        <v>9000</v>
      </c>
    </row>
    <row r="44" spans="9:31" x14ac:dyDescent="0.25">
      <c r="I44">
        <v>39</v>
      </c>
      <c r="J44" t="s">
        <v>266</v>
      </c>
      <c r="K44" t="s">
        <v>48</v>
      </c>
      <c r="L44" t="s">
        <v>48</v>
      </c>
      <c r="M44" t="s">
        <v>48</v>
      </c>
      <c r="N44" t="s">
        <v>145</v>
      </c>
      <c r="O44" t="s">
        <v>58</v>
      </c>
      <c r="P44">
        <v>4</v>
      </c>
      <c r="S44">
        <v>33</v>
      </c>
      <c r="T44">
        <v>31</v>
      </c>
      <c r="U44" t="s">
        <v>258</v>
      </c>
      <c r="X44">
        <v>213</v>
      </c>
      <c r="Y44">
        <v>20</v>
      </c>
      <c r="Z44">
        <v>8</v>
      </c>
      <c r="AA44">
        <v>3</v>
      </c>
      <c r="AB44" t="s">
        <v>338</v>
      </c>
      <c r="AC44" t="s">
        <v>338</v>
      </c>
      <c r="AD44" t="s">
        <v>339</v>
      </c>
      <c r="AE44">
        <v>9000</v>
      </c>
    </row>
    <row r="45" spans="9:31" x14ac:dyDescent="0.25">
      <c r="I45">
        <v>1</v>
      </c>
      <c r="J45" t="s">
        <v>267</v>
      </c>
      <c r="K45" t="s">
        <v>268</v>
      </c>
      <c r="L45" t="s">
        <v>48</v>
      </c>
      <c r="M45" t="s">
        <v>48</v>
      </c>
      <c r="N45" t="s">
        <v>145</v>
      </c>
      <c r="O45" t="s">
        <v>58</v>
      </c>
      <c r="P45">
        <v>3</v>
      </c>
      <c r="Q45">
        <v>1</v>
      </c>
      <c r="S45">
        <v>34</v>
      </c>
      <c r="T45">
        <v>32</v>
      </c>
      <c r="U45" t="s">
        <v>259</v>
      </c>
      <c r="X45">
        <v>214</v>
      </c>
      <c r="Y45">
        <v>20</v>
      </c>
      <c r="Z45">
        <v>8</v>
      </c>
      <c r="AA45">
        <v>4</v>
      </c>
      <c r="AB45" t="s">
        <v>338</v>
      </c>
      <c r="AC45" t="s">
        <v>338</v>
      </c>
      <c r="AD45" t="s">
        <v>339</v>
      </c>
      <c r="AE45">
        <v>9000</v>
      </c>
    </row>
    <row r="46" spans="9:31" x14ac:dyDescent="0.25">
      <c r="I46">
        <v>2</v>
      </c>
      <c r="J46" t="s">
        <v>269</v>
      </c>
      <c r="K46" t="s">
        <v>269</v>
      </c>
      <c r="L46" t="s">
        <v>48</v>
      </c>
      <c r="M46" t="s">
        <v>48</v>
      </c>
      <c r="N46" t="s">
        <v>145</v>
      </c>
      <c r="O46" t="s">
        <v>58</v>
      </c>
      <c r="P46">
        <v>3</v>
      </c>
      <c r="Q46">
        <v>1</v>
      </c>
      <c r="S46">
        <v>35</v>
      </c>
      <c r="T46">
        <v>33</v>
      </c>
      <c r="U46" t="s">
        <v>260</v>
      </c>
      <c r="X46">
        <v>215</v>
      </c>
      <c r="Y46">
        <v>20</v>
      </c>
      <c r="Z46">
        <v>8</v>
      </c>
      <c r="AA46">
        <v>5</v>
      </c>
      <c r="AB46" t="s">
        <v>338</v>
      </c>
      <c r="AC46" t="s">
        <v>338</v>
      </c>
      <c r="AD46" t="s">
        <v>339</v>
      </c>
      <c r="AE46">
        <v>9000</v>
      </c>
    </row>
    <row r="47" spans="9:31" x14ac:dyDescent="0.25">
      <c r="I47">
        <v>3</v>
      </c>
      <c r="J47" t="s">
        <v>270</v>
      </c>
      <c r="K47" t="s">
        <v>48</v>
      </c>
      <c r="L47" t="s">
        <v>48</v>
      </c>
      <c r="M47" t="s">
        <v>48</v>
      </c>
      <c r="N47" t="s">
        <v>145</v>
      </c>
      <c r="O47" t="s">
        <v>58</v>
      </c>
      <c r="P47">
        <v>3</v>
      </c>
      <c r="Q47">
        <v>1</v>
      </c>
      <c r="S47">
        <v>36</v>
      </c>
      <c r="T47">
        <v>34</v>
      </c>
      <c r="U47" t="s">
        <v>261</v>
      </c>
      <c r="X47">
        <v>216</v>
      </c>
      <c r="Y47">
        <v>20</v>
      </c>
      <c r="Z47">
        <v>8</v>
      </c>
      <c r="AA47">
        <v>6</v>
      </c>
      <c r="AB47" t="s">
        <v>338</v>
      </c>
      <c r="AC47" t="s">
        <v>338</v>
      </c>
      <c r="AD47" t="s">
        <v>339</v>
      </c>
      <c r="AE47">
        <v>9000</v>
      </c>
    </row>
    <row r="48" spans="9:31" x14ac:dyDescent="0.25">
      <c r="I48">
        <v>4</v>
      </c>
      <c r="J48" t="s">
        <v>271</v>
      </c>
      <c r="K48" t="s">
        <v>48</v>
      </c>
      <c r="L48" t="s">
        <v>48</v>
      </c>
      <c r="M48" t="s">
        <v>48</v>
      </c>
      <c r="N48" t="s">
        <v>145</v>
      </c>
      <c r="O48" t="s">
        <v>58</v>
      </c>
      <c r="P48">
        <v>3</v>
      </c>
      <c r="Q48">
        <v>1</v>
      </c>
      <c r="S48">
        <v>37</v>
      </c>
      <c r="T48">
        <v>35</v>
      </c>
      <c r="U48" t="s">
        <v>262</v>
      </c>
      <c r="X48">
        <v>217</v>
      </c>
      <c r="Y48">
        <v>20</v>
      </c>
      <c r="Z48">
        <v>8</v>
      </c>
      <c r="AA48">
        <v>17</v>
      </c>
      <c r="AB48" t="s">
        <v>338</v>
      </c>
      <c r="AC48" t="s">
        <v>338</v>
      </c>
      <c r="AD48" t="s">
        <v>339</v>
      </c>
      <c r="AE48">
        <v>9000</v>
      </c>
    </row>
    <row r="49" spans="6:31" x14ac:dyDescent="0.25">
      <c r="I49">
        <v>5</v>
      </c>
      <c r="J49" t="s">
        <v>272</v>
      </c>
      <c r="K49" t="s">
        <v>48</v>
      </c>
      <c r="L49" t="s">
        <v>48</v>
      </c>
      <c r="M49" t="s">
        <v>48</v>
      </c>
      <c r="N49" t="s">
        <v>145</v>
      </c>
      <c r="O49" t="s">
        <v>58</v>
      </c>
      <c r="P49">
        <v>3</v>
      </c>
      <c r="Q49">
        <v>1</v>
      </c>
      <c r="S49">
        <v>38</v>
      </c>
      <c r="T49">
        <v>36</v>
      </c>
      <c r="U49" t="s">
        <v>263</v>
      </c>
      <c r="X49">
        <v>218</v>
      </c>
      <c r="Y49">
        <v>20</v>
      </c>
      <c r="Z49">
        <v>8</v>
      </c>
      <c r="AA49">
        <v>18</v>
      </c>
      <c r="AB49" t="s">
        <v>338</v>
      </c>
      <c r="AC49" t="s">
        <v>338</v>
      </c>
      <c r="AD49" t="s">
        <v>339</v>
      </c>
      <c r="AE49">
        <v>9000</v>
      </c>
    </row>
    <row r="50" spans="6:31" x14ac:dyDescent="0.25">
      <c r="I50">
        <v>6</v>
      </c>
      <c r="J50" t="s">
        <v>273</v>
      </c>
      <c r="K50" t="s">
        <v>274</v>
      </c>
      <c r="L50" t="s">
        <v>48</v>
      </c>
      <c r="M50" t="s">
        <v>48</v>
      </c>
      <c r="N50" t="s">
        <v>145</v>
      </c>
      <c r="O50" t="s">
        <v>58</v>
      </c>
      <c r="P50">
        <v>3</v>
      </c>
      <c r="Q50">
        <v>1</v>
      </c>
      <c r="S50">
        <v>39</v>
      </c>
      <c r="T50">
        <v>37</v>
      </c>
      <c r="U50" t="s">
        <v>264</v>
      </c>
      <c r="X50">
        <v>219</v>
      </c>
      <c r="Y50">
        <v>20</v>
      </c>
      <c r="Z50">
        <v>8</v>
      </c>
      <c r="AA50">
        <v>19</v>
      </c>
      <c r="AB50" t="s">
        <v>338</v>
      </c>
      <c r="AC50" t="s">
        <v>338</v>
      </c>
      <c r="AD50" t="s">
        <v>339</v>
      </c>
      <c r="AE50">
        <v>9000</v>
      </c>
    </row>
    <row r="51" spans="6:31" x14ac:dyDescent="0.25">
      <c r="I51">
        <v>8</v>
      </c>
      <c r="J51" t="s">
        <v>134</v>
      </c>
      <c r="K51" t="s">
        <v>48</v>
      </c>
      <c r="L51" t="s">
        <v>48</v>
      </c>
      <c r="M51" t="s">
        <v>48</v>
      </c>
      <c r="N51" t="s">
        <v>145</v>
      </c>
      <c r="O51" t="s">
        <v>58</v>
      </c>
      <c r="P51">
        <v>3</v>
      </c>
      <c r="Q51">
        <v>1</v>
      </c>
      <c r="S51">
        <v>40</v>
      </c>
      <c r="T51">
        <v>38</v>
      </c>
      <c r="U51" t="s">
        <v>265</v>
      </c>
      <c r="X51">
        <v>220</v>
      </c>
      <c r="Y51">
        <v>20</v>
      </c>
      <c r="Z51">
        <v>8</v>
      </c>
      <c r="AA51">
        <v>20</v>
      </c>
      <c r="AB51" t="s">
        <v>338</v>
      </c>
      <c r="AC51" t="s">
        <v>338</v>
      </c>
      <c r="AD51" t="s">
        <v>339</v>
      </c>
      <c r="AE51">
        <v>9000</v>
      </c>
    </row>
    <row r="52" spans="6:31" x14ac:dyDescent="0.25">
      <c r="I52">
        <v>9</v>
      </c>
      <c r="J52" t="s">
        <v>270</v>
      </c>
      <c r="K52" t="s">
        <v>275</v>
      </c>
      <c r="L52" t="s">
        <v>48</v>
      </c>
      <c r="M52" t="s">
        <v>48</v>
      </c>
      <c r="N52" t="s">
        <v>145</v>
      </c>
      <c r="O52" t="s">
        <v>58</v>
      </c>
      <c r="P52">
        <v>3</v>
      </c>
      <c r="Q52">
        <v>1</v>
      </c>
      <c r="S52">
        <v>41</v>
      </c>
      <c r="T52">
        <v>39</v>
      </c>
      <c r="U52" t="s">
        <v>266</v>
      </c>
      <c r="X52">
        <v>221</v>
      </c>
      <c r="Y52">
        <v>20</v>
      </c>
      <c r="Z52">
        <v>6</v>
      </c>
      <c r="AA52">
        <v>1</v>
      </c>
      <c r="AB52" t="s">
        <v>338</v>
      </c>
      <c r="AC52" t="s">
        <v>338</v>
      </c>
      <c r="AD52" t="s">
        <v>339</v>
      </c>
      <c r="AE52">
        <v>9000</v>
      </c>
    </row>
    <row r="53" spans="6:31" x14ac:dyDescent="0.25">
      <c r="S53">
        <v>42</v>
      </c>
      <c r="T53">
        <v>40</v>
      </c>
      <c r="U53" t="s">
        <v>232</v>
      </c>
      <c r="X53">
        <v>222</v>
      </c>
      <c r="Y53">
        <v>20</v>
      </c>
      <c r="Z53">
        <v>6</v>
      </c>
      <c r="AA53">
        <v>2</v>
      </c>
      <c r="AB53" t="s">
        <v>338</v>
      </c>
      <c r="AC53" t="s">
        <v>338</v>
      </c>
      <c r="AD53" t="s">
        <v>339</v>
      </c>
      <c r="AE53">
        <v>9000</v>
      </c>
    </row>
    <row r="54" spans="6:31" x14ac:dyDescent="0.25">
      <c r="S54">
        <v>43</v>
      </c>
      <c r="T54">
        <v>41</v>
      </c>
      <c r="U54" t="s">
        <v>233</v>
      </c>
      <c r="X54">
        <v>223</v>
      </c>
      <c r="Y54">
        <v>20</v>
      </c>
      <c r="Z54">
        <v>6</v>
      </c>
      <c r="AA54">
        <v>3</v>
      </c>
      <c r="AB54" t="s">
        <v>338</v>
      </c>
      <c r="AC54" t="s">
        <v>338</v>
      </c>
      <c r="AD54" t="s">
        <v>339</v>
      </c>
      <c r="AE54">
        <v>9000</v>
      </c>
    </row>
    <row r="55" spans="6:31" x14ac:dyDescent="0.25">
      <c r="S55">
        <v>44</v>
      </c>
      <c r="T55">
        <v>42</v>
      </c>
      <c r="U55" t="s">
        <v>234</v>
      </c>
      <c r="X55">
        <v>224</v>
      </c>
      <c r="Y55">
        <v>20</v>
      </c>
      <c r="Z55">
        <v>6</v>
      </c>
      <c r="AA55">
        <v>4</v>
      </c>
      <c r="AB55" t="s">
        <v>338</v>
      </c>
      <c r="AC55" t="s">
        <v>338</v>
      </c>
      <c r="AD55" t="s">
        <v>339</v>
      </c>
      <c r="AE55">
        <v>9000</v>
      </c>
    </row>
    <row r="56" spans="6:31" x14ac:dyDescent="0.25">
      <c r="S56">
        <v>45</v>
      </c>
      <c r="T56">
        <v>43</v>
      </c>
      <c r="U56" t="s">
        <v>235</v>
      </c>
      <c r="X56">
        <v>225</v>
      </c>
      <c r="Y56">
        <v>20</v>
      </c>
      <c r="Z56">
        <v>6</v>
      </c>
      <c r="AA56">
        <v>5</v>
      </c>
      <c r="AB56" t="s">
        <v>338</v>
      </c>
      <c r="AC56" t="s">
        <v>338</v>
      </c>
      <c r="AD56" t="s">
        <v>339</v>
      </c>
      <c r="AE56">
        <v>9000</v>
      </c>
    </row>
    <row r="57" spans="6:31" x14ac:dyDescent="0.25">
      <c r="S57">
        <v>46</v>
      </c>
      <c r="T57">
        <v>44</v>
      </c>
      <c r="U57" t="s">
        <v>236</v>
      </c>
      <c r="X57">
        <v>226</v>
      </c>
      <c r="Y57">
        <v>20</v>
      </c>
      <c r="Z57">
        <v>6</v>
      </c>
      <c r="AA57">
        <v>6</v>
      </c>
      <c r="AB57" t="s">
        <v>338</v>
      </c>
      <c r="AC57" t="s">
        <v>338</v>
      </c>
      <c r="AD57" t="s">
        <v>339</v>
      </c>
      <c r="AE57">
        <v>9000</v>
      </c>
    </row>
    <row r="58" spans="6:31" x14ac:dyDescent="0.25">
      <c r="S58">
        <v>47</v>
      </c>
      <c r="T58">
        <v>45</v>
      </c>
      <c r="U58" t="s">
        <v>237</v>
      </c>
      <c r="X58">
        <v>227</v>
      </c>
      <c r="Y58">
        <v>20</v>
      </c>
      <c r="Z58">
        <v>6</v>
      </c>
      <c r="AA58">
        <v>17</v>
      </c>
      <c r="AB58" t="s">
        <v>338</v>
      </c>
      <c r="AC58" t="s">
        <v>338</v>
      </c>
      <c r="AD58" t="s">
        <v>339</v>
      </c>
      <c r="AE58">
        <v>9000</v>
      </c>
    </row>
    <row r="59" spans="6:31" x14ac:dyDescent="0.25">
      <c r="S59">
        <v>48</v>
      </c>
      <c r="T59">
        <v>46</v>
      </c>
      <c r="U59" t="s">
        <v>238</v>
      </c>
      <c r="X59">
        <v>228</v>
      </c>
      <c r="Y59">
        <v>20</v>
      </c>
      <c r="Z59">
        <v>6</v>
      </c>
      <c r="AA59">
        <v>18</v>
      </c>
      <c r="AB59" t="s">
        <v>338</v>
      </c>
      <c r="AC59" t="s">
        <v>338</v>
      </c>
      <c r="AD59" t="s">
        <v>339</v>
      </c>
      <c r="AE59">
        <v>9000</v>
      </c>
    </row>
    <row r="60" spans="6:31" x14ac:dyDescent="0.25">
      <c r="S60">
        <v>49</v>
      </c>
      <c r="T60">
        <v>49</v>
      </c>
      <c r="U60" t="s">
        <v>240</v>
      </c>
      <c r="X60">
        <v>229</v>
      </c>
      <c r="Y60">
        <v>20</v>
      </c>
      <c r="Z60">
        <v>6</v>
      </c>
      <c r="AA60">
        <v>19</v>
      </c>
      <c r="AB60" t="s">
        <v>338</v>
      </c>
      <c r="AC60" t="s">
        <v>338</v>
      </c>
      <c r="AD60" t="s">
        <v>339</v>
      </c>
      <c r="AE60">
        <v>9000</v>
      </c>
    </row>
    <row r="61" spans="6:31" x14ac:dyDescent="0.25">
      <c r="G61" s="42"/>
      <c r="H61" s="43"/>
      <c r="X61">
        <v>230</v>
      </c>
      <c r="Y61">
        <v>20</v>
      </c>
      <c r="Z61">
        <v>6</v>
      </c>
      <c r="AA61">
        <v>20</v>
      </c>
      <c r="AB61" t="s">
        <v>338</v>
      </c>
      <c r="AC61" t="s">
        <v>338</v>
      </c>
      <c r="AD61" t="s">
        <v>339</v>
      </c>
      <c r="AE61">
        <v>9000</v>
      </c>
    </row>
    <row r="62" spans="6:31" x14ac:dyDescent="0.25">
      <c r="G62" s="42"/>
      <c r="H62" s="43"/>
      <c r="X62">
        <v>231</v>
      </c>
      <c r="Y62">
        <v>20</v>
      </c>
      <c r="Z62">
        <v>5</v>
      </c>
      <c r="AA62">
        <v>1</v>
      </c>
      <c r="AB62" t="s">
        <v>338</v>
      </c>
      <c r="AC62" t="s">
        <v>338</v>
      </c>
      <c r="AD62" t="s">
        <v>339</v>
      </c>
      <c r="AE62">
        <v>9000</v>
      </c>
    </row>
    <row r="63" spans="6:31" x14ac:dyDescent="0.25">
      <c r="F63" s="42"/>
      <c r="G63" s="42"/>
      <c r="H63" s="43"/>
      <c r="X63">
        <v>232</v>
      </c>
      <c r="Y63">
        <v>20</v>
      </c>
      <c r="Z63">
        <v>5</v>
      </c>
      <c r="AA63">
        <v>2</v>
      </c>
      <c r="AB63" t="s">
        <v>338</v>
      </c>
      <c r="AC63" t="s">
        <v>338</v>
      </c>
      <c r="AD63" t="s">
        <v>339</v>
      </c>
      <c r="AE63">
        <v>9000</v>
      </c>
    </row>
    <row r="64" spans="6:31" x14ac:dyDescent="0.25">
      <c r="F64" s="42"/>
      <c r="G64" s="42"/>
      <c r="H64" s="43"/>
      <c r="X64">
        <v>233</v>
      </c>
      <c r="Y64">
        <v>20</v>
      </c>
      <c r="Z64">
        <v>5</v>
      </c>
      <c r="AA64">
        <v>3</v>
      </c>
      <c r="AB64" t="s">
        <v>338</v>
      </c>
      <c r="AC64" t="s">
        <v>338</v>
      </c>
      <c r="AD64" t="s">
        <v>339</v>
      </c>
      <c r="AE64">
        <v>9000</v>
      </c>
    </row>
    <row r="65" spans="6:31" x14ac:dyDescent="0.25">
      <c r="F65" s="42"/>
      <c r="G65" s="42"/>
      <c r="H65" s="43"/>
      <c r="X65">
        <v>234</v>
      </c>
      <c r="Y65">
        <v>20</v>
      </c>
      <c r="Z65">
        <v>5</v>
      </c>
      <c r="AA65">
        <v>4</v>
      </c>
      <c r="AB65" t="s">
        <v>338</v>
      </c>
      <c r="AC65" t="s">
        <v>338</v>
      </c>
      <c r="AD65" t="s">
        <v>339</v>
      </c>
      <c r="AE65">
        <v>9000</v>
      </c>
    </row>
    <row r="66" spans="6:31" x14ac:dyDescent="0.25">
      <c r="F66" s="42"/>
      <c r="G66" s="42"/>
      <c r="H66" s="43"/>
      <c r="X66">
        <v>235</v>
      </c>
      <c r="Y66">
        <v>20</v>
      </c>
      <c r="Z66">
        <v>5</v>
      </c>
      <c r="AA66">
        <v>5</v>
      </c>
      <c r="AB66" t="s">
        <v>338</v>
      </c>
      <c r="AC66" t="s">
        <v>338</v>
      </c>
      <c r="AD66" t="s">
        <v>339</v>
      </c>
      <c r="AE66">
        <v>9000</v>
      </c>
    </row>
    <row r="67" spans="6:31" x14ac:dyDescent="0.25">
      <c r="G67" s="42"/>
      <c r="H67" s="43"/>
      <c r="X67">
        <v>236</v>
      </c>
      <c r="Y67">
        <v>20</v>
      </c>
      <c r="Z67">
        <v>5</v>
      </c>
      <c r="AA67">
        <v>6</v>
      </c>
      <c r="AB67" t="s">
        <v>338</v>
      </c>
      <c r="AC67" t="s">
        <v>338</v>
      </c>
      <c r="AD67" t="s">
        <v>339</v>
      </c>
      <c r="AE67">
        <v>9000</v>
      </c>
    </row>
    <row r="68" spans="6:31" x14ac:dyDescent="0.25">
      <c r="G68" s="42"/>
      <c r="H68" s="43"/>
      <c r="X68">
        <v>237</v>
      </c>
      <c r="Y68">
        <v>20</v>
      </c>
      <c r="Z68">
        <v>5</v>
      </c>
      <c r="AA68">
        <v>17</v>
      </c>
      <c r="AB68" t="s">
        <v>338</v>
      </c>
      <c r="AC68" t="s">
        <v>338</v>
      </c>
      <c r="AD68" t="s">
        <v>339</v>
      </c>
      <c r="AE68">
        <v>9000</v>
      </c>
    </row>
    <row r="69" spans="6:31" x14ac:dyDescent="0.25">
      <c r="G69" s="42"/>
      <c r="H69" s="43"/>
      <c r="X69">
        <v>238</v>
      </c>
      <c r="Y69">
        <v>20</v>
      </c>
      <c r="Z69">
        <v>5</v>
      </c>
      <c r="AA69">
        <v>18</v>
      </c>
      <c r="AB69" t="s">
        <v>338</v>
      </c>
      <c r="AC69" t="s">
        <v>338</v>
      </c>
      <c r="AD69" t="s">
        <v>339</v>
      </c>
      <c r="AE69">
        <v>9000</v>
      </c>
    </row>
    <row r="70" spans="6:31" x14ac:dyDescent="0.25">
      <c r="G70" s="42"/>
      <c r="H70" s="43"/>
      <c r="X70">
        <v>239</v>
      </c>
      <c r="Y70">
        <v>20</v>
      </c>
      <c r="Z70">
        <v>5</v>
      </c>
      <c r="AA70">
        <v>19</v>
      </c>
      <c r="AB70" t="s">
        <v>338</v>
      </c>
      <c r="AC70" t="s">
        <v>338</v>
      </c>
      <c r="AD70" t="s">
        <v>339</v>
      </c>
      <c r="AE70">
        <v>9000</v>
      </c>
    </row>
    <row r="71" spans="6:31" x14ac:dyDescent="0.25">
      <c r="G71" s="42"/>
      <c r="H71" s="43"/>
      <c r="X71">
        <v>240</v>
      </c>
      <c r="Y71">
        <v>20</v>
      </c>
      <c r="Z71">
        <v>5</v>
      </c>
      <c r="AA71">
        <v>20</v>
      </c>
      <c r="AB71" t="s">
        <v>338</v>
      </c>
      <c r="AC71" t="s">
        <v>338</v>
      </c>
      <c r="AD71" t="s">
        <v>339</v>
      </c>
      <c r="AE71">
        <v>9000</v>
      </c>
    </row>
    <row r="72" spans="6:31" x14ac:dyDescent="0.25">
      <c r="G72" s="42"/>
      <c r="H72" s="43"/>
      <c r="X72">
        <v>241</v>
      </c>
      <c r="Y72">
        <v>20</v>
      </c>
      <c r="Z72">
        <v>4</v>
      </c>
      <c r="AA72">
        <v>1</v>
      </c>
      <c r="AB72" t="s">
        <v>338</v>
      </c>
      <c r="AC72" t="s">
        <v>338</v>
      </c>
      <c r="AD72" t="s">
        <v>339</v>
      </c>
      <c r="AE72">
        <v>9000</v>
      </c>
    </row>
    <row r="73" spans="6:31" x14ac:dyDescent="0.25">
      <c r="G73" s="42"/>
      <c r="H73" s="43"/>
      <c r="X73">
        <v>242</v>
      </c>
      <c r="Y73">
        <v>20</v>
      </c>
      <c r="Z73">
        <v>4</v>
      </c>
      <c r="AA73">
        <v>2</v>
      </c>
      <c r="AB73" t="s">
        <v>338</v>
      </c>
      <c r="AC73" t="s">
        <v>338</v>
      </c>
      <c r="AD73" t="s">
        <v>339</v>
      </c>
      <c r="AE73">
        <v>9000</v>
      </c>
    </row>
    <row r="74" spans="6:31" x14ac:dyDescent="0.25">
      <c r="G74" s="42"/>
      <c r="H74" s="43"/>
      <c r="X74">
        <v>243</v>
      </c>
      <c r="Y74">
        <v>20</v>
      </c>
      <c r="Z74">
        <v>4</v>
      </c>
      <c r="AA74">
        <v>3</v>
      </c>
      <c r="AB74" t="s">
        <v>338</v>
      </c>
      <c r="AC74" t="s">
        <v>338</v>
      </c>
      <c r="AD74" t="s">
        <v>339</v>
      </c>
      <c r="AE74">
        <v>9000</v>
      </c>
    </row>
    <row r="75" spans="6:31" x14ac:dyDescent="0.25">
      <c r="G75" s="42"/>
      <c r="H75" s="43"/>
      <c r="X75">
        <v>244</v>
      </c>
      <c r="Y75">
        <v>20</v>
      </c>
      <c r="Z75">
        <v>4</v>
      </c>
      <c r="AA75">
        <v>4</v>
      </c>
      <c r="AB75" t="s">
        <v>338</v>
      </c>
      <c r="AC75" t="s">
        <v>338</v>
      </c>
      <c r="AD75" t="s">
        <v>339</v>
      </c>
      <c r="AE75">
        <v>9000</v>
      </c>
    </row>
    <row r="76" spans="6:31" x14ac:dyDescent="0.25">
      <c r="G76" s="42"/>
      <c r="H76" s="43"/>
      <c r="X76">
        <v>245</v>
      </c>
      <c r="Y76">
        <v>20</v>
      </c>
      <c r="Z76">
        <v>4</v>
      </c>
      <c r="AA76">
        <v>5</v>
      </c>
      <c r="AB76" t="s">
        <v>338</v>
      </c>
      <c r="AC76" t="s">
        <v>338</v>
      </c>
      <c r="AD76" t="s">
        <v>339</v>
      </c>
      <c r="AE76">
        <v>9000</v>
      </c>
    </row>
    <row r="77" spans="6:31" x14ac:dyDescent="0.25">
      <c r="G77" s="42"/>
      <c r="H77" s="43"/>
      <c r="X77">
        <v>246</v>
      </c>
      <c r="Y77">
        <v>20</v>
      </c>
      <c r="Z77">
        <v>4</v>
      </c>
      <c r="AA77">
        <v>6</v>
      </c>
      <c r="AB77" t="s">
        <v>338</v>
      </c>
      <c r="AC77" t="s">
        <v>338</v>
      </c>
      <c r="AD77" t="s">
        <v>339</v>
      </c>
      <c r="AE77">
        <v>9000</v>
      </c>
    </row>
    <row r="78" spans="6:31" x14ac:dyDescent="0.25">
      <c r="G78" s="42"/>
      <c r="H78" s="43"/>
      <c r="X78">
        <v>247</v>
      </c>
      <c r="Y78">
        <v>20</v>
      </c>
      <c r="Z78">
        <v>4</v>
      </c>
      <c r="AA78">
        <v>17</v>
      </c>
      <c r="AB78" t="s">
        <v>338</v>
      </c>
      <c r="AC78" t="s">
        <v>338</v>
      </c>
      <c r="AD78" t="s">
        <v>339</v>
      </c>
      <c r="AE78">
        <v>9000</v>
      </c>
    </row>
    <row r="79" spans="6:31" x14ac:dyDescent="0.25">
      <c r="G79" s="42"/>
      <c r="H79" s="43"/>
      <c r="X79">
        <v>248</v>
      </c>
      <c r="Y79">
        <v>20</v>
      </c>
      <c r="Z79">
        <v>4</v>
      </c>
      <c r="AA79">
        <v>18</v>
      </c>
      <c r="AB79" t="s">
        <v>338</v>
      </c>
      <c r="AC79" t="s">
        <v>338</v>
      </c>
      <c r="AD79" t="s">
        <v>339</v>
      </c>
      <c r="AE79">
        <v>9000</v>
      </c>
    </row>
    <row r="80" spans="6:31" x14ac:dyDescent="0.25">
      <c r="G80" s="42"/>
      <c r="H80" s="43"/>
      <c r="X80">
        <v>249</v>
      </c>
      <c r="Y80">
        <v>20</v>
      </c>
      <c r="Z80">
        <v>4</v>
      </c>
      <c r="AA80">
        <v>19</v>
      </c>
      <c r="AB80" t="s">
        <v>338</v>
      </c>
      <c r="AC80" t="s">
        <v>338</v>
      </c>
      <c r="AD80" t="s">
        <v>339</v>
      </c>
      <c r="AE80">
        <v>9000</v>
      </c>
    </row>
    <row r="81" spans="7:31" x14ac:dyDescent="0.25">
      <c r="G81" s="42"/>
      <c r="H81" s="43"/>
      <c r="X81">
        <v>250</v>
      </c>
      <c r="Y81">
        <v>20</v>
      </c>
      <c r="Z81">
        <v>4</v>
      </c>
      <c r="AA81">
        <v>20</v>
      </c>
      <c r="AB81" t="s">
        <v>338</v>
      </c>
      <c r="AC81" t="s">
        <v>338</v>
      </c>
      <c r="AD81" t="s">
        <v>339</v>
      </c>
      <c r="AE81">
        <v>9000</v>
      </c>
    </row>
    <row r="82" spans="7:31" x14ac:dyDescent="0.25">
      <c r="G82" s="42"/>
      <c r="H82" s="43"/>
      <c r="X82">
        <v>251</v>
      </c>
      <c r="Y82">
        <v>20</v>
      </c>
      <c r="Z82">
        <v>3</v>
      </c>
      <c r="AA82">
        <v>1</v>
      </c>
      <c r="AB82" t="s">
        <v>338</v>
      </c>
      <c r="AC82" t="s">
        <v>338</v>
      </c>
      <c r="AD82" t="s">
        <v>339</v>
      </c>
      <c r="AE82">
        <v>9000</v>
      </c>
    </row>
    <row r="83" spans="7:31" x14ac:dyDescent="0.25">
      <c r="G83" s="42"/>
      <c r="H83" s="43"/>
      <c r="X83">
        <v>252</v>
      </c>
      <c r="Y83">
        <v>20</v>
      </c>
      <c r="Z83">
        <v>3</v>
      </c>
      <c r="AA83">
        <v>2</v>
      </c>
      <c r="AB83" t="s">
        <v>338</v>
      </c>
      <c r="AC83" t="s">
        <v>338</v>
      </c>
      <c r="AD83" t="s">
        <v>339</v>
      </c>
      <c r="AE83">
        <v>9000</v>
      </c>
    </row>
    <row r="84" spans="7:31" x14ac:dyDescent="0.25">
      <c r="G84" s="42"/>
      <c r="H84" s="43"/>
      <c r="X84">
        <v>253</v>
      </c>
      <c r="Y84">
        <v>20</v>
      </c>
      <c r="Z84">
        <v>3</v>
      </c>
      <c r="AA84">
        <v>3</v>
      </c>
      <c r="AB84" t="s">
        <v>338</v>
      </c>
      <c r="AC84" t="s">
        <v>338</v>
      </c>
      <c r="AD84" t="s">
        <v>339</v>
      </c>
      <c r="AE84">
        <v>9000</v>
      </c>
    </row>
    <row r="85" spans="7:31" x14ac:dyDescent="0.25">
      <c r="G85" s="42"/>
      <c r="H85" s="43"/>
      <c r="X85">
        <v>254</v>
      </c>
      <c r="Y85">
        <v>20</v>
      </c>
      <c r="Z85">
        <v>3</v>
      </c>
      <c r="AA85">
        <v>4</v>
      </c>
      <c r="AB85" t="s">
        <v>338</v>
      </c>
      <c r="AC85" t="s">
        <v>338</v>
      </c>
      <c r="AD85" t="s">
        <v>339</v>
      </c>
      <c r="AE85">
        <v>9000</v>
      </c>
    </row>
    <row r="86" spans="7:31" x14ac:dyDescent="0.25">
      <c r="G86" s="42"/>
      <c r="H86" s="43"/>
      <c r="X86">
        <v>255</v>
      </c>
      <c r="Y86">
        <v>20</v>
      </c>
      <c r="Z86">
        <v>3</v>
      </c>
      <c r="AA86">
        <v>5</v>
      </c>
      <c r="AB86" t="s">
        <v>338</v>
      </c>
      <c r="AC86" t="s">
        <v>338</v>
      </c>
      <c r="AD86" t="s">
        <v>339</v>
      </c>
      <c r="AE86">
        <v>9000</v>
      </c>
    </row>
    <row r="87" spans="7:31" x14ac:dyDescent="0.25">
      <c r="G87" s="42"/>
      <c r="H87" s="43"/>
      <c r="X87">
        <v>256</v>
      </c>
      <c r="Y87">
        <v>20</v>
      </c>
      <c r="Z87">
        <v>3</v>
      </c>
      <c r="AA87">
        <v>6</v>
      </c>
      <c r="AB87" t="s">
        <v>338</v>
      </c>
      <c r="AC87" t="s">
        <v>338</v>
      </c>
      <c r="AD87" t="s">
        <v>339</v>
      </c>
      <c r="AE87">
        <v>9000</v>
      </c>
    </row>
    <row r="88" spans="7:31" x14ac:dyDescent="0.25">
      <c r="G88" s="42"/>
      <c r="H88" s="43"/>
      <c r="X88">
        <v>257</v>
      </c>
      <c r="Y88">
        <v>20</v>
      </c>
      <c r="Z88">
        <v>3</v>
      </c>
      <c r="AA88">
        <v>17</v>
      </c>
      <c r="AB88" t="s">
        <v>338</v>
      </c>
      <c r="AC88" t="s">
        <v>338</v>
      </c>
      <c r="AD88" t="s">
        <v>339</v>
      </c>
      <c r="AE88">
        <v>9000</v>
      </c>
    </row>
    <row r="89" spans="7:31" x14ac:dyDescent="0.25">
      <c r="G89" s="42"/>
      <c r="H89" s="43"/>
      <c r="X89">
        <v>258</v>
      </c>
      <c r="Y89">
        <v>20</v>
      </c>
      <c r="Z89">
        <v>3</v>
      </c>
      <c r="AA89">
        <v>18</v>
      </c>
      <c r="AB89" t="s">
        <v>338</v>
      </c>
      <c r="AC89" t="s">
        <v>338</v>
      </c>
      <c r="AD89" t="s">
        <v>339</v>
      </c>
      <c r="AE89">
        <v>9000</v>
      </c>
    </row>
    <row r="90" spans="7:31" x14ac:dyDescent="0.25">
      <c r="G90" s="42"/>
      <c r="H90" s="43"/>
      <c r="X90">
        <v>259</v>
      </c>
      <c r="Y90">
        <v>20</v>
      </c>
      <c r="Z90">
        <v>3</v>
      </c>
      <c r="AA90">
        <v>19</v>
      </c>
      <c r="AB90" t="s">
        <v>338</v>
      </c>
      <c r="AC90" t="s">
        <v>338</v>
      </c>
      <c r="AD90" t="s">
        <v>339</v>
      </c>
      <c r="AE90">
        <v>9000</v>
      </c>
    </row>
    <row r="91" spans="7:31" x14ac:dyDescent="0.25">
      <c r="G91" s="42"/>
      <c r="H91" s="43"/>
      <c r="X91">
        <v>260</v>
      </c>
      <c r="Y91">
        <v>20</v>
      </c>
      <c r="Z91">
        <v>3</v>
      </c>
      <c r="AA91">
        <v>20</v>
      </c>
      <c r="AB91" t="s">
        <v>338</v>
      </c>
      <c r="AC91" t="s">
        <v>338</v>
      </c>
      <c r="AD91" t="s">
        <v>339</v>
      </c>
      <c r="AE91">
        <v>9000</v>
      </c>
    </row>
    <row r="92" spans="7:31" x14ac:dyDescent="0.25">
      <c r="G92" s="42"/>
      <c r="H92" s="43"/>
      <c r="X92">
        <v>261</v>
      </c>
      <c r="Y92">
        <v>20</v>
      </c>
      <c r="Z92">
        <v>54</v>
      </c>
      <c r="AA92">
        <v>1</v>
      </c>
      <c r="AB92" t="s">
        <v>338</v>
      </c>
      <c r="AC92" t="s">
        <v>338</v>
      </c>
      <c r="AD92" t="s">
        <v>339</v>
      </c>
      <c r="AE92">
        <v>9000</v>
      </c>
    </row>
    <row r="93" spans="7:31" x14ac:dyDescent="0.25">
      <c r="G93" s="42"/>
      <c r="H93" s="43"/>
      <c r="X93">
        <v>262</v>
      </c>
      <c r="Y93">
        <v>20</v>
      </c>
      <c r="Z93">
        <v>54</v>
      </c>
      <c r="AA93">
        <v>2</v>
      </c>
      <c r="AB93" t="s">
        <v>338</v>
      </c>
      <c r="AC93" t="s">
        <v>338</v>
      </c>
      <c r="AD93" t="s">
        <v>339</v>
      </c>
      <c r="AE93">
        <v>9000</v>
      </c>
    </row>
    <row r="94" spans="7:31" x14ac:dyDescent="0.25">
      <c r="G94" s="42"/>
      <c r="H94" s="43"/>
      <c r="X94">
        <v>263</v>
      </c>
      <c r="Y94">
        <v>20</v>
      </c>
      <c r="Z94">
        <v>54</v>
      </c>
      <c r="AA94">
        <v>3</v>
      </c>
      <c r="AB94" t="s">
        <v>338</v>
      </c>
      <c r="AC94" t="s">
        <v>338</v>
      </c>
      <c r="AD94" t="s">
        <v>339</v>
      </c>
      <c r="AE94">
        <v>9000</v>
      </c>
    </row>
    <row r="95" spans="7:31" x14ac:dyDescent="0.25">
      <c r="G95" s="42"/>
      <c r="H95" s="43"/>
      <c r="X95">
        <v>264</v>
      </c>
      <c r="Y95">
        <v>20</v>
      </c>
      <c r="Z95">
        <v>54</v>
      </c>
      <c r="AA95">
        <v>4</v>
      </c>
      <c r="AB95" t="s">
        <v>338</v>
      </c>
      <c r="AC95" t="s">
        <v>338</v>
      </c>
      <c r="AD95" t="s">
        <v>339</v>
      </c>
      <c r="AE95">
        <v>9000</v>
      </c>
    </row>
    <row r="96" spans="7:31" x14ac:dyDescent="0.25">
      <c r="G96" s="42"/>
      <c r="H96" s="43"/>
      <c r="X96">
        <v>265</v>
      </c>
      <c r="Y96">
        <v>20</v>
      </c>
      <c r="Z96">
        <v>54</v>
      </c>
      <c r="AA96">
        <v>5</v>
      </c>
      <c r="AB96" t="s">
        <v>338</v>
      </c>
      <c r="AC96" t="s">
        <v>338</v>
      </c>
      <c r="AD96" t="s">
        <v>339</v>
      </c>
      <c r="AE96">
        <v>9000</v>
      </c>
    </row>
    <row r="97" spans="7:31" x14ac:dyDescent="0.25">
      <c r="G97" s="42"/>
      <c r="H97" s="43"/>
      <c r="X97">
        <v>266</v>
      </c>
      <c r="Y97">
        <v>20</v>
      </c>
      <c r="Z97">
        <v>54</v>
      </c>
      <c r="AA97">
        <v>6</v>
      </c>
      <c r="AB97" t="s">
        <v>338</v>
      </c>
      <c r="AC97" t="s">
        <v>338</v>
      </c>
      <c r="AD97" t="s">
        <v>339</v>
      </c>
      <c r="AE97">
        <v>9000</v>
      </c>
    </row>
    <row r="98" spans="7:31" x14ac:dyDescent="0.25">
      <c r="G98" s="42"/>
      <c r="H98" s="43"/>
      <c r="X98">
        <v>267</v>
      </c>
      <c r="Y98">
        <v>20</v>
      </c>
      <c r="Z98">
        <v>54</v>
      </c>
      <c r="AA98">
        <v>17</v>
      </c>
      <c r="AB98" t="s">
        <v>338</v>
      </c>
      <c r="AC98" t="s">
        <v>338</v>
      </c>
      <c r="AD98" t="s">
        <v>339</v>
      </c>
      <c r="AE98">
        <v>9000</v>
      </c>
    </row>
    <row r="99" spans="7:31" x14ac:dyDescent="0.25">
      <c r="G99" s="42"/>
      <c r="H99" s="43"/>
      <c r="X99">
        <v>268</v>
      </c>
      <c r="Y99">
        <v>20</v>
      </c>
      <c r="Z99">
        <v>54</v>
      </c>
      <c r="AA99">
        <v>18</v>
      </c>
      <c r="AB99" t="s">
        <v>338</v>
      </c>
      <c r="AC99" t="s">
        <v>338</v>
      </c>
      <c r="AD99" t="s">
        <v>339</v>
      </c>
      <c r="AE99">
        <v>9000</v>
      </c>
    </row>
    <row r="100" spans="7:31" x14ac:dyDescent="0.25">
      <c r="G100" s="42"/>
      <c r="H100" s="43"/>
      <c r="X100">
        <v>269</v>
      </c>
      <c r="Y100">
        <v>20</v>
      </c>
      <c r="Z100">
        <v>54</v>
      </c>
      <c r="AA100">
        <v>19</v>
      </c>
      <c r="AB100" t="s">
        <v>338</v>
      </c>
      <c r="AC100" t="s">
        <v>338</v>
      </c>
      <c r="AD100" t="s">
        <v>339</v>
      </c>
      <c r="AE100">
        <v>9000</v>
      </c>
    </row>
    <row r="101" spans="7:31" x14ac:dyDescent="0.25">
      <c r="G101" s="42"/>
      <c r="H101" s="43"/>
      <c r="X101">
        <v>270</v>
      </c>
      <c r="Y101">
        <v>20</v>
      </c>
      <c r="Z101">
        <v>54</v>
      </c>
      <c r="AA101">
        <v>20</v>
      </c>
      <c r="AB101" t="s">
        <v>338</v>
      </c>
      <c r="AC101" t="s">
        <v>338</v>
      </c>
      <c r="AD101" t="s">
        <v>339</v>
      </c>
      <c r="AE101">
        <v>9000</v>
      </c>
    </row>
    <row r="102" spans="7:31" x14ac:dyDescent="0.25">
      <c r="G102" s="42"/>
      <c r="H102" s="43"/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N84"/>
  <sheetViews>
    <sheetView zoomScaleNormal="100" workbookViewId="0">
      <pane xSplit="7" topLeftCell="L1" activePane="topRight" state="frozen"/>
      <selection activeCell="E1" sqref="E1"/>
      <selection pane="topRight" activeCell="M42" sqref="M42"/>
    </sheetView>
  </sheetViews>
  <sheetFormatPr defaultRowHeight="15" x14ac:dyDescent="0.25"/>
  <cols>
    <col min="1" max="1" width="26.42578125" style="9" hidden="1" customWidth="1"/>
    <col min="2" max="2" width="21.140625" style="7" customWidth="1"/>
    <col min="3" max="3" width="10.28515625" hidden="1" customWidth="1"/>
    <col min="4" max="4" width="12.28515625" hidden="1" customWidth="1"/>
    <col min="5" max="5" width="9.140625" customWidth="1"/>
    <col min="6" max="6" width="9.140625" style="11"/>
    <col min="7" max="7" width="30.42578125" customWidth="1"/>
    <col min="8" max="8" width="21.28515625" customWidth="1"/>
    <col min="9" max="9" width="12.28515625" customWidth="1"/>
    <col min="10" max="10" width="12.85546875" customWidth="1"/>
    <col min="11" max="11" width="14.7109375" customWidth="1"/>
    <col min="12" max="12" width="10.85546875" customWidth="1"/>
    <col min="13" max="13" width="9.7109375" customWidth="1"/>
    <col min="14" max="14" width="14.140625" customWidth="1"/>
    <col min="15" max="15" width="10.7109375" customWidth="1"/>
    <col min="16" max="16" width="10.42578125" customWidth="1"/>
    <col min="17" max="17" width="13" customWidth="1"/>
    <col min="18" max="18" width="12.28515625" customWidth="1"/>
    <col min="19" max="19" width="11.28515625" customWidth="1"/>
    <col min="20" max="20" width="9.140625" customWidth="1"/>
    <col min="21" max="21" width="23.28515625" customWidth="1"/>
    <col min="22" max="22" width="8.85546875" customWidth="1"/>
    <col min="23" max="23" width="11.28515625" customWidth="1"/>
    <col min="24" max="24" width="9.85546875" customWidth="1"/>
    <col min="25" max="25" width="13.140625" customWidth="1"/>
    <col min="26" max="26" width="14.28515625" customWidth="1"/>
    <col min="27" max="27" width="13.28515625" customWidth="1"/>
    <col min="28" max="28" width="13" customWidth="1"/>
    <col min="29" max="29" width="10.7109375" customWidth="1"/>
    <col min="30" max="30" width="19.85546875" customWidth="1"/>
    <col min="31" max="31" width="10" customWidth="1"/>
    <col min="32" max="32" width="8.140625" customWidth="1"/>
    <col min="33" max="33" width="17.7109375" customWidth="1"/>
    <col min="34" max="34" width="15.28515625" customWidth="1"/>
    <col min="35" max="35" width="13.85546875" customWidth="1"/>
    <col min="36" max="36" width="19.85546875" customWidth="1"/>
    <col min="37" max="37" width="13.85546875" customWidth="1"/>
    <col min="38" max="38" width="15.28515625" customWidth="1"/>
    <col min="39" max="39" width="13.85546875" customWidth="1"/>
    <col min="40" max="40" width="15.28515625" customWidth="1"/>
    <col min="41" max="41" width="13.85546875" bestFit="1" customWidth="1"/>
    <col min="42" max="42" width="15.28515625" customWidth="1"/>
    <col min="43" max="43" width="13.85546875" customWidth="1"/>
    <col min="44" max="44" width="15.28515625" customWidth="1"/>
    <col min="45" max="45" width="13.85546875" customWidth="1"/>
    <col min="46" max="46" width="15.28515625" bestFit="1" customWidth="1"/>
    <col min="47" max="47" width="13.85546875" bestFit="1" customWidth="1"/>
    <col min="48" max="48" width="17.7109375" bestFit="1" customWidth="1"/>
    <col min="49" max="49" width="16.140625" bestFit="1" customWidth="1"/>
    <col min="50" max="50" width="20.28515625" bestFit="1" customWidth="1"/>
    <col min="51" max="51" width="18.85546875" bestFit="1" customWidth="1"/>
    <col min="52" max="52" width="19.85546875" bestFit="1" customWidth="1"/>
    <col min="53" max="53" width="13.85546875" bestFit="1" customWidth="1"/>
    <col min="54" max="54" width="15.28515625" bestFit="1" customWidth="1"/>
    <col min="55" max="55" width="13.85546875" bestFit="1" customWidth="1"/>
    <col min="56" max="56" width="17.7109375" bestFit="1" customWidth="1"/>
    <col min="57" max="57" width="16.140625" bestFit="1" customWidth="1"/>
    <col min="58" max="58" width="27.28515625" bestFit="1" customWidth="1"/>
    <col min="59" max="59" width="25.85546875" bestFit="1" customWidth="1"/>
  </cols>
  <sheetData>
    <row r="1" spans="1:66" x14ac:dyDescent="0.25">
      <c r="A1" s="6"/>
      <c r="C1" s="6"/>
      <c r="D1" s="6"/>
      <c r="E1" s="6"/>
      <c r="F1" s="12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5"/>
      <c r="V1" s="5"/>
      <c r="W1" s="5"/>
      <c r="X1" s="5"/>
      <c r="Y1" s="5"/>
      <c r="Z1" s="5"/>
      <c r="AA1" s="5"/>
    </row>
    <row r="2" spans="1:66" x14ac:dyDescent="0.25">
      <c r="A2" s="6"/>
      <c r="C2" s="6"/>
      <c r="D2" s="6"/>
      <c r="E2" s="6"/>
      <c r="F2" s="12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5"/>
      <c r="V2" s="5"/>
      <c r="W2" s="5"/>
      <c r="X2" s="5"/>
      <c r="Y2" s="5"/>
      <c r="Z2" s="5"/>
      <c r="AA2" s="5"/>
    </row>
    <row r="3" spans="1:66" x14ac:dyDescent="0.25">
      <c r="A3" s="39"/>
      <c r="B3" s="40"/>
      <c r="C3" s="39"/>
      <c r="D3" s="39"/>
      <c r="E3" s="39"/>
      <c r="F3" s="40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5"/>
      <c r="V3" s="5"/>
      <c r="W3" s="5"/>
      <c r="X3" s="5"/>
      <c r="Y3" s="5"/>
      <c r="Z3" s="5"/>
      <c r="AA3" s="5"/>
    </row>
    <row r="4" spans="1:66" x14ac:dyDescent="0.25">
      <c r="A4" s="39"/>
      <c r="B4" s="40"/>
      <c r="C4" s="39"/>
      <c r="D4" s="39"/>
      <c r="E4" s="39"/>
      <c r="F4" s="40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5"/>
      <c r="V4" s="5"/>
      <c r="W4" s="5"/>
      <c r="X4" s="5"/>
      <c r="Y4" s="5"/>
      <c r="Z4" s="5"/>
      <c r="AA4" s="5"/>
    </row>
    <row r="5" spans="1:66" x14ac:dyDescent="0.25">
      <c r="A5" s="39"/>
      <c r="B5" s="40"/>
      <c r="C5" s="39"/>
      <c r="D5" s="39"/>
      <c r="E5" s="39"/>
      <c r="F5" s="40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5"/>
      <c r="V5" s="5"/>
      <c r="W5" s="5"/>
      <c r="X5" s="5"/>
      <c r="Y5" s="5"/>
      <c r="Z5" s="5"/>
      <c r="AA5" s="5"/>
    </row>
    <row r="6" spans="1:66" ht="15.75" x14ac:dyDescent="0.25">
      <c r="C6" s="5"/>
      <c r="D6" s="5"/>
      <c r="E6" s="5"/>
      <c r="F6" s="128" t="s">
        <v>203</v>
      </c>
      <c r="G6" s="128" t="s">
        <v>202</v>
      </c>
      <c r="H6" s="41" t="str">
        <f>IF(H10="",$F$6, IF(ISNUMBER(SEARCH("Sum", H10)), "Tổng", H10))</f>
        <v>Tồn đầu kỳ</v>
      </c>
      <c r="I6" s="41" t="str">
        <f t="shared" ref="I6:AE6" si="0">IF(I10="",$F$6, IF(ISNUMBER(SEARCH("Sum", I10)), "Tổng", I10))</f>
        <v>Tồn đầu kỳ</v>
      </c>
      <c r="J6" s="41" t="str">
        <f t="shared" si="0"/>
        <v>Tổng</v>
      </c>
      <c r="K6" s="41" t="str">
        <f t="shared" si="0"/>
        <v>Nhập</v>
      </c>
      <c r="L6" s="41" t="str">
        <f t="shared" si="0"/>
        <v>Nhập</v>
      </c>
      <c r="M6" s="41" t="str">
        <f t="shared" si="0"/>
        <v>Nhập</v>
      </c>
      <c r="N6" s="41" t="str">
        <f t="shared" si="0"/>
        <v>Nhập</v>
      </c>
      <c r="O6" s="41" t="str">
        <f t="shared" si="0"/>
        <v>Nhập</v>
      </c>
      <c r="P6" s="41" t="str">
        <f t="shared" si="0"/>
        <v>Tổng</v>
      </c>
      <c r="Q6" s="41" t="str">
        <f t="shared" si="0"/>
        <v>Xuất</v>
      </c>
      <c r="R6" s="41" t="str">
        <f t="shared" si="0"/>
        <v>Xuất</v>
      </c>
      <c r="S6" s="41" t="str">
        <f t="shared" si="0"/>
        <v>Xuất</v>
      </c>
      <c r="T6" s="41" t="str">
        <f t="shared" si="0"/>
        <v>Xuất</v>
      </c>
      <c r="U6" s="41" t="str">
        <f t="shared" si="0"/>
        <v>Xuất</v>
      </c>
      <c r="V6" s="41" t="str">
        <f t="shared" si="0"/>
        <v>Xuất</v>
      </c>
      <c r="W6" s="41" t="str">
        <f t="shared" si="0"/>
        <v>Xuất</v>
      </c>
      <c r="X6" s="41" t="str">
        <f t="shared" si="0"/>
        <v>Xuất</v>
      </c>
      <c r="Y6" s="41" t="str">
        <f t="shared" si="0"/>
        <v>Xuất</v>
      </c>
      <c r="Z6" s="41" t="str">
        <f t="shared" si="0"/>
        <v>Tổng</v>
      </c>
      <c r="AA6" s="41" t="str">
        <f t="shared" si="0"/>
        <v>Tồn cuối kỳ</v>
      </c>
      <c r="AB6" s="41" t="str">
        <f t="shared" si="0"/>
        <v>Tồn cuối kỳ</v>
      </c>
      <c r="AC6" s="41" t="str">
        <f t="shared" si="0"/>
        <v>Tổng</v>
      </c>
      <c r="AD6" s="41" t="str">
        <f t="shared" si="0"/>
        <v>TT</v>
      </c>
      <c r="AE6" s="41" t="str">
        <f t="shared" si="0"/>
        <v>TT</v>
      </c>
    </row>
    <row r="7" spans="1:66" ht="15.75" customHeight="1" x14ac:dyDescent="0.25">
      <c r="C7" s="5"/>
      <c r="D7" s="5"/>
      <c r="E7" s="5"/>
      <c r="F7" s="128"/>
      <c r="G7" s="128"/>
      <c r="H7" s="41" t="str">
        <f t="shared" ref="H7:AE7" si="1">IF(H11="",$F$6, IF(ISNUMBER(SEARCH("Sum", H11)), "Tổng", H11))</f>
        <v>DT cho NV đột xuất</v>
      </c>
      <c r="I7" s="41" t="str">
        <f t="shared" si="1"/>
        <v>DT SSCD</v>
      </c>
      <c r="J7" s="41" t="str">
        <f t="shared" si="1"/>
        <v>TT</v>
      </c>
      <c r="K7" s="41" t="str">
        <f t="shared" si="1"/>
        <v>Nhập khác</v>
      </c>
      <c r="L7" s="41" t="str">
        <f t="shared" si="1"/>
        <v>CXD</v>
      </c>
      <c r="M7" s="41" t="str">
        <f t="shared" si="1"/>
        <v>QC</v>
      </c>
      <c r="N7" s="41" t="str">
        <f t="shared" si="1"/>
        <v>Mua P/cấp</v>
      </c>
      <c r="O7" s="41" t="str">
        <f t="shared" si="1"/>
        <v>Khác</v>
      </c>
      <c r="P7" s="41" t="str">
        <f t="shared" si="1"/>
        <v>TT</v>
      </c>
      <c r="Q7" s="41" t="str">
        <f t="shared" si="1"/>
        <v>Xuất khác</v>
      </c>
      <c r="R7" s="41" t="str">
        <f t="shared" si="1"/>
        <v>Nhập khác</v>
      </c>
      <c r="S7" s="41" t="str">
        <f t="shared" si="1"/>
        <v>CXD</v>
      </c>
      <c r="T7" s="41" t="str">
        <f t="shared" si="1"/>
        <v>Khác</v>
      </c>
      <c r="U7" s="41" t="str">
        <f t="shared" si="1"/>
        <v>TT Xe máy</v>
      </c>
      <c r="V7" s="41" t="str">
        <f t="shared" si="1"/>
        <v>BQ</v>
      </c>
      <c r="W7" s="41" t="str">
        <f t="shared" si="1"/>
        <v>Hao hụt</v>
      </c>
      <c r="X7" s="41" t="str">
        <f t="shared" si="1"/>
        <v>Tổn thất</v>
      </c>
      <c r="Y7" s="41" t="str">
        <f t="shared" si="1"/>
        <v>f nội bộ</v>
      </c>
      <c r="Z7" s="41" t="str">
        <f t="shared" si="1"/>
        <v>TT</v>
      </c>
      <c r="AA7" s="41" t="str">
        <f t="shared" si="1"/>
        <v>DT cho NV đột xuất</v>
      </c>
      <c r="AB7" s="41" t="str">
        <f t="shared" si="1"/>
        <v>DT SSCD</v>
      </c>
      <c r="AC7" s="41" t="str">
        <f t="shared" si="1"/>
        <v>TT</v>
      </c>
      <c r="AD7" s="41" t="str">
        <f t="shared" si="1"/>
        <v>TT</v>
      </c>
      <c r="AE7" s="41" t="str">
        <f t="shared" si="1"/>
        <v>TT</v>
      </c>
    </row>
    <row r="8" spans="1:66" ht="15.75" x14ac:dyDescent="0.25">
      <c r="C8" s="5"/>
      <c r="D8" s="5"/>
      <c r="E8" s="5"/>
      <c r="F8" s="128"/>
      <c r="G8" s="128"/>
      <c r="H8" s="41" t="str">
        <f t="shared" ref="H8:AE8" si="2">IF(H12="",$F$6, IF(ISNUMBER(SEARCH("Sum", H12)), "Tổng", H12))</f>
        <v>DT cho NV đột xuất</v>
      </c>
      <c r="I8" s="41" t="str">
        <f t="shared" si="2"/>
        <v>DT SSCD</v>
      </c>
      <c r="J8" s="41" t="str">
        <f t="shared" si="2"/>
        <v>TT</v>
      </c>
      <c r="K8" s="41" t="str">
        <f t="shared" si="2"/>
        <v>Trong QC</v>
      </c>
      <c r="L8" s="41" t="str">
        <f t="shared" si="2"/>
        <v>CXD</v>
      </c>
      <c r="M8" s="41" t="str">
        <f t="shared" si="2"/>
        <v>QC</v>
      </c>
      <c r="N8" s="41" t="str">
        <f t="shared" si="2"/>
        <v>Mua P/cấp</v>
      </c>
      <c r="O8" s="41" t="str">
        <f t="shared" si="2"/>
        <v>Khác</v>
      </c>
      <c r="P8" s="41" t="str">
        <f t="shared" si="2"/>
        <v>TT</v>
      </c>
      <c r="Q8" s="41" t="str">
        <f t="shared" si="2"/>
        <v>Ngoài QC</v>
      </c>
      <c r="R8" s="41" t="str">
        <f t="shared" si="2"/>
        <v>Trong QC</v>
      </c>
      <c r="S8" s="41" t="str">
        <f t="shared" si="2"/>
        <v>CXD</v>
      </c>
      <c r="T8" s="41" t="str">
        <f t="shared" si="2"/>
        <v>Khác</v>
      </c>
      <c r="U8" s="41" t="str">
        <f t="shared" si="2"/>
        <v>TT Xe máy</v>
      </c>
      <c r="V8" s="41" t="str">
        <f t="shared" si="2"/>
        <v>BQ</v>
      </c>
      <c r="W8" s="41" t="str">
        <f t="shared" si="2"/>
        <v>Hao hụt</v>
      </c>
      <c r="X8" s="41" t="str">
        <f t="shared" si="2"/>
        <v>Tổn thất</v>
      </c>
      <c r="Y8" s="41" t="str">
        <f t="shared" si="2"/>
        <v>F nội bộ</v>
      </c>
      <c r="Z8" s="41" t="str">
        <f t="shared" si="2"/>
        <v>TT</v>
      </c>
      <c r="AA8" s="41" t="str">
        <f t="shared" si="2"/>
        <v>DT cho NV đột xuất</v>
      </c>
      <c r="AB8" s="41" t="str">
        <f t="shared" si="2"/>
        <v>DT SSCD</v>
      </c>
      <c r="AC8" s="41" t="str">
        <f t="shared" si="2"/>
        <v>TT</v>
      </c>
      <c r="AD8" s="41" t="str">
        <f t="shared" si="2"/>
        <v>TT</v>
      </c>
      <c r="AE8" s="41" t="str">
        <f t="shared" si="2"/>
        <v>TT</v>
      </c>
    </row>
    <row r="9" spans="1:66" ht="19.5" hidden="1" customHeight="1" x14ac:dyDescent="0.25">
      <c r="F9" s="16"/>
      <c r="G9" s="34" t="s">
        <v>202</v>
      </c>
      <c r="H9" s="34" t="s">
        <v>173</v>
      </c>
      <c r="I9" s="90"/>
      <c r="J9" s="90"/>
      <c r="K9" s="92"/>
      <c r="L9" s="92"/>
      <c r="M9" s="92"/>
      <c r="N9" s="92"/>
      <c r="O9" s="92"/>
      <c r="P9" s="92"/>
      <c r="Q9" s="92"/>
      <c r="R9" s="92"/>
      <c r="S9" s="92"/>
      <c r="T9" s="92"/>
      <c r="U9" s="92"/>
      <c r="V9" s="92"/>
      <c r="W9" s="92"/>
      <c r="X9" s="92"/>
      <c r="Y9" s="92"/>
      <c r="Z9" s="92"/>
      <c r="AA9" s="92"/>
      <c r="AB9" s="92"/>
      <c r="AC9" s="90"/>
      <c r="AH9">
        <f>ROW()</f>
        <v>9</v>
      </c>
      <c r="AI9">
        <f>AK23</f>
        <v>0</v>
      </c>
      <c r="AJ9" t="str">
        <f t="shared" ref="AJ9:AV9" si="3">IF(I10="",$F$6, IF(ISNUMBER(SEARCH("Sum", I10)), "Tổng", I10))</f>
        <v>Tồn đầu kỳ</v>
      </c>
      <c r="AK9" t="str">
        <f t="shared" si="3"/>
        <v>Tổng</v>
      </c>
      <c r="AL9" t="str">
        <f t="shared" si="3"/>
        <v>Nhập</v>
      </c>
      <c r="AM9" t="str">
        <f t="shared" si="3"/>
        <v>Nhập</v>
      </c>
      <c r="AN9" t="str">
        <f t="shared" si="3"/>
        <v>Nhập</v>
      </c>
      <c r="AO9" t="str">
        <f t="shared" si="3"/>
        <v>Nhập</v>
      </c>
      <c r="AP9" t="str">
        <f t="shared" si="3"/>
        <v>Nhập</v>
      </c>
      <c r="AQ9" t="str">
        <f t="shared" si="3"/>
        <v>Tổng</v>
      </c>
      <c r="AR9" t="str">
        <f t="shared" si="3"/>
        <v>Xuất</v>
      </c>
      <c r="AS9" t="str">
        <f t="shared" si="3"/>
        <v>Xuất</v>
      </c>
      <c r="AT9" t="str">
        <f t="shared" si="3"/>
        <v>Xuất</v>
      </c>
      <c r="AU9" t="str">
        <f t="shared" si="3"/>
        <v>Xuất</v>
      </c>
      <c r="AV9" t="str">
        <f t="shared" si="3"/>
        <v>Xuất</v>
      </c>
      <c r="AW9" t="str">
        <f>IF(V10="",$F$6, IF(ISNUMBER(SEARCH("Sum", V10)), "Tổng", V10))</f>
        <v>Xuất</v>
      </c>
      <c r="AX9" t="str">
        <f t="shared" ref="AX9" si="4">IF(W10="",$F$6, IF(ISNUMBER(SEARCH("Sum", W10)), "Tổng", W10))</f>
        <v>Xuất</v>
      </c>
      <c r="AY9" t="str">
        <f t="shared" ref="AY9" si="5">IF(X10="",$F$6, IF(ISNUMBER(SEARCH("Sum", X10)), "Tổng", X10))</f>
        <v>Xuất</v>
      </c>
      <c r="AZ9" t="str">
        <f t="shared" ref="AZ9" si="6">IF(Y10="",$F$6, IF(ISNUMBER(SEARCH("Sum", Y10)), "Tổng", Y10))</f>
        <v>Xuất</v>
      </c>
      <c r="BA9" t="str">
        <f t="shared" ref="BA9" si="7">IF(Z10="",$F$6, IF(ISNUMBER(SEARCH("Sum", Z10)), "Tổng", Z10))</f>
        <v>Tổng</v>
      </c>
      <c r="BB9" t="str">
        <f t="shared" ref="BB9" si="8">IF(AA10="",$F$6, IF(ISNUMBER(SEARCH("Sum", AA10)), "Tổng", AA10))</f>
        <v>Tồn cuối kỳ</v>
      </c>
      <c r="BC9" t="str">
        <f t="shared" ref="BC9" si="9">IF(AB10="",$F$6,SUBSTITUTE(AB10,"Sum",""))</f>
        <v>Tồn cuối kỳ</v>
      </c>
      <c r="BD9" t="str">
        <f t="shared" ref="BD9" si="10">IF(AC10="",$F$6,SUBSTITUTE(AC10,"Sum",""))</f>
        <v xml:space="preserve">Tồn cuối kỳ </v>
      </c>
    </row>
    <row r="10" spans="1:66" s="4" customFormat="1" hidden="1" x14ac:dyDescent="0.25">
      <c r="A10" s="9"/>
      <c r="B10" s="8"/>
      <c r="F10" s="17"/>
      <c r="G10" s="90"/>
      <c r="H10" s="124" t="s">
        <v>196</v>
      </c>
      <c r="I10" s="125" t="s">
        <v>196</v>
      </c>
      <c r="J10" s="126" t="s">
        <v>198</v>
      </c>
      <c r="K10" s="124" t="s">
        <v>194</v>
      </c>
      <c r="L10" s="127" t="s">
        <v>194</v>
      </c>
      <c r="M10" s="127" t="s">
        <v>194</v>
      </c>
      <c r="N10" s="127" t="s">
        <v>194</v>
      </c>
      <c r="O10" s="125" t="s">
        <v>194</v>
      </c>
      <c r="P10" s="126" t="s">
        <v>199</v>
      </c>
      <c r="Q10" s="124" t="s">
        <v>197</v>
      </c>
      <c r="R10" s="127" t="s">
        <v>197</v>
      </c>
      <c r="S10" s="127" t="s">
        <v>197</v>
      </c>
      <c r="T10" s="127" t="s">
        <v>197</v>
      </c>
      <c r="U10" s="127" t="s">
        <v>197</v>
      </c>
      <c r="V10" s="127" t="s">
        <v>197</v>
      </c>
      <c r="W10" s="127" t="s">
        <v>197</v>
      </c>
      <c r="X10" s="127" t="s">
        <v>197</v>
      </c>
      <c r="Y10" s="125" t="s">
        <v>197</v>
      </c>
      <c r="Z10" s="126" t="s">
        <v>200</v>
      </c>
      <c r="AA10" s="124" t="s">
        <v>195</v>
      </c>
      <c r="AB10" s="125" t="s">
        <v>195</v>
      </c>
      <c r="AC10" s="126" t="s">
        <v>201</v>
      </c>
      <c r="AI10" t="str">
        <f t="shared" ref="AI10:AI11" si="11">IF(H11="",$F$6, IF(ISNUMBER(SEARCH("Sum", H11)), "Tổng", H11))</f>
        <v>DT cho NV đột xuất</v>
      </c>
      <c r="AJ10" t="str">
        <f t="shared" ref="AJ10:AJ11" si="12">IF(I11="",$F$6, IF(ISNUMBER(SEARCH("Sum", I11)), "Tổng", I11))</f>
        <v>DT SSCD</v>
      </c>
      <c r="AK10" t="str">
        <f t="shared" ref="AK10:AK11" si="13">IF(J11="",$F$6, IF(ISNUMBER(SEARCH("Sum", J11)), "Tổng", J11))</f>
        <v>TT</v>
      </c>
      <c r="AL10" t="str">
        <f t="shared" ref="AL10:AL11" si="14">IF(K11="",$F$6, IF(ISNUMBER(SEARCH("Sum", K11)), "Tổng", K11))</f>
        <v>Nhập khác</v>
      </c>
      <c r="AM10" t="str">
        <f t="shared" ref="AM10:AM11" si="15">IF(L11="",$F$6, IF(ISNUMBER(SEARCH("Sum", L11)), "Tổng", L11))</f>
        <v>CXD</v>
      </c>
      <c r="AN10" t="str">
        <f t="shared" ref="AN10:AN11" si="16">IF(M11="",$F$6, IF(ISNUMBER(SEARCH("Sum", M11)), "Tổng", M11))</f>
        <v>QC</v>
      </c>
      <c r="AO10" t="str">
        <f t="shared" ref="AO10:AO11" si="17">IF(N11="",$F$6, IF(ISNUMBER(SEARCH("Sum", N11)), "Tổng", N11))</f>
        <v>Mua P/cấp</v>
      </c>
      <c r="AP10" t="str">
        <f t="shared" ref="AP10:AP11" si="18">IF(O11="",$F$6, IF(ISNUMBER(SEARCH("Sum", O11)), "Tổng", O11))</f>
        <v>Khác</v>
      </c>
      <c r="AQ10" t="str">
        <f t="shared" ref="AQ10:AQ11" si="19">IF(P11="",$F$6, IF(ISNUMBER(SEARCH("Sum", P11)), "Tổng", P11))</f>
        <v>TT</v>
      </c>
      <c r="AR10" t="str">
        <f t="shared" ref="AR10:AR11" si="20">IF(Q11="",$F$6, IF(ISNUMBER(SEARCH("Sum", Q11)), "Tổng", Q11))</f>
        <v>Xuất khác</v>
      </c>
      <c r="AS10" t="str">
        <f t="shared" ref="AS10:AS11" si="21">IF(R11="",$F$6, IF(ISNUMBER(SEARCH("Sum", R11)), "Tổng", R11))</f>
        <v>Nhập khác</v>
      </c>
      <c r="AT10" t="str">
        <f t="shared" ref="AT10:AT11" si="22">IF(S11="",$F$6, IF(ISNUMBER(SEARCH("Sum", S11)), "Tổng", S11))</f>
        <v>CXD</v>
      </c>
      <c r="AU10" t="str">
        <f t="shared" ref="AU10:AU11" si="23">IF(T11="",$F$6, IF(ISNUMBER(SEARCH("Sum", T11)), "Tổng", T11))</f>
        <v>Khác</v>
      </c>
      <c r="AV10" t="str">
        <f t="shared" ref="AV10:AV11" si="24">IF(U11="",$F$6, IF(ISNUMBER(SEARCH("Sum", U11)), "Tổng", U11))</f>
        <v>TT Xe máy</v>
      </c>
      <c r="AW10" t="str">
        <f t="shared" ref="AW10:AW11" si="25">IF(V11="",$F$6, IF(ISNUMBER(SEARCH("Sum", V11)), "Tổng", V11))</f>
        <v>BQ</v>
      </c>
      <c r="AX10" t="str">
        <f t="shared" ref="AX10:AX11" si="26">IF(W11="",$F$6, IF(ISNUMBER(SEARCH("Sum", W11)), "Tổng", W11))</f>
        <v>Hao hụt</v>
      </c>
      <c r="AY10" t="str">
        <f t="shared" ref="AY10:AY11" si="27">IF(X11="",$F$6, IF(ISNUMBER(SEARCH("Sum", X11)), "Tổng", X11))</f>
        <v>Tổn thất</v>
      </c>
      <c r="AZ10" t="str">
        <f t="shared" ref="AZ10:AZ11" si="28">IF(Y11="",$F$6, IF(ISNUMBER(SEARCH("Sum", Y11)), "Tổng", Y11))</f>
        <v>f nội bộ</v>
      </c>
      <c r="BA10" t="str">
        <f t="shared" ref="BA10:BA11" si="29">IF(Z11="",$F$6, IF(ISNUMBER(SEARCH("Sum", Z11)), "Tổng", Z11))</f>
        <v>TT</v>
      </c>
      <c r="BB10" t="str">
        <f t="shared" ref="BB10:BB11" si="30">IF(AA11="",$F$6, IF(ISNUMBER(SEARCH("Sum", AA11)), "Tổng", AA11))</f>
        <v>DT cho NV đột xuất</v>
      </c>
      <c r="BC10" t="str">
        <f t="shared" ref="BC10:BC11" si="31">IF(AB11="",$F$6,SUBSTITUTE(AB11,"Sum",""))</f>
        <v>DT SSCD</v>
      </c>
      <c r="BD10" t="str">
        <f t="shared" ref="BD10:BD11" si="32">IF(AC11="",$F$6,SUBSTITUTE(AC11,"Sum",""))</f>
        <v>TT</v>
      </c>
      <c r="BE10"/>
      <c r="BF10"/>
      <c r="BG10"/>
      <c r="BH10"/>
      <c r="BI10"/>
      <c r="BJ10"/>
      <c r="BK10"/>
      <c r="BL10"/>
      <c r="BM10"/>
      <c r="BN10"/>
    </row>
    <row r="11" spans="1:66" s="4" customFormat="1" hidden="1" x14ac:dyDescent="0.25">
      <c r="A11" s="10"/>
      <c r="B11" s="8"/>
      <c r="F11" s="17"/>
      <c r="G11" s="90"/>
      <c r="H11" s="89" t="s">
        <v>176</v>
      </c>
      <c r="I11" s="91" t="s">
        <v>177</v>
      </c>
      <c r="J11" s="125"/>
      <c r="K11" s="89" t="s">
        <v>192</v>
      </c>
      <c r="L11" s="89" t="s">
        <v>175</v>
      </c>
      <c r="M11" s="89" t="s">
        <v>179</v>
      </c>
      <c r="N11" s="89" t="s">
        <v>178</v>
      </c>
      <c r="O11" s="91" t="s">
        <v>130</v>
      </c>
      <c r="P11" s="125"/>
      <c r="Q11" s="91" t="s">
        <v>193</v>
      </c>
      <c r="R11" s="89" t="s">
        <v>192</v>
      </c>
      <c r="S11" s="89" t="s">
        <v>175</v>
      </c>
      <c r="T11" s="89" t="s">
        <v>130</v>
      </c>
      <c r="U11" s="89" t="s">
        <v>180</v>
      </c>
      <c r="V11" s="89" t="s">
        <v>174</v>
      </c>
      <c r="W11" s="89" t="s">
        <v>139</v>
      </c>
      <c r="X11" s="91" t="s">
        <v>134</v>
      </c>
      <c r="Y11" s="89" t="s">
        <v>213</v>
      </c>
      <c r="Z11" s="125"/>
      <c r="AA11" s="89" t="s">
        <v>176</v>
      </c>
      <c r="AB11" s="91" t="s">
        <v>177</v>
      </c>
      <c r="AC11" s="125"/>
      <c r="AI11" t="str">
        <f t="shared" si="11"/>
        <v>DT cho NV đột xuất</v>
      </c>
      <c r="AJ11" t="str">
        <f t="shared" si="12"/>
        <v>DT SSCD</v>
      </c>
      <c r="AK11" t="str">
        <f t="shared" si="13"/>
        <v>TT</v>
      </c>
      <c r="AL11" t="str">
        <f t="shared" si="14"/>
        <v>Trong QC</v>
      </c>
      <c r="AM11" t="str">
        <f t="shared" si="15"/>
        <v>CXD</v>
      </c>
      <c r="AN11" t="str">
        <f t="shared" si="16"/>
        <v>QC</v>
      </c>
      <c r="AO11" t="str">
        <f t="shared" si="17"/>
        <v>Mua P/cấp</v>
      </c>
      <c r="AP11" t="str">
        <f t="shared" si="18"/>
        <v>Khác</v>
      </c>
      <c r="AQ11" t="str">
        <f t="shared" si="19"/>
        <v>TT</v>
      </c>
      <c r="AR11" t="str">
        <f t="shared" si="20"/>
        <v>Ngoài QC</v>
      </c>
      <c r="AS11" t="str">
        <f t="shared" si="21"/>
        <v>Trong QC</v>
      </c>
      <c r="AT11" t="str">
        <f t="shared" si="22"/>
        <v>CXD</v>
      </c>
      <c r="AU11" t="str">
        <f t="shared" si="23"/>
        <v>Khác</v>
      </c>
      <c r="AV11" t="str">
        <f t="shared" si="24"/>
        <v>TT Xe máy</v>
      </c>
      <c r="AW11" t="str">
        <f t="shared" si="25"/>
        <v>BQ</v>
      </c>
      <c r="AX11" t="str">
        <f t="shared" si="26"/>
        <v>Hao hụt</v>
      </c>
      <c r="AY11" t="str">
        <f t="shared" si="27"/>
        <v>Tổn thất</v>
      </c>
      <c r="AZ11" t="str">
        <f t="shared" si="28"/>
        <v>F nội bộ</v>
      </c>
      <c r="BA11" t="str">
        <f t="shared" si="29"/>
        <v>TT</v>
      </c>
      <c r="BB11" t="str">
        <f t="shared" si="30"/>
        <v>DT cho NV đột xuất</v>
      </c>
      <c r="BC11" t="str">
        <f t="shared" si="31"/>
        <v>DT SSCD</v>
      </c>
      <c r="BD11" t="str">
        <f t="shared" si="32"/>
        <v>TT</v>
      </c>
      <c r="BE11"/>
      <c r="BF11"/>
      <c r="BG11"/>
      <c r="BH11"/>
      <c r="BI11"/>
      <c r="BJ11"/>
      <c r="BK11"/>
      <c r="BL11"/>
      <c r="BM11"/>
      <c r="BN11"/>
    </row>
    <row r="12" spans="1:66" s="4" customFormat="1" hidden="1" x14ac:dyDescent="0.25">
      <c r="A12" s="10"/>
      <c r="B12" s="8"/>
      <c r="F12" s="19"/>
      <c r="G12" s="34" t="s">
        <v>202</v>
      </c>
      <c r="H12" s="91" t="s">
        <v>176</v>
      </c>
      <c r="I12" s="91" t="s">
        <v>177</v>
      </c>
      <c r="J12" s="125"/>
      <c r="K12" s="91" t="s">
        <v>131</v>
      </c>
      <c r="L12" s="91" t="s">
        <v>175</v>
      </c>
      <c r="M12" s="91" t="s">
        <v>179</v>
      </c>
      <c r="N12" s="91" t="s">
        <v>178</v>
      </c>
      <c r="O12" s="91" t="s">
        <v>130</v>
      </c>
      <c r="P12" s="125"/>
      <c r="Q12" s="91" t="s">
        <v>133</v>
      </c>
      <c r="R12" s="89" t="s">
        <v>131</v>
      </c>
      <c r="S12" s="89" t="s">
        <v>175</v>
      </c>
      <c r="T12" s="91" t="s">
        <v>130</v>
      </c>
      <c r="U12" s="91" t="s">
        <v>180</v>
      </c>
      <c r="V12" s="91" t="s">
        <v>174</v>
      </c>
      <c r="W12" s="91" t="s">
        <v>139</v>
      </c>
      <c r="X12" s="91" t="s">
        <v>134</v>
      </c>
      <c r="Y12" s="89" t="s">
        <v>214</v>
      </c>
      <c r="Z12" s="125"/>
      <c r="AA12" s="91" t="s">
        <v>176</v>
      </c>
      <c r="AB12" s="91" t="s">
        <v>177</v>
      </c>
      <c r="AC12" s="125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</row>
    <row r="13" spans="1:66" s="15" customFormat="1" ht="14.25" x14ac:dyDescent="0.2">
      <c r="A13" s="35"/>
      <c r="B13" s="14"/>
      <c r="F13" s="18" t="s">
        <v>204</v>
      </c>
      <c r="G13" s="26" t="s">
        <v>191</v>
      </c>
      <c r="H13" s="36">
        <v>160000</v>
      </c>
      <c r="I13" s="36">
        <v>160000</v>
      </c>
      <c r="J13" s="36">
        <v>320000</v>
      </c>
      <c r="K13" s="36">
        <v>0</v>
      </c>
      <c r="L13" s="36">
        <v>0</v>
      </c>
      <c r="M13" s="36">
        <v>0</v>
      </c>
      <c r="N13" s="36">
        <v>0</v>
      </c>
      <c r="O13" s="36">
        <v>0</v>
      </c>
      <c r="P13" s="36">
        <v>0</v>
      </c>
      <c r="Q13" s="36">
        <v>0</v>
      </c>
      <c r="R13" s="36">
        <v>11027</v>
      </c>
      <c r="S13" s="36">
        <v>0</v>
      </c>
      <c r="T13" s="36">
        <v>0</v>
      </c>
      <c r="U13" s="36">
        <v>0</v>
      </c>
      <c r="V13" s="36">
        <v>0</v>
      </c>
      <c r="W13" s="36">
        <v>0</v>
      </c>
      <c r="X13" s="36">
        <v>0</v>
      </c>
      <c r="Y13" s="36">
        <v>0</v>
      </c>
      <c r="Z13" s="36">
        <v>11027</v>
      </c>
      <c r="AA13" s="36">
        <v>142175</v>
      </c>
      <c r="AB13" s="36">
        <v>160000</v>
      </c>
      <c r="AC13" s="37">
        <v>302175</v>
      </c>
    </row>
    <row r="14" spans="1:66" hidden="1" x14ac:dyDescent="0.25">
      <c r="F14" s="16"/>
      <c r="G14" s="27" t="s">
        <v>205</v>
      </c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1"/>
    </row>
    <row r="15" spans="1:66" s="15" customFormat="1" ht="14.25" x14ac:dyDescent="0.2">
      <c r="A15" s="13"/>
      <c r="B15" s="14"/>
      <c r="F15" s="18">
        <v>1</v>
      </c>
      <c r="G15" s="29" t="s">
        <v>205</v>
      </c>
      <c r="H15" s="22">
        <v>40000</v>
      </c>
      <c r="I15" s="22">
        <v>40000</v>
      </c>
      <c r="J15" s="22">
        <v>80000</v>
      </c>
      <c r="K15" s="22">
        <v>0</v>
      </c>
      <c r="L15" s="22">
        <v>0</v>
      </c>
      <c r="M15" s="22">
        <v>0</v>
      </c>
      <c r="N15" s="22">
        <v>0</v>
      </c>
      <c r="O15" s="22">
        <v>0</v>
      </c>
      <c r="P15" s="22">
        <v>0</v>
      </c>
      <c r="Q15" s="22">
        <v>0</v>
      </c>
      <c r="R15" s="22">
        <v>2232</v>
      </c>
      <c r="S15" s="22">
        <v>0</v>
      </c>
      <c r="T15" s="22">
        <v>0</v>
      </c>
      <c r="U15" s="22">
        <v>0</v>
      </c>
      <c r="V15" s="22">
        <v>0</v>
      </c>
      <c r="W15" s="22">
        <v>0</v>
      </c>
      <c r="X15" s="22">
        <v>0</v>
      </c>
      <c r="Y15" s="22">
        <v>0</v>
      </c>
      <c r="Z15" s="22">
        <v>2232</v>
      </c>
      <c r="AA15" s="22">
        <v>37768</v>
      </c>
      <c r="AB15" s="22">
        <v>40000</v>
      </c>
      <c r="AC15" s="23">
        <v>77768</v>
      </c>
    </row>
    <row r="16" spans="1:66" x14ac:dyDescent="0.25">
      <c r="F16" s="16"/>
      <c r="G16" s="30" t="s">
        <v>41</v>
      </c>
      <c r="H16" s="20">
        <v>20000</v>
      </c>
      <c r="I16" s="20">
        <v>20000</v>
      </c>
      <c r="J16" s="20">
        <v>40000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0</v>
      </c>
      <c r="Q16" s="20">
        <v>0</v>
      </c>
      <c r="R16" s="20">
        <v>2232</v>
      </c>
      <c r="S16" s="20">
        <v>0</v>
      </c>
      <c r="T16" s="20">
        <v>0</v>
      </c>
      <c r="U16" s="20">
        <v>0</v>
      </c>
      <c r="V16" s="20">
        <v>0</v>
      </c>
      <c r="W16" s="20">
        <v>0</v>
      </c>
      <c r="X16" s="20">
        <v>0</v>
      </c>
      <c r="Y16" s="20">
        <v>0</v>
      </c>
      <c r="Z16" s="20">
        <v>2232</v>
      </c>
      <c r="AA16" s="20">
        <v>17768</v>
      </c>
      <c r="AB16" s="20">
        <v>20000</v>
      </c>
      <c r="AC16" s="21">
        <v>37768</v>
      </c>
    </row>
    <row r="17" spans="1:29" x14ac:dyDescent="0.25">
      <c r="B17" s="51"/>
      <c r="F17" s="16"/>
      <c r="G17" s="31" t="s">
        <v>44</v>
      </c>
      <c r="H17" s="20">
        <v>20000</v>
      </c>
      <c r="I17" s="20">
        <v>20000</v>
      </c>
      <c r="J17" s="20">
        <v>40000</v>
      </c>
      <c r="K17" s="20">
        <v>0</v>
      </c>
      <c r="L17" s="20">
        <v>0</v>
      </c>
      <c r="M17" s="20">
        <v>0</v>
      </c>
      <c r="N17" s="20">
        <v>0</v>
      </c>
      <c r="O17" s="20">
        <v>0</v>
      </c>
      <c r="P17" s="20">
        <v>0</v>
      </c>
      <c r="Q17" s="20">
        <v>0</v>
      </c>
      <c r="R17" s="20">
        <v>0</v>
      </c>
      <c r="S17" s="20">
        <v>0</v>
      </c>
      <c r="T17" s="20">
        <v>0</v>
      </c>
      <c r="U17" s="20">
        <v>0</v>
      </c>
      <c r="V17" s="20">
        <v>0</v>
      </c>
      <c r="W17" s="20">
        <v>0</v>
      </c>
      <c r="X17" s="20">
        <v>0</v>
      </c>
      <c r="Y17" s="20">
        <v>0</v>
      </c>
      <c r="Z17" s="20">
        <v>0</v>
      </c>
      <c r="AA17" s="20">
        <v>20000</v>
      </c>
      <c r="AB17" s="20">
        <v>20000</v>
      </c>
      <c r="AC17" s="21">
        <v>40000</v>
      </c>
    </row>
    <row r="18" spans="1:29" hidden="1" x14ac:dyDescent="0.25">
      <c r="F18" s="16"/>
      <c r="G18" s="27" t="s">
        <v>206</v>
      </c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1"/>
    </row>
    <row r="19" spans="1:29" s="15" customFormat="1" ht="14.25" x14ac:dyDescent="0.2">
      <c r="A19" s="13"/>
      <c r="B19" s="14"/>
      <c r="F19" s="18">
        <v>2</v>
      </c>
      <c r="G19" s="29" t="s">
        <v>206</v>
      </c>
      <c r="H19" s="22">
        <v>20000</v>
      </c>
      <c r="I19" s="22">
        <v>20000</v>
      </c>
      <c r="J19" s="22">
        <v>40000</v>
      </c>
      <c r="K19" s="22">
        <v>0</v>
      </c>
      <c r="L19" s="22">
        <v>0</v>
      </c>
      <c r="M19" s="22">
        <v>0</v>
      </c>
      <c r="N19" s="22">
        <v>0</v>
      </c>
      <c r="O19" s="22">
        <v>0</v>
      </c>
      <c r="P19" s="22">
        <v>0</v>
      </c>
      <c r="Q19" s="22">
        <v>0</v>
      </c>
      <c r="R19" s="22">
        <v>0</v>
      </c>
      <c r="S19" s="22">
        <v>0</v>
      </c>
      <c r="T19" s="22">
        <v>0</v>
      </c>
      <c r="U19" s="22">
        <v>0</v>
      </c>
      <c r="V19" s="22">
        <v>0</v>
      </c>
      <c r="W19" s="22">
        <v>0</v>
      </c>
      <c r="X19" s="22">
        <v>0</v>
      </c>
      <c r="Y19" s="22">
        <v>0</v>
      </c>
      <c r="Z19" s="22">
        <v>0</v>
      </c>
      <c r="AA19" s="22">
        <v>20000</v>
      </c>
      <c r="AB19" s="22">
        <v>20000</v>
      </c>
      <c r="AC19" s="23">
        <v>40000</v>
      </c>
    </row>
    <row r="20" spans="1:29" x14ac:dyDescent="0.25">
      <c r="F20" s="16"/>
      <c r="G20" s="32" t="s">
        <v>86</v>
      </c>
      <c r="H20" s="20">
        <v>20000</v>
      </c>
      <c r="I20" s="20">
        <v>20000</v>
      </c>
      <c r="J20" s="20">
        <v>40000</v>
      </c>
      <c r="K20" s="20">
        <v>0</v>
      </c>
      <c r="L20" s="20">
        <v>0</v>
      </c>
      <c r="M20" s="20">
        <v>0</v>
      </c>
      <c r="N20" s="20">
        <v>0</v>
      </c>
      <c r="O20" s="20">
        <v>0</v>
      </c>
      <c r="P20" s="20">
        <v>0</v>
      </c>
      <c r="Q20" s="20">
        <v>0</v>
      </c>
      <c r="R20" s="20">
        <v>0</v>
      </c>
      <c r="S20" s="20">
        <v>0</v>
      </c>
      <c r="T20" s="20">
        <v>0</v>
      </c>
      <c r="U20" s="20">
        <v>0</v>
      </c>
      <c r="V20" s="20">
        <v>0</v>
      </c>
      <c r="W20" s="20">
        <v>0</v>
      </c>
      <c r="X20" s="20">
        <v>0</v>
      </c>
      <c r="Y20" s="20">
        <v>0</v>
      </c>
      <c r="Z20" s="20">
        <v>0</v>
      </c>
      <c r="AA20" s="20">
        <v>20000</v>
      </c>
      <c r="AB20" s="20">
        <v>20000</v>
      </c>
      <c r="AC20" s="21">
        <v>40000</v>
      </c>
    </row>
    <row r="21" spans="1:29" hidden="1" x14ac:dyDescent="0.25">
      <c r="F21" s="16"/>
      <c r="G21" s="27" t="s">
        <v>207</v>
      </c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1"/>
    </row>
    <row r="22" spans="1:29" s="15" customFormat="1" ht="14.25" x14ac:dyDescent="0.2">
      <c r="A22" s="13"/>
      <c r="B22" s="14"/>
      <c r="F22" s="18"/>
      <c r="G22" s="29" t="s">
        <v>207</v>
      </c>
      <c r="H22" s="22">
        <v>40000</v>
      </c>
      <c r="I22" s="22">
        <v>40000</v>
      </c>
      <c r="J22" s="22">
        <v>80000</v>
      </c>
      <c r="K22" s="22">
        <v>0</v>
      </c>
      <c r="L22" s="22">
        <v>0</v>
      </c>
      <c r="M22" s="22">
        <v>0</v>
      </c>
      <c r="N22" s="22">
        <v>0</v>
      </c>
      <c r="O22" s="22">
        <v>0</v>
      </c>
      <c r="P22" s="22">
        <v>0</v>
      </c>
      <c r="Q22" s="22">
        <v>0</v>
      </c>
      <c r="R22" s="22">
        <v>0</v>
      </c>
      <c r="S22" s="22">
        <v>0</v>
      </c>
      <c r="T22" s="22">
        <v>0</v>
      </c>
      <c r="U22" s="22">
        <v>0</v>
      </c>
      <c r="V22" s="22">
        <v>0</v>
      </c>
      <c r="W22" s="22">
        <v>0</v>
      </c>
      <c r="X22" s="22">
        <v>0</v>
      </c>
      <c r="Y22" s="22">
        <v>0</v>
      </c>
      <c r="Z22" s="22">
        <v>0</v>
      </c>
      <c r="AA22" s="22">
        <v>40000</v>
      </c>
      <c r="AB22" s="22">
        <v>40000</v>
      </c>
      <c r="AC22" s="23">
        <v>80000</v>
      </c>
    </row>
    <row r="23" spans="1:29" x14ac:dyDescent="0.25">
      <c r="F23" s="16"/>
      <c r="G23" s="30" t="s">
        <v>98</v>
      </c>
      <c r="H23" s="20">
        <v>20000</v>
      </c>
      <c r="I23" s="20">
        <v>20000</v>
      </c>
      <c r="J23" s="20">
        <v>40000</v>
      </c>
      <c r="K23" s="20">
        <v>0</v>
      </c>
      <c r="L23" s="20">
        <v>0</v>
      </c>
      <c r="M23" s="20">
        <v>0</v>
      </c>
      <c r="N23" s="20">
        <v>0</v>
      </c>
      <c r="O23" s="20">
        <v>0</v>
      </c>
      <c r="P23" s="20">
        <v>0</v>
      </c>
      <c r="Q23" s="20">
        <v>0</v>
      </c>
      <c r="R23" s="20">
        <v>0</v>
      </c>
      <c r="S23" s="20">
        <v>0</v>
      </c>
      <c r="T23" s="20">
        <v>0</v>
      </c>
      <c r="U23" s="20">
        <v>0</v>
      </c>
      <c r="V23" s="20">
        <v>0</v>
      </c>
      <c r="W23" s="20">
        <v>0</v>
      </c>
      <c r="X23" s="20">
        <v>0</v>
      </c>
      <c r="Y23" s="20">
        <v>0</v>
      </c>
      <c r="Z23" s="20">
        <v>0</v>
      </c>
      <c r="AA23" s="20">
        <v>20000</v>
      </c>
      <c r="AB23" s="20">
        <v>20000</v>
      </c>
      <c r="AC23" s="21">
        <v>40000</v>
      </c>
    </row>
    <row r="24" spans="1:29" x14ac:dyDescent="0.25">
      <c r="F24" s="16"/>
      <c r="G24" s="31" t="s">
        <v>95</v>
      </c>
      <c r="H24" s="20">
        <v>20000</v>
      </c>
      <c r="I24" s="20">
        <v>20000</v>
      </c>
      <c r="J24" s="20">
        <v>40000</v>
      </c>
      <c r="K24" s="20">
        <v>0</v>
      </c>
      <c r="L24" s="20">
        <v>0</v>
      </c>
      <c r="M24" s="20">
        <v>0</v>
      </c>
      <c r="N24" s="20">
        <v>0</v>
      </c>
      <c r="O24" s="20">
        <v>0</v>
      </c>
      <c r="P24" s="20">
        <v>0</v>
      </c>
      <c r="Q24" s="20">
        <v>0</v>
      </c>
      <c r="R24" s="20">
        <v>0</v>
      </c>
      <c r="S24" s="20">
        <v>0</v>
      </c>
      <c r="T24" s="20">
        <v>0</v>
      </c>
      <c r="U24" s="20">
        <v>0</v>
      </c>
      <c r="V24" s="20">
        <v>0</v>
      </c>
      <c r="W24" s="20">
        <v>0</v>
      </c>
      <c r="X24" s="20">
        <v>0</v>
      </c>
      <c r="Y24" s="20">
        <v>0</v>
      </c>
      <c r="Z24" s="20">
        <v>0</v>
      </c>
      <c r="AA24" s="20">
        <v>20000</v>
      </c>
      <c r="AB24" s="20">
        <v>20000</v>
      </c>
      <c r="AC24" s="21">
        <v>40000</v>
      </c>
    </row>
    <row r="25" spans="1:29" hidden="1" x14ac:dyDescent="0.25">
      <c r="F25" s="16"/>
      <c r="G25" s="27" t="s">
        <v>208</v>
      </c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1"/>
    </row>
    <row r="26" spans="1:29" s="15" customFormat="1" ht="14.25" x14ac:dyDescent="0.2">
      <c r="A26" s="13"/>
      <c r="B26" s="14"/>
      <c r="F26" s="18">
        <v>3</v>
      </c>
      <c r="G26" s="29" t="s">
        <v>208</v>
      </c>
      <c r="H26" s="22">
        <v>60000</v>
      </c>
      <c r="I26" s="22">
        <v>60000</v>
      </c>
      <c r="J26" s="22">
        <v>120000</v>
      </c>
      <c r="K26" s="22">
        <v>0</v>
      </c>
      <c r="L26" s="22">
        <v>0</v>
      </c>
      <c r="M26" s="22">
        <v>0</v>
      </c>
      <c r="N26" s="22">
        <v>0</v>
      </c>
      <c r="O26" s="22">
        <v>0</v>
      </c>
      <c r="P26" s="22">
        <v>0</v>
      </c>
      <c r="Q26" s="22">
        <v>0</v>
      </c>
      <c r="R26" s="22">
        <v>8795</v>
      </c>
      <c r="S26" s="22">
        <v>0</v>
      </c>
      <c r="T26" s="22">
        <v>0</v>
      </c>
      <c r="U26" s="22">
        <v>0</v>
      </c>
      <c r="V26" s="22">
        <v>0</v>
      </c>
      <c r="W26" s="22">
        <v>0</v>
      </c>
      <c r="X26" s="22">
        <v>0</v>
      </c>
      <c r="Y26" s="22">
        <v>0</v>
      </c>
      <c r="Z26" s="22">
        <v>8795</v>
      </c>
      <c r="AA26" s="22">
        <v>44407</v>
      </c>
      <c r="AB26" s="22">
        <v>60000</v>
      </c>
      <c r="AC26" s="23">
        <v>104407</v>
      </c>
    </row>
    <row r="27" spans="1:29" ht="15.75" x14ac:dyDescent="0.25">
      <c r="F27" s="16"/>
      <c r="G27" s="30" t="s">
        <v>88</v>
      </c>
      <c r="H27" s="20">
        <v>20000</v>
      </c>
      <c r="I27" s="20">
        <v>20000</v>
      </c>
      <c r="J27" s="20">
        <v>40000</v>
      </c>
      <c r="K27" s="20">
        <v>0</v>
      </c>
      <c r="L27" s="20">
        <v>0</v>
      </c>
      <c r="M27" s="38">
        <v>0</v>
      </c>
      <c r="N27" s="20">
        <v>0</v>
      </c>
      <c r="O27" s="20">
        <v>0</v>
      </c>
      <c r="P27" s="20">
        <v>0</v>
      </c>
      <c r="Q27" s="20">
        <v>0</v>
      </c>
      <c r="R27" s="20">
        <v>2000</v>
      </c>
      <c r="S27" s="20">
        <v>0</v>
      </c>
      <c r="T27" s="20">
        <v>0</v>
      </c>
      <c r="U27" s="20">
        <v>0</v>
      </c>
      <c r="V27" s="20">
        <v>0</v>
      </c>
      <c r="W27" s="20">
        <v>0</v>
      </c>
      <c r="X27" s="20">
        <v>0</v>
      </c>
      <c r="Y27" s="20">
        <v>0</v>
      </c>
      <c r="Z27" s="20">
        <v>2000</v>
      </c>
      <c r="AA27" s="20">
        <v>18000</v>
      </c>
      <c r="AB27" s="20">
        <v>20000</v>
      </c>
      <c r="AC27" s="21">
        <v>38000</v>
      </c>
    </row>
    <row r="28" spans="1:29" x14ac:dyDescent="0.25">
      <c r="F28" s="16"/>
      <c r="G28" s="33" t="s">
        <v>98</v>
      </c>
      <c r="H28" s="20">
        <v>20000</v>
      </c>
      <c r="I28" s="20">
        <v>20000</v>
      </c>
      <c r="J28" s="20">
        <v>40000</v>
      </c>
      <c r="K28" s="20">
        <v>0</v>
      </c>
      <c r="L28" s="20">
        <v>0</v>
      </c>
      <c r="M28" s="20">
        <v>0</v>
      </c>
      <c r="N28" s="20">
        <v>0</v>
      </c>
      <c r="O28" s="20">
        <v>0</v>
      </c>
      <c r="P28" s="20">
        <v>0</v>
      </c>
      <c r="Q28" s="20">
        <v>0</v>
      </c>
      <c r="R28" s="20">
        <v>5564</v>
      </c>
      <c r="S28" s="20">
        <v>0</v>
      </c>
      <c r="T28" s="20">
        <v>0</v>
      </c>
      <c r="U28" s="20">
        <v>0</v>
      </c>
      <c r="V28" s="20">
        <v>0</v>
      </c>
      <c r="W28" s="20">
        <v>0</v>
      </c>
      <c r="X28" s="20">
        <v>0</v>
      </c>
      <c r="Y28" s="20">
        <v>0</v>
      </c>
      <c r="Z28" s="20">
        <v>5564</v>
      </c>
      <c r="AA28" s="20">
        <v>13202</v>
      </c>
      <c r="AB28" s="20">
        <v>20000</v>
      </c>
      <c r="AC28" s="21">
        <v>33202</v>
      </c>
    </row>
    <row r="29" spans="1:29" x14ac:dyDescent="0.25">
      <c r="F29" s="16"/>
      <c r="G29" s="31" t="s">
        <v>95</v>
      </c>
      <c r="H29" s="20">
        <v>20000</v>
      </c>
      <c r="I29" s="20">
        <v>20000</v>
      </c>
      <c r="J29" s="20">
        <v>40000</v>
      </c>
      <c r="K29" s="20">
        <v>0</v>
      </c>
      <c r="L29" s="20">
        <v>0</v>
      </c>
      <c r="M29" s="20">
        <v>0</v>
      </c>
      <c r="N29" s="20">
        <v>0</v>
      </c>
      <c r="O29" s="20">
        <v>0</v>
      </c>
      <c r="P29" s="20">
        <v>0</v>
      </c>
      <c r="Q29" s="20">
        <v>0</v>
      </c>
      <c r="R29" s="20">
        <v>1231</v>
      </c>
      <c r="S29" s="20">
        <v>0</v>
      </c>
      <c r="T29" s="20">
        <v>0</v>
      </c>
      <c r="U29" s="20">
        <v>0</v>
      </c>
      <c r="V29" s="20">
        <v>0</v>
      </c>
      <c r="W29" s="20">
        <v>0</v>
      </c>
      <c r="X29" s="20">
        <v>0</v>
      </c>
      <c r="Y29" s="20">
        <v>0</v>
      </c>
      <c r="Z29" s="20">
        <v>1231</v>
      </c>
      <c r="AA29" s="20">
        <v>13205</v>
      </c>
      <c r="AB29" s="20">
        <v>20000</v>
      </c>
      <c r="AC29" s="21">
        <v>33205</v>
      </c>
    </row>
    <row r="30" spans="1:29" s="15" customFormat="1" ht="14.25" x14ac:dyDescent="0.2">
      <c r="A30" s="13"/>
      <c r="B30" s="14"/>
      <c r="F30" s="18" t="s">
        <v>210</v>
      </c>
      <c r="G30" s="26" t="s">
        <v>209</v>
      </c>
      <c r="H30" s="22">
        <v>860000</v>
      </c>
      <c r="I30" s="22">
        <v>860000</v>
      </c>
      <c r="J30" s="22">
        <v>1720000</v>
      </c>
      <c r="K30" s="22">
        <v>0</v>
      </c>
      <c r="L30" s="22">
        <v>0</v>
      </c>
      <c r="M30" s="22">
        <v>0</v>
      </c>
      <c r="N30" s="22">
        <v>0</v>
      </c>
      <c r="O30" s="22">
        <v>0</v>
      </c>
      <c r="P30" s="22">
        <v>0</v>
      </c>
      <c r="Q30" s="22">
        <v>0</v>
      </c>
      <c r="R30" s="22">
        <v>0</v>
      </c>
      <c r="S30" s="22">
        <v>0</v>
      </c>
      <c r="T30" s="22">
        <v>0</v>
      </c>
      <c r="U30" s="22">
        <v>0</v>
      </c>
      <c r="V30" s="22">
        <v>0</v>
      </c>
      <c r="W30" s="22">
        <v>0</v>
      </c>
      <c r="X30" s="22">
        <v>0</v>
      </c>
      <c r="Y30" s="22">
        <v>0</v>
      </c>
      <c r="Z30" s="22">
        <v>0</v>
      </c>
      <c r="AA30" s="22">
        <v>860000</v>
      </c>
      <c r="AB30" s="22">
        <v>860000</v>
      </c>
      <c r="AC30" s="23">
        <v>1720000</v>
      </c>
    </row>
    <row r="31" spans="1:29" s="15" customFormat="1" ht="14.25" x14ac:dyDescent="0.2">
      <c r="A31" s="13"/>
      <c r="B31" s="14"/>
      <c r="F31" s="18" t="s">
        <v>211</v>
      </c>
      <c r="G31" s="28" t="s">
        <v>190</v>
      </c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3"/>
    </row>
    <row r="32" spans="1:29" s="15" customFormat="1" ht="14.25" x14ac:dyDescent="0.2">
      <c r="A32" s="13"/>
      <c r="B32" s="14"/>
      <c r="F32" s="18">
        <v>1</v>
      </c>
      <c r="G32" s="29" t="s">
        <v>182</v>
      </c>
      <c r="H32" s="22">
        <v>200000</v>
      </c>
      <c r="I32" s="22">
        <v>200000</v>
      </c>
      <c r="J32" s="22">
        <v>400000</v>
      </c>
      <c r="K32" s="22">
        <v>0</v>
      </c>
      <c r="L32" s="22">
        <v>0</v>
      </c>
      <c r="M32" s="22">
        <v>0</v>
      </c>
      <c r="N32" s="22">
        <v>0</v>
      </c>
      <c r="O32" s="22">
        <v>0</v>
      </c>
      <c r="P32" s="22">
        <v>0</v>
      </c>
      <c r="Q32" s="22">
        <v>0</v>
      </c>
      <c r="R32" s="22">
        <v>0</v>
      </c>
      <c r="S32" s="22">
        <v>0</v>
      </c>
      <c r="T32" s="22">
        <v>0</v>
      </c>
      <c r="U32" s="22">
        <v>0</v>
      </c>
      <c r="V32" s="22">
        <v>0</v>
      </c>
      <c r="W32" s="22">
        <v>0</v>
      </c>
      <c r="X32" s="22">
        <v>0</v>
      </c>
      <c r="Y32" s="22">
        <v>0</v>
      </c>
      <c r="Z32" s="22">
        <v>0</v>
      </c>
      <c r="AA32" s="22">
        <v>200000</v>
      </c>
      <c r="AB32" s="22">
        <v>200000</v>
      </c>
      <c r="AC32" s="23">
        <v>400000</v>
      </c>
    </row>
    <row r="33" spans="1:29" x14ac:dyDescent="0.25">
      <c r="F33" s="16"/>
      <c r="G33" s="30" t="s">
        <v>104</v>
      </c>
      <c r="H33" s="20">
        <v>20000</v>
      </c>
      <c r="I33" s="20">
        <v>20000</v>
      </c>
      <c r="J33" s="20">
        <v>40000</v>
      </c>
      <c r="K33" s="20">
        <v>0</v>
      </c>
      <c r="L33" s="20">
        <v>0</v>
      </c>
      <c r="M33" s="20">
        <v>0</v>
      </c>
      <c r="N33" s="20">
        <v>0</v>
      </c>
      <c r="O33" s="20">
        <v>0</v>
      </c>
      <c r="P33" s="20">
        <v>0</v>
      </c>
      <c r="Q33" s="20">
        <v>0</v>
      </c>
      <c r="R33" s="20">
        <v>0</v>
      </c>
      <c r="S33" s="20">
        <v>0</v>
      </c>
      <c r="T33" s="20">
        <v>0</v>
      </c>
      <c r="U33" s="20">
        <v>0</v>
      </c>
      <c r="V33" s="20">
        <v>0</v>
      </c>
      <c r="W33" s="20">
        <v>0</v>
      </c>
      <c r="X33" s="20">
        <v>0</v>
      </c>
      <c r="Y33" s="20">
        <v>0</v>
      </c>
      <c r="Z33" s="20">
        <v>0</v>
      </c>
      <c r="AA33" s="20">
        <v>20000</v>
      </c>
      <c r="AB33" s="20">
        <v>20000</v>
      </c>
      <c r="AC33" s="21">
        <v>40000</v>
      </c>
    </row>
    <row r="34" spans="1:29" x14ac:dyDescent="0.25">
      <c r="F34" s="16"/>
      <c r="G34" s="33" t="s">
        <v>105</v>
      </c>
      <c r="H34" s="20">
        <v>20000</v>
      </c>
      <c r="I34" s="20">
        <v>20000</v>
      </c>
      <c r="J34" s="20">
        <v>40000</v>
      </c>
      <c r="K34" s="20">
        <v>0</v>
      </c>
      <c r="L34" s="20">
        <v>0</v>
      </c>
      <c r="M34" s="20">
        <v>0</v>
      </c>
      <c r="N34" s="20">
        <v>0</v>
      </c>
      <c r="O34" s="20">
        <v>0</v>
      </c>
      <c r="P34" s="20">
        <v>0</v>
      </c>
      <c r="Q34" s="20">
        <v>0</v>
      </c>
      <c r="R34" s="20">
        <v>0</v>
      </c>
      <c r="S34" s="20">
        <v>0</v>
      </c>
      <c r="T34" s="20">
        <v>0</v>
      </c>
      <c r="U34" s="20">
        <v>0</v>
      </c>
      <c r="V34" s="20">
        <v>0</v>
      </c>
      <c r="W34" s="20">
        <v>0</v>
      </c>
      <c r="X34" s="20">
        <v>0</v>
      </c>
      <c r="Y34" s="20">
        <v>0</v>
      </c>
      <c r="Z34" s="20">
        <v>0</v>
      </c>
      <c r="AA34" s="20">
        <v>20000</v>
      </c>
      <c r="AB34" s="20">
        <v>20000</v>
      </c>
      <c r="AC34" s="21">
        <v>40000</v>
      </c>
    </row>
    <row r="35" spans="1:29" x14ac:dyDescent="0.25">
      <c r="F35" s="16"/>
      <c r="G35" s="33" t="s">
        <v>46</v>
      </c>
      <c r="H35" s="20">
        <v>20000</v>
      </c>
      <c r="I35" s="20">
        <v>20000</v>
      </c>
      <c r="J35" s="20">
        <v>40000</v>
      </c>
      <c r="K35" s="20">
        <v>0</v>
      </c>
      <c r="L35" s="20">
        <v>0</v>
      </c>
      <c r="M35" s="20">
        <v>0</v>
      </c>
      <c r="N35" s="20">
        <v>0</v>
      </c>
      <c r="O35" s="20">
        <v>0</v>
      </c>
      <c r="P35" s="20">
        <v>0</v>
      </c>
      <c r="Q35" s="20">
        <v>0</v>
      </c>
      <c r="R35" s="20">
        <v>0</v>
      </c>
      <c r="S35" s="20">
        <v>0</v>
      </c>
      <c r="T35" s="20">
        <v>0</v>
      </c>
      <c r="U35" s="20">
        <v>0</v>
      </c>
      <c r="V35" s="20">
        <v>0</v>
      </c>
      <c r="W35" s="20">
        <v>0</v>
      </c>
      <c r="X35" s="20">
        <v>0</v>
      </c>
      <c r="Y35" s="20">
        <v>0</v>
      </c>
      <c r="Z35" s="20">
        <v>0</v>
      </c>
      <c r="AA35" s="20">
        <v>20000</v>
      </c>
      <c r="AB35" s="20">
        <v>20000</v>
      </c>
      <c r="AC35" s="21">
        <v>40000</v>
      </c>
    </row>
    <row r="36" spans="1:29" x14ac:dyDescent="0.25">
      <c r="F36" s="16"/>
      <c r="G36" s="33" t="s">
        <v>99</v>
      </c>
      <c r="H36" s="20">
        <v>20000</v>
      </c>
      <c r="I36" s="20">
        <v>20000</v>
      </c>
      <c r="J36" s="20">
        <v>40000</v>
      </c>
      <c r="K36" s="20">
        <v>0</v>
      </c>
      <c r="L36" s="20">
        <v>0</v>
      </c>
      <c r="M36" s="20">
        <v>0</v>
      </c>
      <c r="N36" s="20">
        <v>0</v>
      </c>
      <c r="O36" s="20">
        <v>0</v>
      </c>
      <c r="P36" s="20">
        <v>0</v>
      </c>
      <c r="Q36" s="20">
        <v>0</v>
      </c>
      <c r="R36" s="20">
        <v>0</v>
      </c>
      <c r="S36" s="20">
        <v>0</v>
      </c>
      <c r="T36" s="20">
        <v>0</v>
      </c>
      <c r="U36" s="20">
        <v>0</v>
      </c>
      <c r="V36" s="20">
        <v>0</v>
      </c>
      <c r="W36" s="20">
        <v>0</v>
      </c>
      <c r="X36" s="20">
        <v>0</v>
      </c>
      <c r="Y36" s="20">
        <v>0</v>
      </c>
      <c r="Z36" s="20">
        <v>0</v>
      </c>
      <c r="AA36" s="20">
        <v>20000</v>
      </c>
      <c r="AB36" s="20">
        <v>20000</v>
      </c>
      <c r="AC36" s="21">
        <v>40000</v>
      </c>
    </row>
    <row r="37" spans="1:29" x14ac:dyDescent="0.25">
      <c r="F37" s="16"/>
      <c r="G37" s="33" t="s">
        <v>102</v>
      </c>
      <c r="H37" s="20">
        <v>20000</v>
      </c>
      <c r="I37" s="20">
        <v>20000</v>
      </c>
      <c r="J37" s="20">
        <v>40000</v>
      </c>
      <c r="K37" s="20">
        <v>0</v>
      </c>
      <c r="L37" s="20">
        <v>0</v>
      </c>
      <c r="M37" s="20">
        <v>0</v>
      </c>
      <c r="N37" s="20">
        <v>0</v>
      </c>
      <c r="O37" s="20">
        <v>0</v>
      </c>
      <c r="P37" s="20">
        <v>0</v>
      </c>
      <c r="Q37" s="20">
        <v>0</v>
      </c>
      <c r="R37" s="20">
        <v>0</v>
      </c>
      <c r="S37" s="20">
        <v>0</v>
      </c>
      <c r="T37" s="20">
        <v>0</v>
      </c>
      <c r="U37" s="20">
        <v>0</v>
      </c>
      <c r="V37" s="20">
        <v>0</v>
      </c>
      <c r="W37" s="20">
        <v>0</v>
      </c>
      <c r="X37" s="20">
        <v>0</v>
      </c>
      <c r="Y37" s="20">
        <v>0</v>
      </c>
      <c r="Z37" s="20">
        <v>0</v>
      </c>
      <c r="AA37" s="20">
        <v>20000</v>
      </c>
      <c r="AB37" s="20">
        <v>20000</v>
      </c>
      <c r="AC37" s="21">
        <v>40000</v>
      </c>
    </row>
    <row r="38" spans="1:29" x14ac:dyDescent="0.25">
      <c r="F38" s="16"/>
      <c r="G38" s="33" t="s">
        <v>103</v>
      </c>
      <c r="H38" s="20">
        <v>20000</v>
      </c>
      <c r="I38" s="20">
        <v>20000</v>
      </c>
      <c r="J38" s="20">
        <v>40000</v>
      </c>
      <c r="K38" s="20">
        <v>0</v>
      </c>
      <c r="L38" s="20">
        <v>0</v>
      </c>
      <c r="M38" s="20">
        <v>0</v>
      </c>
      <c r="N38" s="20">
        <v>0</v>
      </c>
      <c r="O38" s="20">
        <v>0</v>
      </c>
      <c r="P38" s="20">
        <v>0</v>
      </c>
      <c r="Q38" s="20">
        <v>0</v>
      </c>
      <c r="R38" s="20">
        <v>0</v>
      </c>
      <c r="S38" s="20">
        <v>0</v>
      </c>
      <c r="T38" s="20">
        <v>0</v>
      </c>
      <c r="U38" s="20">
        <v>0</v>
      </c>
      <c r="V38" s="20">
        <v>0</v>
      </c>
      <c r="W38" s="20">
        <v>0</v>
      </c>
      <c r="X38" s="20">
        <v>0</v>
      </c>
      <c r="Y38" s="20">
        <v>0</v>
      </c>
      <c r="Z38" s="20">
        <v>0</v>
      </c>
      <c r="AA38" s="20">
        <v>20000</v>
      </c>
      <c r="AB38" s="20">
        <v>20000</v>
      </c>
      <c r="AC38" s="21">
        <v>40000</v>
      </c>
    </row>
    <row r="39" spans="1:29" x14ac:dyDescent="0.25">
      <c r="F39" s="16"/>
      <c r="G39" s="33" t="s">
        <v>107</v>
      </c>
      <c r="H39" s="20">
        <v>20000</v>
      </c>
      <c r="I39" s="20">
        <v>20000</v>
      </c>
      <c r="J39" s="20">
        <v>40000</v>
      </c>
      <c r="K39" s="20">
        <v>0</v>
      </c>
      <c r="L39" s="20">
        <v>0</v>
      </c>
      <c r="M39" s="20">
        <v>0</v>
      </c>
      <c r="N39" s="20">
        <v>0</v>
      </c>
      <c r="O39" s="20">
        <v>0</v>
      </c>
      <c r="P39" s="20">
        <v>0</v>
      </c>
      <c r="Q39" s="20">
        <v>0</v>
      </c>
      <c r="R39" s="20">
        <v>0</v>
      </c>
      <c r="S39" s="20">
        <v>0</v>
      </c>
      <c r="T39" s="20">
        <v>0</v>
      </c>
      <c r="U39" s="20">
        <v>0</v>
      </c>
      <c r="V39" s="20">
        <v>0</v>
      </c>
      <c r="W39" s="20">
        <v>0</v>
      </c>
      <c r="X39" s="20">
        <v>0</v>
      </c>
      <c r="Y39" s="20">
        <v>0</v>
      </c>
      <c r="Z39" s="20">
        <v>0</v>
      </c>
      <c r="AA39" s="20">
        <v>20000</v>
      </c>
      <c r="AB39" s="20">
        <v>20000</v>
      </c>
      <c r="AC39" s="21">
        <v>40000</v>
      </c>
    </row>
    <row r="40" spans="1:29" x14ac:dyDescent="0.25">
      <c r="F40" s="16"/>
      <c r="G40" s="33" t="s">
        <v>109</v>
      </c>
      <c r="H40" s="20">
        <v>20000</v>
      </c>
      <c r="I40" s="20">
        <v>20000</v>
      </c>
      <c r="J40" s="20">
        <v>40000</v>
      </c>
      <c r="K40" s="20">
        <v>0</v>
      </c>
      <c r="L40" s="20">
        <v>0</v>
      </c>
      <c r="M40" s="20">
        <v>0</v>
      </c>
      <c r="N40" s="20">
        <v>0</v>
      </c>
      <c r="O40" s="20">
        <v>0</v>
      </c>
      <c r="P40" s="20">
        <v>0</v>
      </c>
      <c r="Q40" s="20">
        <v>0</v>
      </c>
      <c r="R40" s="20">
        <v>0</v>
      </c>
      <c r="S40" s="20">
        <v>0</v>
      </c>
      <c r="T40" s="20">
        <v>0</v>
      </c>
      <c r="U40" s="20">
        <v>0</v>
      </c>
      <c r="V40" s="20">
        <v>0</v>
      </c>
      <c r="W40" s="20">
        <v>0</v>
      </c>
      <c r="X40" s="20">
        <v>0</v>
      </c>
      <c r="Y40" s="20">
        <v>0</v>
      </c>
      <c r="Z40" s="20">
        <v>0</v>
      </c>
      <c r="AA40" s="20">
        <v>20000</v>
      </c>
      <c r="AB40" s="20">
        <v>20000</v>
      </c>
      <c r="AC40" s="21">
        <v>40000</v>
      </c>
    </row>
    <row r="41" spans="1:29" x14ac:dyDescent="0.25">
      <c r="F41" s="16"/>
      <c r="G41" s="33" t="s">
        <v>108</v>
      </c>
      <c r="H41" s="20">
        <v>20000</v>
      </c>
      <c r="I41" s="20">
        <v>20000</v>
      </c>
      <c r="J41" s="20">
        <v>40000</v>
      </c>
      <c r="K41" s="20">
        <v>0</v>
      </c>
      <c r="L41" s="20">
        <v>0</v>
      </c>
      <c r="M41" s="20">
        <v>0</v>
      </c>
      <c r="N41" s="20">
        <v>0</v>
      </c>
      <c r="O41" s="20">
        <v>0</v>
      </c>
      <c r="P41" s="20">
        <v>0</v>
      </c>
      <c r="Q41" s="20">
        <v>0</v>
      </c>
      <c r="R41" s="20">
        <v>0</v>
      </c>
      <c r="S41" s="20">
        <v>0</v>
      </c>
      <c r="T41" s="20">
        <v>0</v>
      </c>
      <c r="U41" s="20">
        <v>0</v>
      </c>
      <c r="V41" s="20">
        <v>0</v>
      </c>
      <c r="W41" s="20">
        <v>0</v>
      </c>
      <c r="X41" s="20">
        <v>0</v>
      </c>
      <c r="Y41" s="20">
        <v>0</v>
      </c>
      <c r="Z41" s="20">
        <v>0</v>
      </c>
      <c r="AA41" s="20">
        <v>20000</v>
      </c>
      <c r="AB41" s="20">
        <v>20000</v>
      </c>
      <c r="AC41" s="21">
        <v>40000</v>
      </c>
    </row>
    <row r="42" spans="1:29" x14ac:dyDescent="0.25">
      <c r="F42" s="16"/>
      <c r="G42" s="31" t="s">
        <v>106</v>
      </c>
      <c r="H42" s="20">
        <v>20000</v>
      </c>
      <c r="I42" s="20">
        <v>20000</v>
      </c>
      <c r="J42" s="20">
        <v>40000</v>
      </c>
      <c r="K42" s="20">
        <v>0</v>
      </c>
      <c r="L42" s="20">
        <v>0</v>
      </c>
      <c r="M42" s="20">
        <v>0</v>
      </c>
      <c r="N42" s="20">
        <v>0</v>
      </c>
      <c r="O42" s="20">
        <v>0</v>
      </c>
      <c r="P42" s="20">
        <v>0</v>
      </c>
      <c r="Q42" s="20">
        <v>0</v>
      </c>
      <c r="R42" s="20">
        <v>0</v>
      </c>
      <c r="S42" s="20">
        <v>0</v>
      </c>
      <c r="T42" s="20">
        <v>0</v>
      </c>
      <c r="U42" s="20">
        <v>0</v>
      </c>
      <c r="V42" s="20">
        <v>0</v>
      </c>
      <c r="W42" s="20">
        <v>0</v>
      </c>
      <c r="X42" s="20">
        <v>0</v>
      </c>
      <c r="Y42" s="20">
        <v>0</v>
      </c>
      <c r="Z42" s="20">
        <v>0</v>
      </c>
      <c r="AA42" s="20">
        <v>20000</v>
      </c>
      <c r="AB42" s="20">
        <v>20000</v>
      </c>
      <c r="AC42" s="21">
        <v>40000</v>
      </c>
    </row>
    <row r="43" spans="1:29" s="15" customFormat="1" ht="14.25" x14ac:dyDescent="0.2">
      <c r="A43" s="13"/>
      <c r="B43" s="14"/>
      <c r="F43" s="18">
        <v>2</v>
      </c>
      <c r="G43" s="29" t="s">
        <v>181</v>
      </c>
      <c r="H43" s="22">
        <v>40000</v>
      </c>
      <c r="I43" s="22">
        <v>40000</v>
      </c>
      <c r="J43" s="22">
        <v>80000</v>
      </c>
      <c r="K43" s="22">
        <v>0</v>
      </c>
      <c r="L43" s="22">
        <v>0</v>
      </c>
      <c r="M43" s="22">
        <v>0</v>
      </c>
      <c r="N43" s="22">
        <v>0</v>
      </c>
      <c r="O43" s="22">
        <v>0</v>
      </c>
      <c r="P43" s="22">
        <v>0</v>
      </c>
      <c r="Q43" s="22">
        <v>0</v>
      </c>
      <c r="R43" s="22">
        <v>0</v>
      </c>
      <c r="S43" s="22">
        <v>0</v>
      </c>
      <c r="T43" s="22">
        <v>0</v>
      </c>
      <c r="U43" s="22">
        <v>0</v>
      </c>
      <c r="V43" s="22">
        <v>0</v>
      </c>
      <c r="W43" s="22">
        <v>0</v>
      </c>
      <c r="X43" s="22">
        <v>0</v>
      </c>
      <c r="Y43" s="22">
        <v>0</v>
      </c>
      <c r="Z43" s="22">
        <v>0</v>
      </c>
      <c r="AA43" s="22">
        <v>40000</v>
      </c>
      <c r="AB43" s="22">
        <v>40000</v>
      </c>
      <c r="AC43" s="23">
        <v>80000</v>
      </c>
    </row>
    <row r="44" spans="1:29" x14ac:dyDescent="0.25">
      <c r="F44" s="16"/>
      <c r="G44" s="30" t="s">
        <v>118</v>
      </c>
      <c r="H44" s="20">
        <v>20000</v>
      </c>
      <c r="I44" s="20">
        <v>20000</v>
      </c>
      <c r="J44" s="20">
        <v>40000</v>
      </c>
      <c r="K44" s="20">
        <v>0</v>
      </c>
      <c r="L44" s="20">
        <v>0</v>
      </c>
      <c r="M44" s="20">
        <v>0</v>
      </c>
      <c r="N44" s="20">
        <v>0</v>
      </c>
      <c r="O44" s="20">
        <v>0</v>
      </c>
      <c r="P44" s="20">
        <v>0</v>
      </c>
      <c r="Q44" s="20">
        <v>0</v>
      </c>
      <c r="R44" s="20">
        <v>0</v>
      </c>
      <c r="S44" s="20">
        <v>0</v>
      </c>
      <c r="T44" s="20">
        <v>0</v>
      </c>
      <c r="U44" s="20">
        <v>0</v>
      </c>
      <c r="V44" s="20">
        <v>0</v>
      </c>
      <c r="W44" s="20">
        <v>0</v>
      </c>
      <c r="X44" s="20">
        <v>0</v>
      </c>
      <c r="Y44" s="20">
        <v>0</v>
      </c>
      <c r="Z44" s="20">
        <v>0</v>
      </c>
      <c r="AA44" s="20">
        <v>20000</v>
      </c>
      <c r="AB44" s="20">
        <v>20000</v>
      </c>
      <c r="AC44" s="21">
        <v>40000</v>
      </c>
    </row>
    <row r="45" spans="1:29" x14ac:dyDescent="0.25">
      <c r="F45" s="16"/>
      <c r="G45" s="31" t="s">
        <v>116</v>
      </c>
      <c r="H45" s="20">
        <v>20000</v>
      </c>
      <c r="I45" s="20">
        <v>20000</v>
      </c>
      <c r="J45" s="20">
        <v>40000</v>
      </c>
      <c r="K45" s="20">
        <v>0</v>
      </c>
      <c r="L45" s="20">
        <v>0</v>
      </c>
      <c r="M45" s="20">
        <v>0</v>
      </c>
      <c r="N45" s="20">
        <v>0</v>
      </c>
      <c r="O45" s="20">
        <v>0</v>
      </c>
      <c r="P45" s="20">
        <v>0</v>
      </c>
      <c r="Q45" s="20">
        <v>0</v>
      </c>
      <c r="R45" s="20">
        <v>0</v>
      </c>
      <c r="S45" s="20">
        <v>0</v>
      </c>
      <c r="T45" s="20">
        <v>0</v>
      </c>
      <c r="U45" s="20">
        <v>0</v>
      </c>
      <c r="V45" s="20">
        <v>0</v>
      </c>
      <c r="W45" s="20">
        <v>0</v>
      </c>
      <c r="X45" s="20">
        <v>0</v>
      </c>
      <c r="Y45" s="20">
        <v>0</v>
      </c>
      <c r="Z45" s="20">
        <v>0</v>
      </c>
      <c r="AA45" s="20">
        <v>20000</v>
      </c>
      <c r="AB45" s="20">
        <v>20000</v>
      </c>
      <c r="AC45" s="21">
        <v>40000</v>
      </c>
    </row>
    <row r="46" spans="1:29" s="15" customFormat="1" ht="14.25" x14ac:dyDescent="0.2">
      <c r="A46" s="13"/>
      <c r="B46" s="14"/>
      <c r="F46" s="18">
        <v>3</v>
      </c>
      <c r="G46" s="29" t="s">
        <v>186</v>
      </c>
      <c r="H46" s="22">
        <v>100000</v>
      </c>
      <c r="I46" s="22">
        <v>100000</v>
      </c>
      <c r="J46" s="22">
        <v>200000</v>
      </c>
      <c r="K46" s="22">
        <v>0</v>
      </c>
      <c r="L46" s="22">
        <v>0</v>
      </c>
      <c r="M46" s="22">
        <v>0</v>
      </c>
      <c r="N46" s="22">
        <v>0</v>
      </c>
      <c r="O46" s="22">
        <v>0</v>
      </c>
      <c r="P46" s="22">
        <v>0</v>
      </c>
      <c r="Q46" s="22">
        <v>0</v>
      </c>
      <c r="R46" s="22">
        <v>0</v>
      </c>
      <c r="S46" s="22">
        <v>0</v>
      </c>
      <c r="T46" s="22">
        <v>0</v>
      </c>
      <c r="U46" s="22">
        <v>0</v>
      </c>
      <c r="V46" s="22">
        <v>0</v>
      </c>
      <c r="W46" s="22">
        <v>0</v>
      </c>
      <c r="X46" s="22">
        <v>0</v>
      </c>
      <c r="Y46" s="22">
        <v>0</v>
      </c>
      <c r="Z46" s="22">
        <v>0</v>
      </c>
      <c r="AA46" s="22">
        <v>100000</v>
      </c>
      <c r="AB46" s="22">
        <v>100000</v>
      </c>
      <c r="AC46" s="23">
        <v>200000</v>
      </c>
    </row>
    <row r="47" spans="1:29" x14ac:dyDescent="0.25">
      <c r="F47" s="16"/>
      <c r="G47" s="30" t="s">
        <v>110</v>
      </c>
      <c r="H47" s="20">
        <v>20000</v>
      </c>
      <c r="I47" s="20">
        <v>20000</v>
      </c>
      <c r="J47" s="20">
        <v>40000</v>
      </c>
      <c r="K47" s="20">
        <v>0</v>
      </c>
      <c r="L47" s="20">
        <v>0</v>
      </c>
      <c r="M47" s="20">
        <v>0</v>
      </c>
      <c r="N47" s="20">
        <v>0</v>
      </c>
      <c r="O47" s="20">
        <v>0</v>
      </c>
      <c r="P47" s="20">
        <v>0</v>
      </c>
      <c r="Q47" s="20">
        <v>0</v>
      </c>
      <c r="R47" s="20">
        <v>0</v>
      </c>
      <c r="S47" s="20">
        <v>0</v>
      </c>
      <c r="T47" s="20">
        <v>0</v>
      </c>
      <c r="U47" s="20">
        <v>0</v>
      </c>
      <c r="V47" s="20">
        <v>0</v>
      </c>
      <c r="W47" s="20">
        <v>0</v>
      </c>
      <c r="X47" s="20">
        <v>0</v>
      </c>
      <c r="Y47" s="20">
        <v>0</v>
      </c>
      <c r="Z47" s="20">
        <v>0</v>
      </c>
      <c r="AA47" s="20">
        <v>20000</v>
      </c>
      <c r="AB47" s="20">
        <v>20000</v>
      </c>
      <c r="AC47" s="21">
        <v>40000</v>
      </c>
    </row>
    <row r="48" spans="1:29" x14ac:dyDescent="0.25">
      <c r="F48" s="16"/>
      <c r="G48" s="33" t="s">
        <v>114</v>
      </c>
      <c r="H48" s="20">
        <v>20000</v>
      </c>
      <c r="I48" s="20">
        <v>20000</v>
      </c>
      <c r="J48" s="20">
        <v>40000</v>
      </c>
      <c r="K48" s="20">
        <v>0</v>
      </c>
      <c r="L48" s="20">
        <v>0</v>
      </c>
      <c r="M48" s="20">
        <v>0</v>
      </c>
      <c r="N48" s="20">
        <v>0</v>
      </c>
      <c r="O48" s="20">
        <v>0</v>
      </c>
      <c r="P48" s="20">
        <v>0</v>
      </c>
      <c r="Q48" s="20">
        <v>0</v>
      </c>
      <c r="R48" s="20">
        <v>0</v>
      </c>
      <c r="S48" s="20">
        <v>0</v>
      </c>
      <c r="T48" s="20">
        <v>0</v>
      </c>
      <c r="U48" s="20">
        <v>0</v>
      </c>
      <c r="V48" s="20">
        <v>0</v>
      </c>
      <c r="W48" s="20">
        <v>0</v>
      </c>
      <c r="X48" s="20">
        <v>0</v>
      </c>
      <c r="Y48" s="20">
        <v>0</v>
      </c>
      <c r="Z48" s="20">
        <v>0</v>
      </c>
      <c r="AA48" s="20">
        <v>20000</v>
      </c>
      <c r="AB48" s="20">
        <v>20000</v>
      </c>
      <c r="AC48" s="21">
        <v>40000</v>
      </c>
    </row>
    <row r="49" spans="1:29" x14ac:dyDescent="0.25">
      <c r="F49" s="16"/>
      <c r="G49" s="33" t="s">
        <v>112</v>
      </c>
      <c r="H49" s="20">
        <v>20000</v>
      </c>
      <c r="I49" s="20">
        <v>20000</v>
      </c>
      <c r="J49" s="20">
        <v>40000</v>
      </c>
      <c r="K49" s="20">
        <v>0</v>
      </c>
      <c r="L49" s="20">
        <v>0</v>
      </c>
      <c r="M49" s="20">
        <v>0</v>
      </c>
      <c r="N49" s="20">
        <v>0</v>
      </c>
      <c r="O49" s="20">
        <v>0</v>
      </c>
      <c r="P49" s="20">
        <v>0</v>
      </c>
      <c r="Q49" s="20">
        <v>0</v>
      </c>
      <c r="R49" s="20">
        <v>0</v>
      </c>
      <c r="S49" s="20">
        <v>0</v>
      </c>
      <c r="T49" s="20">
        <v>0</v>
      </c>
      <c r="U49" s="20">
        <v>0</v>
      </c>
      <c r="V49" s="20">
        <v>0</v>
      </c>
      <c r="W49" s="20">
        <v>0</v>
      </c>
      <c r="X49" s="20">
        <v>0</v>
      </c>
      <c r="Y49" s="20">
        <v>0</v>
      </c>
      <c r="Z49" s="20">
        <v>0</v>
      </c>
      <c r="AA49" s="20">
        <v>20000</v>
      </c>
      <c r="AB49" s="20">
        <v>20000</v>
      </c>
      <c r="AC49" s="21">
        <v>40000</v>
      </c>
    </row>
    <row r="50" spans="1:29" x14ac:dyDescent="0.25">
      <c r="F50" s="16"/>
      <c r="G50" s="33" t="s">
        <v>113</v>
      </c>
      <c r="H50" s="20">
        <v>20000</v>
      </c>
      <c r="I50" s="20">
        <v>20000</v>
      </c>
      <c r="J50" s="20">
        <v>40000</v>
      </c>
      <c r="K50" s="20">
        <v>0</v>
      </c>
      <c r="L50" s="20">
        <v>0</v>
      </c>
      <c r="M50" s="20">
        <v>0</v>
      </c>
      <c r="N50" s="20">
        <v>0</v>
      </c>
      <c r="O50" s="20">
        <v>0</v>
      </c>
      <c r="P50" s="20">
        <v>0</v>
      </c>
      <c r="Q50" s="20">
        <v>0</v>
      </c>
      <c r="R50" s="20">
        <v>0</v>
      </c>
      <c r="S50" s="20">
        <v>0</v>
      </c>
      <c r="T50" s="20">
        <v>0</v>
      </c>
      <c r="U50" s="20">
        <v>0</v>
      </c>
      <c r="V50" s="20">
        <v>0</v>
      </c>
      <c r="W50" s="20">
        <v>0</v>
      </c>
      <c r="X50" s="20">
        <v>0</v>
      </c>
      <c r="Y50" s="20">
        <v>0</v>
      </c>
      <c r="Z50" s="20">
        <v>0</v>
      </c>
      <c r="AA50" s="20">
        <v>20000</v>
      </c>
      <c r="AB50" s="20">
        <v>20000</v>
      </c>
      <c r="AC50" s="21">
        <v>40000</v>
      </c>
    </row>
    <row r="51" spans="1:29" x14ac:dyDescent="0.25">
      <c r="F51" s="16"/>
      <c r="G51" s="31" t="s">
        <v>115</v>
      </c>
      <c r="H51" s="20">
        <v>20000</v>
      </c>
      <c r="I51" s="20">
        <v>20000</v>
      </c>
      <c r="J51" s="20">
        <v>40000</v>
      </c>
      <c r="K51" s="20">
        <v>0</v>
      </c>
      <c r="L51" s="20">
        <v>0</v>
      </c>
      <c r="M51" s="20">
        <v>0</v>
      </c>
      <c r="N51" s="20">
        <v>0</v>
      </c>
      <c r="O51" s="20">
        <v>0</v>
      </c>
      <c r="P51" s="20">
        <v>0</v>
      </c>
      <c r="Q51" s="20">
        <v>0</v>
      </c>
      <c r="R51" s="20">
        <v>0</v>
      </c>
      <c r="S51" s="20">
        <v>0</v>
      </c>
      <c r="T51" s="20">
        <v>0</v>
      </c>
      <c r="U51" s="20">
        <v>0</v>
      </c>
      <c r="V51" s="20">
        <v>0</v>
      </c>
      <c r="W51" s="20">
        <v>0</v>
      </c>
      <c r="X51" s="20">
        <v>0</v>
      </c>
      <c r="Y51" s="20">
        <v>0</v>
      </c>
      <c r="Z51" s="20">
        <v>0</v>
      </c>
      <c r="AA51" s="20">
        <v>20000</v>
      </c>
      <c r="AB51" s="20">
        <v>20000</v>
      </c>
      <c r="AC51" s="21">
        <v>40000</v>
      </c>
    </row>
    <row r="52" spans="1:29" s="15" customFormat="1" ht="14.25" x14ac:dyDescent="0.2">
      <c r="A52" s="13"/>
      <c r="B52" s="14"/>
      <c r="F52" s="18">
        <v>4</v>
      </c>
      <c r="G52" s="29" t="s">
        <v>183</v>
      </c>
      <c r="H52" s="22">
        <v>120000</v>
      </c>
      <c r="I52" s="22">
        <v>120000</v>
      </c>
      <c r="J52" s="22">
        <v>240000</v>
      </c>
      <c r="K52" s="22">
        <v>0</v>
      </c>
      <c r="L52" s="22">
        <v>0</v>
      </c>
      <c r="M52" s="22">
        <v>0</v>
      </c>
      <c r="N52" s="22">
        <v>0</v>
      </c>
      <c r="O52" s="22">
        <v>0</v>
      </c>
      <c r="P52" s="22">
        <v>0</v>
      </c>
      <c r="Q52" s="22">
        <v>0</v>
      </c>
      <c r="R52" s="22">
        <v>0</v>
      </c>
      <c r="S52" s="22">
        <v>0</v>
      </c>
      <c r="T52" s="22">
        <v>0</v>
      </c>
      <c r="U52" s="22">
        <v>0</v>
      </c>
      <c r="V52" s="22">
        <v>0</v>
      </c>
      <c r="W52" s="22">
        <v>0</v>
      </c>
      <c r="X52" s="22">
        <v>0</v>
      </c>
      <c r="Y52" s="22">
        <v>0</v>
      </c>
      <c r="Z52" s="22">
        <v>0</v>
      </c>
      <c r="AA52" s="22">
        <v>120000</v>
      </c>
      <c r="AB52" s="22">
        <v>120000</v>
      </c>
      <c r="AC52" s="23">
        <v>240000</v>
      </c>
    </row>
    <row r="53" spans="1:29" x14ac:dyDescent="0.25">
      <c r="F53" s="16"/>
      <c r="G53" s="30" t="s">
        <v>122</v>
      </c>
      <c r="H53" s="20">
        <v>20000</v>
      </c>
      <c r="I53" s="20">
        <v>20000</v>
      </c>
      <c r="J53" s="20">
        <v>40000</v>
      </c>
      <c r="K53" s="20">
        <v>0</v>
      </c>
      <c r="L53" s="20">
        <v>0</v>
      </c>
      <c r="M53" s="20">
        <v>0</v>
      </c>
      <c r="N53" s="20">
        <v>0</v>
      </c>
      <c r="O53" s="20">
        <v>0</v>
      </c>
      <c r="P53" s="20">
        <v>0</v>
      </c>
      <c r="Q53" s="20">
        <v>0</v>
      </c>
      <c r="R53" s="20">
        <v>0</v>
      </c>
      <c r="S53" s="20">
        <v>0</v>
      </c>
      <c r="T53" s="20">
        <v>0</v>
      </c>
      <c r="U53" s="20">
        <v>0</v>
      </c>
      <c r="V53" s="20">
        <v>0</v>
      </c>
      <c r="W53" s="20">
        <v>0</v>
      </c>
      <c r="X53" s="20">
        <v>0</v>
      </c>
      <c r="Y53" s="20">
        <v>0</v>
      </c>
      <c r="Z53" s="20">
        <v>0</v>
      </c>
      <c r="AA53" s="20">
        <v>20000</v>
      </c>
      <c r="AB53" s="20">
        <v>20000</v>
      </c>
      <c r="AC53" s="21">
        <v>40000</v>
      </c>
    </row>
    <row r="54" spans="1:29" x14ac:dyDescent="0.25">
      <c r="F54" s="16"/>
      <c r="G54" s="33" t="s">
        <v>119</v>
      </c>
      <c r="H54" s="20">
        <v>20000</v>
      </c>
      <c r="I54" s="20">
        <v>20000</v>
      </c>
      <c r="J54" s="20">
        <v>40000</v>
      </c>
      <c r="K54" s="20">
        <v>0</v>
      </c>
      <c r="L54" s="20">
        <v>0</v>
      </c>
      <c r="M54" s="20">
        <v>0</v>
      </c>
      <c r="N54" s="20">
        <v>0</v>
      </c>
      <c r="O54" s="20">
        <v>0</v>
      </c>
      <c r="P54" s="20">
        <v>0</v>
      </c>
      <c r="Q54" s="20">
        <v>0</v>
      </c>
      <c r="R54" s="20">
        <v>0</v>
      </c>
      <c r="S54" s="20">
        <v>0</v>
      </c>
      <c r="T54" s="20">
        <v>0</v>
      </c>
      <c r="U54" s="20">
        <v>0</v>
      </c>
      <c r="V54" s="20">
        <v>0</v>
      </c>
      <c r="W54" s="20">
        <v>0</v>
      </c>
      <c r="X54" s="20">
        <v>0</v>
      </c>
      <c r="Y54" s="20">
        <v>0</v>
      </c>
      <c r="Z54" s="20">
        <v>0</v>
      </c>
      <c r="AA54" s="20">
        <v>20000</v>
      </c>
      <c r="AB54" s="20">
        <v>20000</v>
      </c>
      <c r="AC54" s="21">
        <v>40000</v>
      </c>
    </row>
    <row r="55" spans="1:29" x14ac:dyDescent="0.25">
      <c r="F55" s="16"/>
      <c r="G55" s="33" t="s">
        <v>123</v>
      </c>
      <c r="H55" s="20">
        <v>20000</v>
      </c>
      <c r="I55" s="20">
        <v>20000</v>
      </c>
      <c r="J55" s="20">
        <v>40000</v>
      </c>
      <c r="K55" s="20">
        <v>0</v>
      </c>
      <c r="L55" s="20">
        <v>0</v>
      </c>
      <c r="M55" s="20">
        <v>0</v>
      </c>
      <c r="N55" s="20">
        <v>0</v>
      </c>
      <c r="O55" s="20">
        <v>0</v>
      </c>
      <c r="P55" s="20">
        <v>0</v>
      </c>
      <c r="Q55" s="20">
        <v>0</v>
      </c>
      <c r="R55" s="20">
        <v>0</v>
      </c>
      <c r="S55" s="20">
        <v>0</v>
      </c>
      <c r="T55" s="20">
        <v>0</v>
      </c>
      <c r="U55" s="20">
        <v>0</v>
      </c>
      <c r="V55" s="20">
        <v>0</v>
      </c>
      <c r="W55" s="20">
        <v>0</v>
      </c>
      <c r="X55" s="20">
        <v>0</v>
      </c>
      <c r="Y55" s="20">
        <v>0</v>
      </c>
      <c r="Z55" s="20">
        <v>0</v>
      </c>
      <c r="AA55" s="20">
        <v>20000</v>
      </c>
      <c r="AB55" s="20">
        <v>20000</v>
      </c>
      <c r="AC55" s="21">
        <v>40000</v>
      </c>
    </row>
    <row r="56" spans="1:29" x14ac:dyDescent="0.25">
      <c r="F56" s="16"/>
      <c r="G56" s="33" t="s">
        <v>124</v>
      </c>
      <c r="H56" s="20">
        <v>20000</v>
      </c>
      <c r="I56" s="20">
        <v>20000</v>
      </c>
      <c r="J56" s="20">
        <v>40000</v>
      </c>
      <c r="K56" s="20">
        <v>0</v>
      </c>
      <c r="L56" s="20">
        <v>0</v>
      </c>
      <c r="M56" s="20">
        <v>0</v>
      </c>
      <c r="N56" s="20">
        <v>0</v>
      </c>
      <c r="O56" s="20">
        <v>0</v>
      </c>
      <c r="P56" s="20">
        <v>0</v>
      </c>
      <c r="Q56" s="20">
        <v>0</v>
      </c>
      <c r="R56" s="20">
        <v>0</v>
      </c>
      <c r="S56" s="20">
        <v>0</v>
      </c>
      <c r="T56" s="20">
        <v>0</v>
      </c>
      <c r="U56" s="20">
        <v>0</v>
      </c>
      <c r="V56" s="20">
        <v>0</v>
      </c>
      <c r="W56" s="20">
        <v>0</v>
      </c>
      <c r="X56" s="20">
        <v>0</v>
      </c>
      <c r="Y56" s="20">
        <v>0</v>
      </c>
      <c r="Z56" s="20">
        <v>0</v>
      </c>
      <c r="AA56" s="20">
        <v>20000</v>
      </c>
      <c r="AB56" s="20">
        <v>20000</v>
      </c>
      <c r="AC56" s="21">
        <v>40000</v>
      </c>
    </row>
    <row r="57" spans="1:29" x14ac:dyDescent="0.25">
      <c r="F57" s="16"/>
      <c r="G57" s="33" t="s">
        <v>121</v>
      </c>
      <c r="H57" s="20">
        <v>20000</v>
      </c>
      <c r="I57" s="20">
        <v>20000</v>
      </c>
      <c r="J57" s="20">
        <v>40000</v>
      </c>
      <c r="K57" s="20">
        <v>0</v>
      </c>
      <c r="L57" s="20">
        <v>0</v>
      </c>
      <c r="M57" s="20">
        <v>0</v>
      </c>
      <c r="N57" s="20">
        <v>0</v>
      </c>
      <c r="O57" s="20">
        <v>0</v>
      </c>
      <c r="P57" s="20">
        <v>0</v>
      </c>
      <c r="Q57" s="20">
        <v>0</v>
      </c>
      <c r="R57" s="20">
        <v>0</v>
      </c>
      <c r="S57" s="20">
        <v>0</v>
      </c>
      <c r="T57" s="20">
        <v>0</v>
      </c>
      <c r="U57" s="20">
        <v>0</v>
      </c>
      <c r="V57" s="20">
        <v>0</v>
      </c>
      <c r="W57" s="20">
        <v>0</v>
      </c>
      <c r="X57" s="20">
        <v>0</v>
      </c>
      <c r="Y57" s="20">
        <v>0</v>
      </c>
      <c r="Z57" s="20">
        <v>0</v>
      </c>
      <c r="AA57" s="20">
        <v>20000</v>
      </c>
      <c r="AB57" s="20">
        <v>20000</v>
      </c>
      <c r="AC57" s="21">
        <v>40000</v>
      </c>
    </row>
    <row r="58" spans="1:29" x14ac:dyDescent="0.25">
      <c r="F58" s="16"/>
      <c r="G58" s="31" t="s">
        <v>125</v>
      </c>
      <c r="H58" s="20">
        <v>20000</v>
      </c>
      <c r="I58" s="20">
        <v>20000</v>
      </c>
      <c r="J58" s="20">
        <v>40000</v>
      </c>
      <c r="K58" s="20">
        <v>0</v>
      </c>
      <c r="L58" s="20">
        <v>0</v>
      </c>
      <c r="M58" s="20">
        <v>0</v>
      </c>
      <c r="N58" s="20">
        <v>0</v>
      </c>
      <c r="O58" s="20">
        <v>0</v>
      </c>
      <c r="P58" s="20">
        <v>0</v>
      </c>
      <c r="Q58" s="20">
        <v>0</v>
      </c>
      <c r="R58" s="20">
        <v>0</v>
      </c>
      <c r="S58" s="20">
        <v>0</v>
      </c>
      <c r="T58" s="20">
        <v>0</v>
      </c>
      <c r="U58" s="20">
        <v>0</v>
      </c>
      <c r="V58" s="20">
        <v>0</v>
      </c>
      <c r="W58" s="20">
        <v>0</v>
      </c>
      <c r="X58" s="20">
        <v>0</v>
      </c>
      <c r="Y58" s="20">
        <v>0</v>
      </c>
      <c r="Z58" s="20">
        <v>0</v>
      </c>
      <c r="AA58" s="20">
        <v>20000</v>
      </c>
      <c r="AB58" s="20">
        <v>20000</v>
      </c>
      <c r="AC58" s="21">
        <v>40000</v>
      </c>
    </row>
    <row r="59" spans="1:29" s="15" customFormat="1" ht="14.25" x14ac:dyDescent="0.2">
      <c r="A59" s="13"/>
      <c r="B59" s="14"/>
      <c r="F59" s="18" t="s">
        <v>212</v>
      </c>
      <c r="G59" s="28" t="s">
        <v>189</v>
      </c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3"/>
    </row>
    <row r="60" spans="1:29" s="15" customFormat="1" ht="14.25" x14ac:dyDescent="0.2">
      <c r="A60" s="13"/>
      <c r="B60" s="14"/>
      <c r="F60" s="18">
        <v>1</v>
      </c>
      <c r="G60" s="29" t="s">
        <v>185</v>
      </c>
      <c r="H60" s="22">
        <v>100000</v>
      </c>
      <c r="I60" s="22">
        <v>100000</v>
      </c>
      <c r="J60" s="22">
        <v>200000</v>
      </c>
      <c r="K60" s="22">
        <v>0</v>
      </c>
      <c r="L60" s="22">
        <v>0</v>
      </c>
      <c r="M60" s="22">
        <v>0</v>
      </c>
      <c r="N60" s="22">
        <v>0</v>
      </c>
      <c r="O60" s="22">
        <v>0</v>
      </c>
      <c r="P60" s="22">
        <v>0</v>
      </c>
      <c r="Q60" s="22">
        <v>0</v>
      </c>
      <c r="R60" s="22">
        <v>0</v>
      </c>
      <c r="S60" s="22">
        <v>0</v>
      </c>
      <c r="T60" s="22">
        <v>0</v>
      </c>
      <c r="U60" s="22">
        <v>0</v>
      </c>
      <c r="V60" s="22">
        <v>0</v>
      </c>
      <c r="W60" s="22">
        <v>0</v>
      </c>
      <c r="X60" s="22">
        <v>0</v>
      </c>
      <c r="Y60" s="22">
        <v>0</v>
      </c>
      <c r="Z60" s="22">
        <v>0</v>
      </c>
      <c r="AA60" s="22">
        <v>100000</v>
      </c>
      <c r="AB60" s="22">
        <v>100000</v>
      </c>
      <c r="AC60" s="23">
        <v>200000</v>
      </c>
    </row>
    <row r="61" spans="1:29" x14ac:dyDescent="0.25">
      <c r="F61" s="16"/>
      <c r="G61" s="30" t="s">
        <v>60</v>
      </c>
      <c r="H61" s="20">
        <v>20000</v>
      </c>
      <c r="I61" s="20">
        <v>20000</v>
      </c>
      <c r="J61" s="20">
        <v>40000</v>
      </c>
      <c r="K61" s="20">
        <v>0</v>
      </c>
      <c r="L61" s="20">
        <v>0</v>
      </c>
      <c r="M61" s="20">
        <v>0</v>
      </c>
      <c r="N61" s="20">
        <v>0</v>
      </c>
      <c r="O61" s="20">
        <v>0</v>
      </c>
      <c r="P61" s="20">
        <v>0</v>
      </c>
      <c r="Q61" s="20">
        <v>0</v>
      </c>
      <c r="R61" s="20">
        <v>0</v>
      </c>
      <c r="S61" s="20">
        <v>0</v>
      </c>
      <c r="T61" s="20">
        <v>0</v>
      </c>
      <c r="U61" s="20">
        <v>0</v>
      </c>
      <c r="V61" s="20">
        <v>0</v>
      </c>
      <c r="W61" s="20">
        <v>0</v>
      </c>
      <c r="X61" s="20">
        <v>0</v>
      </c>
      <c r="Y61" s="20">
        <v>0</v>
      </c>
      <c r="Z61" s="20">
        <v>0</v>
      </c>
      <c r="AA61" s="20">
        <v>20000</v>
      </c>
      <c r="AB61" s="20">
        <v>20000</v>
      </c>
      <c r="AC61" s="21">
        <v>40000</v>
      </c>
    </row>
    <row r="62" spans="1:29" x14ac:dyDescent="0.25">
      <c r="F62" s="16"/>
      <c r="G62" s="33" t="s">
        <v>61</v>
      </c>
      <c r="H62" s="20">
        <v>20000</v>
      </c>
      <c r="I62" s="20">
        <v>20000</v>
      </c>
      <c r="J62" s="20">
        <v>40000</v>
      </c>
      <c r="K62" s="20">
        <v>0</v>
      </c>
      <c r="L62" s="20">
        <v>0</v>
      </c>
      <c r="M62" s="20">
        <v>0</v>
      </c>
      <c r="N62" s="20">
        <v>0</v>
      </c>
      <c r="O62" s="20">
        <v>0</v>
      </c>
      <c r="P62" s="20">
        <v>0</v>
      </c>
      <c r="Q62" s="20">
        <v>0</v>
      </c>
      <c r="R62" s="20">
        <v>0</v>
      </c>
      <c r="S62" s="20">
        <v>0</v>
      </c>
      <c r="T62" s="20">
        <v>0</v>
      </c>
      <c r="U62" s="20">
        <v>0</v>
      </c>
      <c r="V62" s="20">
        <v>0</v>
      </c>
      <c r="W62" s="20">
        <v>0</v>
      </c>
      <c r="X62" s="20">
        <v>0</v>
      </c>
      <c r="Y62" s="20">
        <v>0</v>
      </c>
      <c r="Z62" s="20">
        <v>0</v>
      </c>
      <c r="AA62" s="20">
        <v>20000</v>
      </c>
      <c r="AB62" s="20">
        <v>20000</v>
      </c>
      <c r="AC62" s="21">
        <v>40000</v>
      </c>
    </row>
    <row r="63" spans="1:29" x14ac:dyDescent="0.25">
      <c r="F63" s="16"/>
      <c r="G63" s="33" t="s">
        <v>47</v>
      </c>
      <c r="H63" s="20">
        <v>20000</v>
      </c>
      <c r="I63" s="20">
        <v>20000</v>
      </c>
      <c r="J63" s="20">
        <v>40000</v>
      </c>
      <c r="K63" s="20">
        <v>0</v>
      </c>
      <c r="L63" s="20">
        <v>0</v>
      </c>
      <c r="M63" s="20">
        <v>0</v>
      </c>
      <c r="N63" s="20">
        <v>0</v>
      </c>
      <c r="O63" s="20">
        <v>0</v>
      </c>
      <c r="P63" s="20">
        <v>0</v>
      </c>
      <c r="Q63" s="20">
        <v>0</v>
      </c>
      <c r="R63" s="20">
        <v>0</v>
      </c>
      <c r="S63" s="20">
        <v>0</v>
      </c>
      <c r="T63" s="20">
        <v>0</v>
      </c>
      <c r="U63" s="20">
        <v>0</v>
      </c>
      <c r="V63" s="20">
        <v>0</v>
      </c>
      <c r="W63" s="20">
        <v>0</v>
      </c>
      <c r="X63" s="20">
        <v>0</v>
      </c>
      <c r="Y63" s="20">
        <v>0</v>
      </c>
      <c r="Z63" s="20">
        <v>0</v>
      </c>
      <c r="AA63" s="20">
        <v>20000</v>
      </c>
      <c r="AB63" s="20">
        <v>20000</v>
      </c>
      <c r="AC63" s="21">
        <v>40000</v>
      </c>
    </row>
    <row r="64" spans="1:29" x14ac:dyDescent="0.25">
      <c r="F64" s="16"/>
      <c r="G64" s="33" t="s">
        <v>56</v>
      </c>
      <c r="H64" s="20">
        <v>20000</v>
      </c>
      <c r="I64" s="20">
        <v>20000</v>
      </c>
      <c r="J64" s="20">
        <v>40000</v>
      </c>
      <c r="K64" s="20">
        <v>0</v>
      </c>
      <c r="L64" s="20">
        <v>0</v>
      </c>
      <c r="M64" s="20">
        <v>0</v>
      </c>
      <c r="N64" s="20">
        <v>0</v>
      </c>
      <c r="O64" s="20">
        <v>0</v>
      </c>
      <c r="P64" s="20">
        <v>0</v>
      </c>
      <c r="Q64" s="20">
        <v>0</v>
      </c>
      <c r="R64" s="20">
        <v>0</v>
      </c>
      <c r="S64" s="20">
        <v>0</v>
      </c>
      <c r="T64" s="20">
        <v>0</v>
      </c>
      <c r="U64" s="20">
        <v>0</v>
      </c>
      <c r="V64" s="20">
        <v>0</v>
      </c>
      <c r="W64" s="20">
        <v>0</v>
      </c>
      <c r="X64" s="20">
        <v>0</v>
      </c>
      <c r="Y64" s="20">
        <v>0</v>
      </c>
      <c r="Z64" s="20">
        <v>0</v>
      </c>
      <c r="AA64" s="20">
        <v>20000</v>
      </c>
      <c r="AB64" s="20">
        <v>20000</v>
      </c>
      <c r="AC64" s="21">
        <v>40000</v>
      </c>
    </row>
    <row r="65" spans="1:29" x14ac:dyDescent="0.25">
      <c r="F65" s="16"/>
      <c r="G65" s="31" t="s">
        <v>62</v>
      </c>
      <c r="H65" s="20">
        <v>20000</v>
      </c>
      <c r="I65" s="20">
        <v>20000</v>
      </c>
      <c r="J65" s="20">
        <v>40000</v>
      </c>
      <c r="K65" s="20">
        <v>0</v>
      </c>
      <c r="L65" s="20">
        <v>0</v>
      </c>
      <c r="M65" s="20">
        <v>0</v>
      </c>
      <c r="N65" s="20">
        <v>0</v>
      </c>
      <c r="O65" s="20">
        <v>0</v>
      </c>
      <c r="P65" s="20">
        <v>0</v>
      </c>
      <c r="Q65" s="20">
        <v>0</v>
      </c>
      <c r="R65" s="20">
        <v>0</v>
      </c>
      <c r="S65" s="20">
        <v>0</v>
      </c>
      <c r="T65" s="20">
        <v>0</v>
      </c>
      <c r="U65" s="20">
        <v>0</v>
      </c>
      <c r="V65" s="20">
        <v>0</v>
      </c>
      <c r="W65" s="20">
        <v>0</v>
      </c>
      <c r="X65" s="20">
        <v>0</v>
      </c>
      <c r="Y65" s="20">
        <v>0</v>
      </c>
      <c r="Z65" s="20">
        <v>0</v>
      </c>
      <c r="AA65" s="20">
        <v>20000</v>
      </c>
      <c r="AB65" s="20">
        <v>20000</v>
      </c>
      <c r="AC65" s="21">
        <v>40000</v>
      </c>
    </row>
    <row r="66" spans="1:29" s="15" customFormat="1" ht="14.25" x14ac:dyDescent="0.2">
      <c r="A66" s="13"/>
      <c r="B66" s="14"/>
      <c r="F66" s="18">
        <v>2</v>
      </c>
      <c r="G66" s="29" t="s">
        <v>181</v>
      </c>
      <c r="H66" s="22">
        <v>180000</v>
      </c>
      <c r="I66" s="22">
        <v>180000</v>
      </c>
      <c r="J66" s="22">
        <v>360000</v>
      </c>
      <c r="K66" s="22">
        <v>0</v>
      </c>
      <c r="L66" s="22">
        <v>0</v>
      </c>
      <c r="M66" s="22">
        <v>0</v>
      </c>
      <c r="N66" s="22">
        <v>0</v>
      </c>
      <c r="O66" s="22">
        <v>0</v>
      </c>
      <c r="P66" s="22">
        <v>0</v>
      </c>
      <c r="Q66" s="22">
        <v>0</v>
      </c>
      <c r="R66" s="22">
        <v>0</v>
      </c>
      <c r="S66" s="22">
        <v>0</v>
      </c>
      <c r="T66" s="22">
        <v>0</v>
      </c>
      <c r="U66" s="22">
        <v>0</v>
      </c>
      <c r="V66" s="22">
        <v>0</v>
      </c>
      <c r="W66" s="22">
        <v>0</v>
      </c>
      <c r="X66" s="22">
        <v>0</v>
      </c>
      <c r="Y66" s="22">
        <v>0</v>
      </c>
      <c r="Z66" s="22">
        <v>0</v>
      </c>
      <c r="AA66" s="22">
        <v>180000</v>
      </c>
      <c r="AB66" s="22">
        <v>180000</v>
      </c>
      <c r="AC66" s="23">
        <v>360000</v>
      </c>
    </row>
    <row r="67" spans="1:29" x14ac:dyDescent="0.25">
      <c r="F67" s="16"/>
      <c r="G67" s="30" t="s">
        <v>67</v>
      </c>
      <c r="H67" s="20">
        <v>20000</v>
      </c>
      <c r="I67" s="20">
        <v>20000</v>
      </c>
      <c r="J67" s="20">
        <v>40000</v>
      </c>
      <c r="K67" s="20">
        <v>0</v>
      </c>
      <c r="L67" s="20">
        <v>0</v>
      </c>
      <c r="M67" s="20">
        <v>0</v>
      </c>
      <c r="N67" s="20">
        <v>0</v>
      </c>
      <c r="O67" s="20">
        <v>0</v>
      </c>
      <c r="P67" s="20">
        <v>0</v>
      </c>
      <c r="Q67" s="20">
        <v>0</v>
      </c>
      <c r="R67" s="20">
        <v>0</v>
      </c>
      <c r="S67" s="20">
        <v>0</v>
      </c>
      <c r="T67" s="20">
        <v>0</v>
      </c>
      <c r="U67" s="20">
        <v>0</v>
      </c>
      <c r="V67" s="20">
        <v>0</v>
      </c>
      <c r="W67" s="20">
        <v>0</v>
      </c>
      <c r="X67" s="20">
        <v>0</v>
      </c>
      <c r="Y67" s="20">
        <v>0</v>
      </c>
      <c r="Z67" s="20">
        <v>0</v>
      </c>
      <c r="AA67" s="20">
        <v>20000</v>
      </c>
      <c r="AB67" s="20">
        <v>20000</v>
      </c>
      <c r="AC67" s="21">
        <v>40000</v>
      </c>
    </row>
    <row r="68" spans="1:29" x14ac:dyDescent="0.25">
      <c r="F68" s="16"/>
      <c r="G68" s="33" t="s">
        <v>70</v>
      </c>
      <c r="H68" s="20">
        <v>20000</v>
      </c>
      <c r="I68" s="20">
        <v>20000</v>
      </c>
      <c r="J68" s="20">
        <v>40000</v>
      </c>
      <c r="K68" s="20">
        <v>0</v>
      </c>
      <c r="L68" s="20">
        <v>0</v>
      </c>
      <c r="M68" s="20">
        <v>0</v>
      </c>
      <c r="N68" s="20">
        <v>0</v>
      </c>
      <c r="O68" s="20">
        <v>0</v>
      </c>
      <c r="P68" s="20">
        <v>0</v>
      </c>
      <c r="Q68" s="20">
        <v>0</v>
      </c>
      <c r="R68" s="20">
        <v>0</v>
      </c>
      <c r="S68" s="20">
        <v>0</v>
      </c>
      <c r="T68" s="20">
        <v>0</v>
      </c>
      <c r="U68" s="20">
        <v>0</v>
      </c>
      <c r="V68" s="20">
        <v>0</v>
      </c>
      <c r="W68" s="20">
        <v>0</v>
      </c>
      <c r="X68" s="20">
        <v>0</v>
      </c>
      <c r="Y68" s="20">
        <v>0</v>
      </c>
      <c r="Z68" s="20">
        <v>0</v>
      </c>
      <c r="AA68" s="20">
        <v>20000</v>
      </c>
      <c r="AB68" s="20">
        <v>20000</v>
      </c>
      <c r="AC68" s="21">
        <v>40000</v>
      </c>
    </row>
    <row r="69" spans="1:29" x14ac:dyDescent="0.25">
      <c r="F69" s="16"/>
      <c r="G69" s="33" t="s">
        <v>73</v>
      </c>
      <c r="H69" s="20">
        <v>20000</v>
      </c>
      <c r="I69" s="20">
        <v>20000</v>
      </c>
      <c r="J69" s="20">
        <v>40000</v>
      </c>
      <c r="K69" s="20">
        <v>0</v>
      </c>
      <c r="L69" s="20">
        <v>0</v>
      </c>
      <c r="M69" s="20">
        <v>0</v>
      </c>
      <c r="N69" s="20">
        <v>0</v>
      </c>
      <c r="O69" s="20">
        <v>0</v>
      </c>
      <c r="P69" s="20">
        <v>0</v>
      </c>
      <c r="Q69" s="20">
        <v>0</v>
      </c>
      <c r="R69" s="20">
        <v>0</v>
      </c>
      <c r="S69" s="20">
        <v>0</v>
      </c>
      <c r="T69" s="20">
        <v>0</v>
      </c>
      <c r="U69" s="20">
        <v>0</v>
      </c>
      <c r="V69" s="20">
        <v>0</v>
      </c>
      <c r="W69" s="20">
        <v>0</v>
      </c>
      <c r="X69" s="20">
        <v>0</v>
      </c>
      <c r="Y69" s="20">
        <v>0</v>
      </c>
      <c r="Z69" s="20">
        <v>0</v>
      </c>
      <c r="AA69" s="20">
        <v>20000</v>
      </c>
      <c r="AB69" s="20">
        <v>20000</v>
      </c>
      <c r="AC69" s="21">
        <v>40000</v>
      </c>
    </row>
    <row r="70" spans="1:29" x14ac:dyDescent="0.25">
      <c r="F70" s="16"/>
      <c r="G70" s="33" t="s">
        <v>71</v>
      </c>
      <c r="H70" s="20">
        <v>20000</v>
      </c>
      <c r="I70" s="20">
        <v>20000</v>
      </c>
      <c r="J70" s="20">
        <v>40000</v>
      </c>
      <c r="K70" s="20">
        <v>0</v>
      </c>
      <c r="L70" s="20">
        <v>0</v>
      </c>
      <c r="M70" s="20">
        <v>0</v>
      </c>
      <c r="N70" s="20">
        <v>0</v>
      </c>
      <c r="O70" s="20">
        <v>0</v>
      </c>
      <c r="P70" s="20">
        <v>0</v>
      </c>
      <c r="Q70" s="20">
        <v>0</v>
      </c>
      <c r="R70" s="20">
        <v>0</v>
      </c>
      <c r="S70" s="20">
        <v>0</v>
      </c>
      <c r="T70" s="20">
        <v>0</v>
      </c>
      <c r="U70" s="20">
        <v>0</v>
      </c>
      <c r="V70" s="20">
        <v>0</v>
      </c>
      <c r="W70" s="20">
        <v>0</v>
      </c>
      <c r="X70" s="20">
        <v>0</v>
      </c>
      <c r="Y70" s="20">
        <v>0</v>
      </c>
      <c r="Z70" s="20">
        <v>0</v>
      </c>
      <c r="AA70" s="20">
        <v>20000</v>
      </c>
      <c r="AB70" s="20">
        <v>20000</v>
      </c>
      <c r="AC70" s="21">
        <v>40000</v>
      </c>
    </row>
    <row r="71" spans="1:29" x14ac:dyDescent="0.25">
      <c r="F71" s="16"/>
      <c r="G71" s="33" t="s">
        <v>72</v>
      </c>
      <c r="H71" s="20">
        <v>20000</v>
      </c>
      <c r="I71" s="20">
        <v>20000</v>
      </c>
      <c r="J71" s="20">
        <v>40000</v>
      </c>
      <c r="K71" s="20">
        <v>0</v>
      </c>
      <c r="L71" s="20">
        <v>0</v>
      </c>
      <c r="M71" s="20">
        <v>0</v>
      </c>
      <c r="N71" s="20">
        <v>0</v>
      </c>
      <c r="O71" s="20">
        <v>0</v>
      </c>
      <c r="P71" s="20">
        <v>0</v>
      </c>
      <c r="Q71" s="20">
        <v>0</v>
      </c>
      <c r="R71" s="20">
        <v>0</v>
      </c>
      <c r="S71" s="20">
        <v>0</v>
      </c>
      <c r="T71" s="20">
        <v>0</v>
      </c>
      <c r="U71" s="20">
        <v>0</v>
      </c>
      <c r="V71" s="20">
        <v>0</v>
      </c>
      <c r="W71" s="20">
        <v>0</v>
      </c>
      <c r="X71" s="20">
        <v>0</v>
      </c>
      <c r="Y71" s="20">
        <v>0</v>
      </c>
      <c r="Z71" s="20">
        <v>0</v>
      </c>
      <c r="AA71" s="20">
        <v>20000</v>
      </c>
      <c r="AB71" s="20">
        <v>20000</v>
      </c>
      <c r="AC71" s="21">
        <v>40000</v>
      </c>
    </row>
    <row r="72" spans="1:29" x14ac:dyDescent="0.25">
      <c r="F72" s="16"/>
      <c r="G72" s="33" t="s">
        <v>74</v>
      </c>
      <c r="H72" s="20">
        <v>20000</v>
      </c>
      <c r="I72" s="20">
        <v>20000</v>
      </c>
      <c r="J72" s="20">
        <v>40000</v>
      </c>
      <c r="K72" s="20">
        <v>0</v>
      </c>
      <c r="L72" s="20">
        <v>0</v>
      </c>
      <c r="M72" s="20">
        <v>0</v>
      </c>
      <c r="N72" s="20">
        <v>0</v>
      </c>
      <c r="O72" s="20">
        <v>0</v>
      </c>
      <c r="P72" s="20">
        <v>0</v>
      </c>
      <c r="Q72" s="20">
        <v>0</v>
      </c>
      <c r="R72" s="20">
        <v>0</v>
      </c>
      <c r="S72" s="20">
        <v>0</v>
      </c>
      <c r="T72" s="20">
        <v>0</v>
      </c>
      <c r="U72" s="20">
        <v>0</v>
      </c>
      <c r="V72" s="20">
        <v>0</v>
      </c>
      <c r="W72" s="20">
        <v>0</v>
      </c>
      <c r="X72" s="20">
        <v>0</v>
      </c>
      <c r="Y72" s="20">
        <v>0</v>
      </c>
      <c r="Z72" s="20">
        <v>0</v>
      </c>
      <c r="AA72" s="20">
        <v>20000</v>
      </c>
      <c r="AB72" s="20">
        <v>20000</v>
      </c>
      <c r="AC72" s="21">
        <v>40000</v>
      </c>
    </row>
    <row r="73" spans="1:29" x14ac:dyDescent="0.25">
      <c r="F73" s="16"/>
      <c r="G73" s="33" t="s">
        <v>68</v>
      </c>
      <c r="H73" s="20">
        <v>20000</v>
      </c>
      <c r="I73" s="20">
        <v>20000</v>
      </c>
      <c r="J73" s="20">
        <v>40000</v>
      </c>
      <c r="K73" s="20">
        <v>0</v>
      </c>
      <c r="L73" s="20">
        <v>0</v>
      </c>
      <c r="M73" s="20">
        <v>0</v>
      </c>
      <c r="N73" s="20">
        <v>0</v>
      </c>
      <c r="O73" s="20">
        <v>0</v>
      </c>
      <c r="P73" s="20">
        <v>0</v>
      </c>
      <c r="Q73" s="20">
        <v>0</v>
      </c>
      <c r="R73" s="20">
        <v>0</v>
      </c>
      <c r="S73" s="20">
        <v>0</v>
      </c>
      <c r="T73" s="20">
        <v>0</v>
      </c>
      <c r="U73" s="20">
        <v>0</v>
      </c>
      <c r="V73" s="20">
        <v>0</v>
      </c>
      <c r="W73" s="20">
        <v>0</v>
      </c>
      <c r="X73" s="20">
        <v>0</v>
      </c>
      <c r="Y73" s="20">
        <v>0</v>
      </c>
      <c r="Z73" s="20">
        <v>0</v>
      </c>
      <c r="AA73" s="20">
        <v>20000</v>
      </c>
      <c r="AB73" s="20">
        <v>20000</v>
      </c>
      <c r="AC73" s="21">
        <v>40000</v>
      </c>
    </row>
    <row r="74" spans="1:29" x14ac:dyDescent="0.25">
      <c r="F74" s="16"/>
      <c r="G74" s="33" t="s">
        <v>69</v>
      </c>
      <c r="H74" s="20">
        <v>20000</v>
      </c>
      <c r="I74" s="20">
        <v>20000</v>
      </c>
      <c r="J74" s="20">
        <v>40000</v>
      </c>
      <c r="K74" s="20">
        <v>0</v>
      </c>
      <c r="L74" s="20">
        <v>0</v>
      </c>
      <c r="M74" s="20">
        <v>0</v>
      </c>
      <c r="N74" s="20">
        <v>0</v>
      </c>
      <c r="O74" s="20">
        <v>0</v>
      </c>
      <c r="P74" s="20">
        <v>0</v>
      </c>
      <c r="Q74" s="20">
        <v>0</v>
      </c>
      <c r="R74" s="20">
        <v>0</v>
      </c>
      <c r="S74" s="20">
        <v>0</v>
      </c>
      <c r="T74" s="20">
        <v>0</v>
      </c>
      <c r="U74" s="20">
        <v>0</v>
      </c>
      <c r="V74" s="20">
        <v>0</v>
      </c>
      <c r="W74" s="20">
        <v>0</v>
      </c>
      <c r="X74" s="20">
        <v>0</v>
      </c>
      <c r="Y74" s="20">
        <v>0</v>
      </c>
      <c r="Z74" s="20">
        <v>0</v>
      </c>
      <c r="AA74" s="20">
        <v>20000</v>
      </c>
      <c r="AB74" s="20">
        <v>20000</v>
      </c>
      <c r="AC74" s="21">
        <v>40000</v>
      </c>
    </row>
    <row r="75" spans="1:29" x14ac:dyDescent="0.25">
      <c r="F75" s="16"/>
      <c r="G75" s="31" t="s">
        <v>65</v>
      </c>
      <c r="H75" s="20">
        <v>20000</v>
      </c>
      <c r="I75" s="20">
        <v>20000</v>
      </c>
      <c r="J75" s="20">
        <v>40000</v>
      </c>
      <c r="K75" s="20">
        <v>0</v>
      </c>
      <c r="L75" s="20">
        <v>0</v>
      </c>
      <c r="M75" s="20">
        <v>0</v>
      </c>
      <c r="N75" s="20">
        <v>0</v>
      </c>
      <c r="O75" s="20">
        <v>0</v>
      </c>
      <c r="P75" s="20">
        <v>0</v>
      </c>
      <c r="Q75" s="20">
        <v>0</v>
      </c>
      <c r="R75" s="20">
        <v>0</v>
      </c>
      <c r="S75" s="20">
        <v>0</v>
      </c>
      <c r="T75" s="20">
        <v>0</v>
      </c>
      <c r="U75" s="20">
        <v>0</v>
      </c>
      <c r="V75" s="20">
        <v>0</v>
      </c>
      <c r="W75" s="20">
        <v>0</v>
      </c>
      <c r="X75" s="20">
        <v>0</v>
      </c>
      <c r="Y75" s="20">
        <v>0</v>
      </c>
      <c r="Z75" s="20">
        <v>0</v>
      </c>
      <c r="AA75" s="20">
        <v>20000</v>
      </c>
      <c r="AB75" s="20">
        <v>20000</v>
      </c>
      <c r="AC75" s="21">
        <v>40000</v>
      </c>
    </row>
    <row r="76" spans="1:29" s="15" customFormat="1" ht="14.25" x14ac:dyDescent="0.2">
      <c r="A76" s="13"/>
      <c r="B76" s="14"/>
      <c r="F76" s="18">
        <v>3</v>
      </c>
      <c r="G76" s="29" t="s">
        <v>184</v>
      </c>
      <c r="H76" s="22">
        <v>20000</v>
      </c>
      <c r="I76" s="22">
        <v>20000</v>
      </c>
      <c r="J76" s="22">
        <v>40000</v>
      </c>
      <c r="K76" s="22">
        <v>0</v>
      </c>
      <c r="L76" s="22">
        <v>0</v>
      </c>
      <c r="M76" s="22">
        <v>0</v>
      </c>
      <c r="N76" s="22">
        <v>0</v>
      </c>
      <c r="O76" s="22">
        <v>0</v>
      </c>
      <c r="P76" s="22">
        <v>0</v>
      </c>
      <c r="Q76" s="22">
        <v>0</v>
      </c>
      <c r="R76" s="22">
        <v>0</v>
      </c>
      <c r="S76" s="22">
        <v>0</v>
      </c>
      <c r="T76" s="22">
        <v>0</v>
      </c>
      <c r="U76" s="22">
        <v>0</v>
      </c>
      <c r="V76" s="22">
        <v>0</v>
      </c>
      <c r="W76" s="22">
        <v>0</v>
      </c>
      <c r="X76" s="22">
        <v>0</v>
      </c>
      <c r="Y76" s="22">
        <v>0</v>
      </c>
      <c r="Z76" s="22">
        <v>0</v>
      </c>
      <c r="AA76" s="22">
        <v>20000</v>
      </c>
      <c r="AB76" s="22">
        <v>20000</v>
      </c>
      <c r="AC76" s="23">
        <v>40000</v>
      </c>
    </row>
    <row r="77" spans="1:29" x14ac:dyDescent="0.25">
      <c r="F77" s="16"/>
      <c r="G77" s="32" t="s">
        <v>63</v>
      </c>
      <c r="H77" s="20">
        <v>20000</v>
      </c>
      <c r="I77" s="20">
        <v>20000</v>
      </c>
      <c r="J77" s="20">
        <v>40000</v>
      </c>
      <c r="K77" s="20">
        <v>0</v>
      </c>
      <c r="L77" s="20">
        <v>0</v>
      </c>
      <c r="M77" s="20">
        <v>0</v>
      </c>
      <c r="N77" s="20">
        <v>0</v>
      </c>
      <c r="O77" s="20">
        <v>0</v>
      </c>
      <c r="P77" s="20">
        <v>0</v>
      </c>
      <c r="Q77" s="20">
        <v>0</v>
      </c>
      <c r="R77" s="20">
        <v>0</v>
      </c>
      <c r="S77" s="20">
        <v>0</v>
      </c>
      <c r="T77" s="20">
        <v>0</v>
      </c>
      <c r="U77" s="20">
        <v>0</v>
      </c>
      <c r="V77" s="20">
        <v>0</v>
      </c>
      <c r="W77" s="20">
        <v>0</v>
      </c>
      <c r="X77" s="20">
        <v>0</v>
      </c>
      <c r="Y77" s="20">
        <v>0</v>
      </c>
      <c r="Z77" s="20">
        <v>0</v>
      </c>
      <c r="AA77" s="20">
        <v>20000</v>
      </c>
      <c r="AB77" s="20">
        <v>20000</v>
      </c>
      <c r="AC77" s="21">
        <v>40000</v>
      </c>
    </row>
    <row r="78" spans="1:29" s="15" customFormat="1" ht="14.25" x14ac:dyDescent="0.2">
      <c r="A78" s="13"/>
      <c r="B78" s="14"/>
      <c r="F78" s="18">
        <v>4</v>
      </c>
      <c r="G78" s="29" t="s">
        <v>188</v>
      </c>
      <c r="H78" s="22">
        <v>20000</v>
      </c>
      <c r="I78" s="22">
        <v>20000</v>
      </c>
      <c r="J78" s="22">
        <v>40000</v>
      </c>
      <c r="K78" s="22">
        <v>0</v>
      </c>
      <c r="L78" s="22">
        <v>0</v>
      </c>
      <c r="M78" s="22">
        <v>0</v>
      </c>
      <c r="N78" s="22">
        <v>0</v>
      </c>
      <c r="O78" s="22">
        <v>0</v>
      </c>
      <c r="P78" s="22">
        <v>0</v>
      </c>
      <c r="Q78" s="22">
        <v>0</v>
      </c>
      <c r="R78" s="22">
        <v>0</v>
      </c>
      <c r="S78" s="22">
        <v>0</v>
      </c>
      <c r="T78" s="22">
        <v>0</v>
      </c>
      <c r="U78" s="22">
        <v>0</v>
      </c>
      <c r="V78" s="22">
        <v>0</v>
      </c>
      <c r="W78" s="22">
        <v>0</v>
      </c>
      <c r="X78" s="22">
        <v>0</v>
      </c>
      <c r="Y78" s="22">
        <v>0</v>
      </c>
      <c r="Z78" s="22">
        <v>0</v>
      </c>
      <c r="AA78" s="22">
        <v>20000</v>
      </c>
      <c r="AB78" s="22">
        <v>20000</v>
      </c>
      <c r="AC78" s="23">
        <v>40000</v>
      </c>
    </row>
    <row r="79" spans="1:29" x14ac:dyDescent="0.25">
      <c r="F79" s="16"/>
      <c r="G79" s="32" t="s">
        <v>80</v>
      </c>
      <c r="H79" s="20">
        <v>20000</v>
      </c>
      <c r="I79" s="20">
        <v>20000</v>
      </c>
      <c r="J79" s="20">
        <v>40000</v>
      </c>
      <c r="K79" s="20">
        <v>0</v>
      </c>
      <c r="L79" s="20">
        <v>0</v>
      </c>
      <c r="M79" s="20">
        <v>0</v>
      </c>
      <c r="N79" s="20">
        <v>0</v>
      </c>
      <c r="O79" s="20">
        <v>0</v>
      </c>
      <c r="P79" s="20">
        <v>0</v>
      </c>
      <c r="Q79" s="20">
        <v>0</v>
      </c>
      <c r="R79" s="20">
        <v>0</v>
      </c>
      <c r="S79" s="20">
        <v>0</v>
      </c>
      <c r="T79" s="20">
        <v>0</v>
      </c>
      <c r="U79" s="20">
        <v>0</v>
      </c>
      <c r="V79" s="20">
        <v>0</v>
      </c>
      <c r="W79" s="20">
        <v>0</v>
      </c>
      <c r="X79" s="20">
        <v>0</v>
      </c>
      <c r="Y79" s="20">
        <v>0</v>
      </c>
      <c r="Z79" s="20">
        <v>0</v>
      </c>
      <c r="AA79" s="20">
        <v>20000</v>
      </c>
      <c r="AB79" s="20">
        <v>20000</v>
      </c>
      <c r="AC79" s="21">
        <v>40000</v>
      </c>
    </row>
    <row r="80" spans="1:29" s="15" customFormat="1" ht="14.25" x14ac:dyDescent="0.2">
      <c r="A80" s="13"/>
      <c r="B80" s="14"/>
      <c r="F80" s="18">
        <v>5</v>
      </c>
      <c r="G80" s="29" t="s">
        <v>187</v>
      </c>
      <c r="H80" s="22">
        <v>80000</v>
      </c>
      <c r="I80" s="22">
        <v>80000</v>
      </c>
      <c r="J80" s="22">
        <v>160000</v>
      </c>
      <c r="K80" s="22">
        <v>0</v>
      </c>
      <c r="L80" s="22">
        <v>0</v>
      </c>
      <c r="M80" s="22">
        <v>0</v>
      </c>
      <c r="N80" s="22">
        <v>0</v>
      </c>
      <c r="O80" s="22">
        <v>0</v>
      </c>
      <c r="P80" s="22">
        <v>0</v>
      </c>
      <c r="Q80" s="22">
        <v>0</v>
      </c>
      <c r="R80" s="22">
        <v>0</v>
      </c>
      <c r="S80" s="22">
        <v>0</v>
      </c>
      <c r="T80" s="22">
        <v>0</v>
      </c>
      <c r="U80" s="22">
        <v>0</v>
      </c>
      <c r="V80" s="22">
        <v>0</v>
      </c>
      <c r="W80" s="22">
        <v>0</v>
      </c>
      <c r="X80" s="22">
        <v>0</v>
      </c>
      <c r="Y80" s="22">
        <v>0</v>
      </c>
      <c r="Z80" s="22">
        <v>0</v>
      </c>
      <c r="AA80" s="22">
        <v>80000</v>
      </c>
      <c r="AB80" s="22">
        <v>80000</v>
      </c>
      <c r="AC80" s="23">
        <v>160000</v>
      </c>
    </row>
    <row r="81" spans="6:29" x14ac:dyDescent="0.25">
      <c r="F81" s="16"/>
      <c r="G81" s="30" t="s">
        <v>75</v>
      </c>
      <c r="H81" s="20">
        <v>20000</v>
      </c>
      <c r="I81" s="20">
        <v>20000</v>
      </c>
      <c r="J81" s="20">
        <v>40000</v>
      </c>
      <c r="K81" s="20">
        <v>0</v>
      </c>
      <c r="L81" s="20">
        <v>0</v>
      </c>
      <c r="M81" s="20">
        <v>0</v>
      </c>
      <c r="N81" s="20">
        <v>0</v>
      </c>
      <c r="O81" s="20">
        <v>0</v>
      </c>
      <c r="P81" s="20">
        <v>0</v>
      </c>
      <c r="Q81" s="20">
        <v>0</v>
      </c>
      <c r="R81" s="20">
        <v>0</v>
      </c>
      <c r="S81" s="20">
        <v>0</v>
      </c>
      <c r="T81" s="20">
        <v>0</v>
      </c>
      <c r="U81" s="20">
        <v>0</v>
      </c>
      <c r="V81" s="20">
        <v>0</v>
      </c>
      <c r="W81" s="20">
        <v>0</v>
      </c>
      <c r="X81" s="20">
        <v>0</v>
      </c>
      <c r="Y81" s="20">
        <v>0</v>
      </c>
      <c r="Z81" s="20">
        <v>0</v>
      </c>
      <c r="AA81" s="20">
        <v>20000</v>
      </c>
      <c r="AB81" s="20">
        <v>20000</v>
      </c>
      <c r="AC81" s="21">
        <v>40000</v>
      </c>
    </row>
    <row r="82" spans="6:29" x14ac:dyDescent="0.25">
      <c r="F82" s="16"/>
      <c r="G82" s="33" t="s">
        <v>77</v>
      </c>
      <c r="H82" s="20">
        <v>20000</v>
      </c>
      <c r="I82" s="20">
        <v>20000</v>
      </c>
      <c r="J82" s="20">
        <v>40000</v>
      </c>
      <c r="K82" s="20">
        <v>0</v>
      </c>
      <c r="L82" s="20">
        <v>0</v>
      </c>
      <c r="M82" s="20">
        <v>0</v>
      </c>
      <c r="N82" s="20">
        <v>0</v>
      </c>
      <c r="O82" s="20">
        <v>0</v>
      </c>
      <c r="P82" s="20">
        <v>0</v>
      </c>
      <c r="Q82" s="20">
        <v>0</v>
      </c>
      <c r="R82" s="20">
        <v>0</v>
      </c>
      <c r="S82" s="20">
        <v>0</v>
      </c>
      <c r="T82" s="20">
        <v>0</v>
      </c>
      <c r="U82" s="20">
        <v>0</v>
      </c>
      <c r="V82" s="20">
        <v>0</v>
      </c>
      <c r="W82" s="20">
        <v>0</v>
      </c>
      <c r="X82" s="20">
        <v>0</v>
      </c>
      <c r="Y82" s="20">
        <v>0</v>
      </c>
      <c r="Z82" s="20">
        <v>0</v>
      </c>
      <c r="AA82" s="20">
        <v>20000</v>
      </c>
      <c r="AB82" s="20">
        <v>20000</v>
      </c>
      <c r="AC82" s="21">
        <v>40000</v>
      </c>
    </row>
    <row r="83" spans="6:29" x14ac:dyDescent="0.25">
      <c r="F83" s="16"/>
      <c r="G83" s="33" t="s">
        <v>78</v>
      </c>
      <c r="H83" s="20">
        <v>20000</v>
      </c>
      <c r="I83" s="20">
        <v>20000</v>
      </c>
      <c r="J83" s="20">
        <v>40000</v>
      </c>
      <c r="K83" s="20">
        <v>0</v>
      </c>
      <c r="L83" s="20">
        <v>0</v>
      </c>
      <c r="M83" s="20">
        <v>0</v>
      </c>
      <c r="N83" s="20">
        <v>0</v>
      </c>
      <c r="O83" s="20">
        <v>0</v>
      </c>
      <c r="P83" s="20">
        <v>0</v>
      </c>
      <c r="Q83" s="20">
        <v>0</v>
      </c>
      <c r="R83" s="20">
        <v>0</v>
      </c>
      <c r="S83" s="20">
        <v>0</v>
      </c>
      <c r="T83" s="20">
        <v>0</v>
      </c>
      <c r="U83" s="20">
        <v>0</v>
      </c>
      <c r="V83" s="20">
        <v>0</v>
      </c>
      <c r="W83" s="20">
        <v>0</v>
      </c>
      <c r="X83" s="20">
        <v>0</v>
      </c>
      <c r="Y83" s="20">
        <v>0</v>
      </c>
      <c r="Z83" s="20">
        <v>0</v>
      </c>
      <c r="AA83" s="20">
        <v>20000</v>
      </c>
      <c r="AB83" s="20">
        <v>20000</v>
      </c>
      <c r="AC83" s="21">
        <v>40000</v>
      </c>
    </row>
    <row r="84" spans="6:29" x14ac:dyDescent="0.25">
      <c r="F84" s="16"/>
      <c r="G84" s="31" t="s">
        <v>79</v>
      </c>
      <c r="H84" s="24">
        <v>20000</v>
      </c>
      <c r="I84" s="24">
        <v>20000</v>
      </c>
      <c r="J84" s="24">
        <v>40000</v>
      </c>
      <c r="K84" s="24">
        <v>0</v>
      </c>
      <c r="L84" s="24">
        <v>0</v>
      </c>
      <c r="M84" s="24">
        <v>0</v>
      </c>
      <c r="N84" s="24">
        <v>0</v>
      </c>
      <c r="O84" s="24">
        <v>0</v>
      </c>
      <c r="P84" s="24">
        <v>0</v>
      </c>
      <c r="Q84" s="24">
        <v>0</v>
      </c>
      <c r="R84" s="24">
        <v>0</v>
      </c>
      <c r="S84" s="24">
        <v>0</v>
      </c>
      <c r="T84" s="24">
        <v>0</v>
      </c>
      <c r="U84" s="24">
        <v>0</v>
      </c>
      <c r="V84" s="24">
        <v>0</v>
      </c>
      <c r="W84" s="24">
        <v>0</v>
      </c>
      <c r="X84" s="24">
        <v>0</v>
      </c>
      <c r="Y84" s="24">
        <v>0</v>
      </c>
      <c r="Z84" s="24">
        <v>0</v>
      </c>
      <c r="AA84" s="24">
        <v>20000</v>
      </c>
      <c r="AB84" s="24">
        <v>20000</v>
      </c>
      <c r="AC84" s="25">
        <v>40000</v>
      </c>
    </row>
  </sheetData>
  <mergeCells count="10">
    <mergeCell ref="Z10:Z12"/>
    <mergeCell ref="AA10:AB10"/>
    <mergeCell ref="AC10:AC12"/>
    <mergeCell ref="F6:F8"/>
    <mergeCell ref="G6:G8"/>
    <mergeCell ref="H10:I10"/>
    <mergeCell ref="J10:J12"/>
    <mergeCell ref="K10:O10"/>
    <mergeCell ref="P10:P12"/>
    <mergeCell ref="Q10:Y10"/>
  </mergeCells>
  <pageMargins left="0.25" right="0.25" top="0.75" bottom="0.75" header="0.3" footer="0.3"/>
  <pageSetup paperSize="9" scale="45" orientation="landscape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4:G44"/>
  <sheetViews>
    <sheetView workbookViewId="0">
      <selection activeCell="J22" sqref="J22"/>
    </sheetView>
  </sheetViews>
  <sheetFormatPr defaultRowHeight="15" x14ac:dyDescent="0.25"/>
  <cols>
    <col min="1" max="1" width="22.42578125" bestFit="1" customWidth="1"/>
    <col min="2" max="2" width="21" customWidth="1"/>
    <col min="3" max="3" width="23.7109375" bestFit="1" customWidth="1"/>
    <col min="4" max="4" width="13.7109375" customWidth="1"/>
    <col min="5" max="5" width="12" customWidth="1"/>
    <col min="6" max="6" width="10" bestFit="1" customWidth="1"/>
    <col min="7" max="7" width="12.28515625" bestFit="1" customWidth="1"/>
  </cols>
  <sheetData>
    <row r="4" spans="1:7" x14ac:dyDescent="0.25">
      <c r="A4" s="97" t="s">
        <v>385</v>
      </c>
      <c r="B4" s="97" t="s">
        <v>387</v>
      </c>
      <c r="C4" s="97" t="s">
        <v>383</v>
      </c>
      <c r="D4" s="97" t="s">
        <v>361</v>
      </c>
      <c r="E4" s="97" t="s">
        <v>362</v>
      </c>
      <c r="F4" s="97" t="s">
        <v>363</v>
      </c>
      <c r="G4" s="97" t="s">
        <v>364</v>
      </c>
    </row>
    <row r="5" spans="1:7" x14ac:dyDescent="0.25">
      <c r="A5" t="s">
        <v>163</v>
      </c>
      <c r="B5" t="s">
        <v>270</v>
      </c>
      <c r="C5" t="s">
        <v>275</v>
      </c>
      <c r="D5" s="94">
        <v>0.84722222222222221</v>
      </c>
      <c r="E5" s="94">
        <v>0.42499999999999999</v>
      </c>
      <c r="F5" t="s">
        <v>339</v>
      </c>
      <c r="G5">
        <v>9000</v>
      </c>
    </row>
    <row r="6" spans="1:7" x14ac:dyDescent="0.25">
      <c r="C6" t="s">
        <v>278</v>
      </c>
      <c r="D6" s="94">
        <v>0.84722222222222221</v>
      </c>
      <c r="E6" s="94">
        <v>0.42499999999999999</v>
      </c>
      <c r="F6" t="s">
        <v>339</v>
      </c>
      <c r="G6">
        <v>9000</v>
      </c>
    </row>
    <row r="7" spans="1:7" x14ac:dyDescent="0.25">
      <c r="C7" t="s">
        <v>270</v>
      </c>
      <c r="D7" s="94">
        <v>0.84722222222222221</v>
      </c>
      <c r="E7" s="94">
        <v>0.42499999999999999</v>
      </c>
      <c r="F7" t="s">
        <v>339</v>
      </c>
      <c r="G7">
        <v>9000</v>
      </c>
    </row>
    <row r="8" spans="1:7" x14ac:dyDescent="0.25">
      <c r="B8" t="s">
        <v>273</v>
      </c>
      <c r="C8" t="s">
        <v>274</v>
      </c>
      <c r="D8" s="94">
        <v>0.84722222222222221</v>
      </c>
      <c r="E8" s="94">
        <v>0.42499999999999999</v>
      </c>
      <c r="F8" t="s">
        <v>339</v>
      </c>
      <c r="G8">
        <v>9000</v>
      </c>
    </row>
    <row r="9" spans="1:7" x14ac:dyDescent="0.25">
      <c r="C9" t="s">
        <v>277</v>
      </c>
      <c r="D9" s="94">
        <v>0.84722222222222221</v>
      </c>
      <c r="E9" s="94">
        <v>0.42499999999999999</v>
      </c>
      <c r="F9" t="s">
        <v>339</v>
      </c>
      <c r="G9">
        <v>9000</v>
      </c>
    </row>
    <row r="10" spans="1:7" x14ac:dyDescent="0.25">
      <c r="B10" t="s">
        <v>269</v>
      </c>
      <c r="C10" t="s">
        <v>269</v>
      </c>
      <c r="D10" s="94">
        <v>0.84722222222222221</v>
      </c>
      <c r="E10" s="94">
        <v>0.42499999999999999</v>
      </c>
      <c r="F10" t="s">
        <v>339</v>
      </c>
      <c r="G10">
        <v>9000</v>
      </c>
    </row>
    <row r="11" spans="1:7" x14ac:dyDescent="0.25">
      <c r="B11" t="s">
        <v>267</v>
      </c>
      <c r="C11" t="s">
        <v>268</v>
      </c>
      <c r="D11" s="94">
        <v>0.84722222222222221</v>
      </c>
      <c r="E11" s="94">
        <v>0.42499999999999999</v>
      </c>
      <c r="F11" t="s">
        <v>339</v>
      </c>
      <c r="G11">
        <v>9000</v>
      </c>
    </row>
    <row r="12" spans="1:7" x14ac:dyDescent="0.25">
      <c r="B12" t="s">
        <v>271</v>
      </c>
      <c r="C12" t="s">
        <v>271</v>
      </c>
      <c r="D12" s="94">
        <v>0.84722222222222221</v>
      </c>
      <c r="E12" s="94">
        <v>0.42499999999999999</v>
      </c>
      <c r="F12" t="s">
        <v>339</v>
      </c>
      <c r="G12">
        <v>9000</v>
      </c>
    </row>
    <row r="13" spans="1:7" x14ac:dyDescent="0.25">
      <c r="B13" t="s">
        <v>272</v>
      </c>
      <c r="C13" t="s">
        <v>272</v>
      </c>
      <c r="D13" s="94">
        <v>0.84722222222222221</v>
      </c>
      <c r="E13" s="94">
        <v>0.42499999999999999</v>
      </c>
      <c r="F13" t="s">
        <v>339</v>
      </c>
      <c r="G13">
        <v>9000</v>
      </c>
    </row>
    <row r="14" spans="1:7" x14ac:dyDescent="0.25">
      <c r="B14" t="s">
        <v>134</v>
      </c>
      <c r="C14" t="s">
        <v>134</v>
      </c>
      <c r="D14" s="94">
        <v>0.84722222222222221</v>
      </c>
      <c r="E14" s="94">
        <v>0.42499999999999999</v>
      </c>
      <c r="F14" t="s">
        <v>339</v>
      </c>
      <c r="G14">
        <v>9000</v>
      </c>
    </row>
    <row r="15" spans="1:7" x14ac:dyDescent="0.25">
      <c r="A15" t="s">
        <v>162</v>
      </c>
      <c r="B15" t="s">
        <v>270</v>
      </c>
      <c r="C15" t="s">
        <v>275</v>
      </c>
      <c r="D15" s="94">
        <v>0.84722222222222221</v>
      </c>
      <c r="E15" s="94">
        <v>0.42499999999999999</v>
      </c>
      <c r="F15" t="s">
        <v>339</v>
      </c>
      <c r="G15">
        <v>9000</v>
      </c>
    </row>
    <row r="16" spans="1:7" x14ac:dyDescent="0.25">
      <c r="C16" t="s">
        <v>278</v>
      </c>
      <c r="D16" s="94">
        <v>0.84722222222222221</v>
      </c>
      <c r="E16" s="94">
        <v>0.42499999999999999</v>
      </c>
      <c r="F16" t="s">
        <v>339</v>
      </c>
      <c r="G16">
        <v>9000</v>
      </c>
    </row>
    <row r="17" spans="1:7" x14ac:dyDescent="0.25">
      <c r="C17" t="s">
        <v>270</v>
      </c>
      <c r="D17" s="94">
        <v>0.84722222222222221</v>
      </c>
      <c r="E17" s="94">
        <v>0.42499999999999999</v>
      </c>
      <c r="F17" t="s">
        <v>339</v>
      </c>
      <c r="G17">
        <v>9000</v>
      </c>
    </row>
    <row r="18" spans="1:7" x14ac:dyDescent="0.25">
      <c r="B18" t="s">
        <v>273</v>
      </c>
      <c r="C18" t="s">
        <v>274</v>
      </c>
      <c r="D18" s="94">
        <v>0.84722222222222221</v>
      </c>
      <c r="E18" s="94">
        <v>0.42499999999999999</v>
      </c>
      <c r="F18" t="s">
        <v>339</v>
      </c>
      <c r="G18">
        <v>9000</v>
      </c>
    </row>
    <row r="19" spans="1:7" x14ac:dyDescent="0.25">
      <c r="C19" t="s">
        <v>277</v>
      </c>
      <c r="D19" s="94">
        <v>0.84722222222222221</v>
      </c>
      <c r="E19" s="94">
        <v>0.42499999999999999</v>
      </c>
      <c r="F19" t="s">
        <v>339</v>
      </c>
      <c r="G19">
        <v>9000</v>
      </c>
    </row>
    <row r="20" spans="1:7" x14ac:dyDescent="0.25">
      <c r="B20" t="s">
        <v>269</v>
      </c>
      <c r="C20" t="s">
        <v>269</v>
      </c>
      <c r="D20" s="94">
        <v>0.84722222222222221</v>
      </c>
      <c r="E20" s="94">
        <v>0.42499999999999999</v>
      </c>
      <c r="F20" t="s">
        <v>339</v>
      </c>
      <c r="G20">
        <v>9000</v>
      </c>
    </row>
    <row r="21" spans="1:7" x14ac:dyDescent="0.25">
      <c r="B21" t="s">
        <v>267</v>
      </c>
      <c r="C21" t="s">
        <v>268</v>
      </c>
      <c r="D21" s="94">
        <v>0.84722222222222221</v>
      </c>
      <c r="E21" s="94">
        <v>0.42499999999999999</v>
      </c>
      <c r="F21" t="s">
        <v>339</v>
      </c>
      <c r="G21">
        <v>9000</v>
      </c>
    </row>
    <row r="22" spans="1:7" x14ac:dyDescent="0.25">
      <c r="B22" t="s">
        <v>271</v>
      </c>
      <c r="C22" t="s">
        <v>271</v>
      </c>
      <c r="D22" s="94">
        <v>0.84722222222222221</v>
      </c>
      <c r="E22" s="94">
        <v>0.42499999999999999</v>
      </c>
      <c r="F22" t="s">
        <v>339</v>
      </c>
      <c r="G22">
        <v>9000</v>
      </c>
    </row>
    <row r="23" spans="1:7" x14ac:dyDescent="0.25">
      <c r="B23" t="s">
        <v>272</v>
      </c>
      <c r="C23" t="s">
        <v>272</v>
      </c>
      <c r="D23" s="94">
        <v>0.84722222222222221</v>
      </c>
      <c r="E23" s="94">
        <v>0.42499999999999999</v>
      </c>
      <c r="F23" t="s">
        <v>339</v>
      </c>
      <c r="G23">
        <v>9000</v>
      </c>
    </row>
    <row r="24" spans="1:7" x14ac:dyDescent="0.25">
      <c r="B24" t="s">
        <v>134</v>
      </c>
      <c r="C24" t="s">
        <v>134</v>
      </c>
      <c r="D24" s="94">
        <v>0.84722222222222221</v>
      </c>
      <c r="E24" s="94">
        <v>0.42499999999999999</v>
      </c>
      <c r="F24" t="s">
        <v>339</v>
      </c>
      <c r="G24">
        <v>9000</v>
      </c>
    </row>
    <row r="25" spans="1:7" x14ac:dyDescent="0.25">
      <c r="A25" t="s">
        <v>164</v>
      </c>
      <c r="B25" t="s">
        <v>270</v>
      </c>
      <c r="C25" t="s">
        <v>275</v>
      </c>
      <c r="D25" s="94">
        <v>0.84722222222222221</v>
      </c>
      <c r="E25" s="94">
        <v>0.42499999999999999</v>
      </c>
      <c r="F25" t="s">
        <v>339</v>
      </c>
      <c r="G25">
        <v>9000</v>
      </c>
    </row>
    <row r="26" spans="1:7" x14ac:dyDescent="0.25">
      <c r="C26" t="s">
        <v>278</v>
      </c>
      <c r="D26" s="94">
        <v>0.84722222222222221</v>
      </c>
      <c r="E26" s="94">
        <v>0.42499999999999999</v>
      </c>
      <c r="F26" t="s">
        <v>339</v>
      </c>
      <c r="G26">
        <v>9000</v>
      </c>
    </row>
    <row r="27" spans="1:7" x14ac:dyDescent="0.25">
      <c r="C27" t="s">
        <v>270</v>
      </c>
      <c r="D27" s="94">
        <v>0.84722222222222221</v>
      </c>
      <c r="E27" s="94">
        <v>0.42499999999999999</v>
      </c>
      <c r="F27" t="s">
        <v>339</v>
      </c>
      <c r="G27">
        <v>9000</v>
      </c>
    </row>
    <row r="28" spans="1:7" x14ac:dyDescent="0.25">
      <c r="B28" t="s">
        <v>273</v>
      </c>
      <c r="C28" t="s">
        <v>274</v>
      </c>
      <c r="D28" s="94">
        <v>0.84722222222222221</v>
      </c>
      <c r="E28" s="94">
        <v>0.42499999999999999</v>
      </c>
      <c r="F28" t="s">
        <v>339</v>
      </c>
      <c r="G28">
        <v>9000</v>
      </c>
    </row>
    <row r="29" spans="1:7" x14ac:dyDescent="0.25">
      <c r="C29" t="s">
        <v>277</v>
      </c>
      <c r="D29" s="94">
        <v>0.84722222222222221</v>
      </c>
      <c r="E29" s="94">
        <v>0.42499999999999999</v>
      </c>
      <c r="F29" t="s">
        <v>339</v>
      </c>
      <c r="G29">
        <v>9000</v>
      </c>
    </row>
    <row r="30" spans="1:7" x14ac:dyDescent="0.25">
      <c r="B30" t="s">
        <v>269</v>
      </c>
      <c r="C30" t="s">
        <v>269</v>
      </c>
      <c r="D30" s="94">
        <v>0.84722222222222221</v>
      </c>
      <c r="E30" s="94">
        <v>0.42499999999999999</v>
      </c>
      <c r="F30" t="s">
        <v>339</v>
      </c>
      <c r="G30">
        <v>9000</v>
      </c>
    </row>
    <row r="31" spans="1:7" x14ac:dyDescent="0.25">
      <c r="B31" t="s">
        <v>267</v>
      </c>
      <c r="C31" t="s">
        <v>268</v>
      </c>
      <c r="D31" s="94">
        <v>0.84722222222222221</v>
      </c>
      <c r="E31" s="94">
        <v>0.42499999999999999</v>
      </c>
      <c r="F31" t="s">
        <v>339</v>
      </c>
      <c r="G31">
        <v>9000</v>
      </c>
    </row>
    <row r="32" spans="1:7" x14ac:dyDescent="0.25">
      <c r="B32" t="s">
        <v>271</v>
      </c>
      <c r="C32" t="s">
        <v>271</v>
      </c>
      <c r="D32" s="94">
        <v>0.84722222222222221</v>
      </c>
      <c r="E32" s="94">
        <v>0.42499999999999999</v>
      </c>
      <c r="F32" t="s">
        <v>339</v>
      </c>
      <c r="G32">
        <v>9000</v>
      </c>
    </row>
    <row r="33" spans="1:7" x14ac:dyDescent="0.25">
      <c r="B33" t="s">
        <v>272</v>
      </c>
      <c r="C33" t="s">
        <v>272</v>
      </c>
      <c r="D33" s="94">
        <v>0.84722222222222221</v>
      </c>
      <c r="E33" s="94">
        <v>0.42499999999999999</v>
      </c>
      <c r="F33" t="s">
        <v>339</v>
      </c>
      <c r="G33">
        <v>9000</v>
      </c>
    </row>
    <row r="34" spans="1:7" x14ac:dyDescent="0.25">
      <c r="B34" t="s">
        <v>134</v>
      </c>
      <c r="C34" t="s">
        <v>134</v>
      </c>
      <c r="D34" s="94">
        <v>0.84722222222222221</v>
      </c>
      <c r="E34" s="94">
        <v>0.42499999999999999</v>
      </c>
      <c r="F34" t="s">
        <v>339</v>
      </c>
      <c r="G34">
        <v>9000</v>
      </c>
    </row>
    <row r="35" spans="1:7" x14ac:dyDescent="0.25">
      <c r="A35" t="s">
        <v>165</v>
      </c>
      <c r="B35" t="s">
        <v>270</v>
      </c>
      <c r="C35" t="s">
        <v>275</v>
      </c>
      <c r="D35" s="94">
        <v>0.84722222222222221</v>
      </c>
      <c r="E35" s="94">
        <v>0.42499999999999999</v>
      </c>
      <c r="F35" t="s">
        <v>339</v>
      </c>
      <c r="G35">
        <v>9000</v>
      </c>
    </row>
    <row r="36" spans="1:7" x14ac:dyDescent="0.25">
      <c r="C36" t="s">
        <v>278</v>
      </c>
      <c r="D36" s="94">
        <v>0.84722222222222221</v>
      </c>
      <c r="E36" s="94">
        <v>0.42499999999999999</v>
      </c>
      <c r="F36" t="s">
        <v>339</v>
      </c>
      <c r="G36">
        <v>9000</v>
      </c>
    </row>
    <row r="37" spans="1:7" x14ac:dyDescent="0.25">
      <c r="C37" t="s">
        <v>270</v>
      </c>
      <c r="D37" s="94">
        <v>0.84722222222222221</v>
      </c>
      <c r="E37" s="94">
        <v>0.42499999999999999</v>
      </c>
      <c r="F37" t="s">
        <v>339</v>
      </c>
      <c r="G37">
        <v>9000</v>
      </c>
    </row>
    <row r="38" spans="1:7" x14ac:dyDescent="0.25">
      <c r="B38" t="s">
        <v>273</v>
      </c>
      <c r="C38" t="s">
        <v>274</v>
      </c>
      <c r="D38" s="94">
        <v>0.84722222222222221</v>
      </c>
      <c r="E38" s="94">
        <v>0.42499999999999999</v>
      </c>
      <c r="F38" t="s">
        <v>339</v>
      </c>
      <c r="G38">
        <v>9000</v>
      </c>
    </row>
    <row r="39" spans="1:7" x14ac:dyDescent="0.25">
      <c r="C39" t="s">
        <v>277</v>
      </c>
      <c r="D39" s="94">
        <v>0.84722222222222221</v>
      </c>
      <c r="E39" s="94">
        <v>0.42499999999999999</v>
      </c>
      <c r="F39" t="s">
        <v>339</v>
      </c>
      <c r="G39">
        <v>9000</v>
      </c>
    </row>
    <row r="40" spans="1:7" x14ac:dyDescent="0.25">
      <c r="B40" t="s">
        <v>269</v>
      </c>
      <c r="C40" t="s">
        <v>269</v>
      </c>
      <c r="D40" s="94">
        <v>0.84722222222222221</v>
      </c>
      <c r="E40" s="94">
        <v>0.42499999999999999</v>
      </c>
      <c r="F40" t="s">
        <v>339</v>
      </c>
      <c r="G40">
        <v>9000</v>
      </c>
    </row>
    <row r="41" spans="1:7" x14ac:dyDescent="0.25">
      <c r="B41" t="s">
        <v>267</v>
      </c>
      <c r="C41" t="s">
        <v>268</v>
      </c>
      <c r="D41" s="94">
        <v>0.84722222222222221</v>
      </c>
      <c r="E41" s="94">
        <v>0.42499999999999999</v>
      </c>
      <c r="F41" t="s">
        <v>339</v>
      </c>
      <c r="G41">
        <v>9000</v>
      </c>
    </row>
    <row r="42" spans="1:7" x14ac:dyDescent="0.25">
      <c r="B42" t="s">
        <v>271</v>
      </c>
      <c r="C42" t="s">
        <v>271</v>
      </c>
      <c r="D42" s="94">
        <v>0.84722222222222221</v>
      </c>
      <c r="E42" s="94">
        <v>0.42499999999999999</v>
      </c>
      <c r="F42" t="s">
        <v>339</v>
      </c>
      <c r="G42">
        <v>9000</v>
      </c>
    </row>
    <row r="43" spans="1:7" x14ac:dyDescent="0.25">
      <c r="B43" t="s">
        <v>272</v>
      </c>
      <c r="C43" t="s">
        <v>272</v>
      </c>
      <c r="D43" s="94">
        <v>0.84722222222222221</v>
      </c>
      <c r="E43" s="94">
        <v>0.42499999999999999</v>
      </c>
      <c r="F43" t="s">
        <v>339</v>
      </c>
      <c r="G43">
        <v>9000</v>
      </c>
    </row>
    <row r="44" spans="1:7" x14ac:dyDescent="0.25">
      <c r="B44" t="s">
        <v>134</v>
      </c>
      <c r="C44" t="s">
        <v>134</v>
      </c>
      <c r="D44" s="94">
        <v>0.84722222222222221</v>
      </c>
      <c r="E44" s="94">
        <v>0.42499999999999999</v>
      </c>
      <c r="F44" t="s">
        <v>339</v>
      </c>
      <c r="G44">
        <v>9000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4:F94"/>
  <sheetViews>
    <sheetView workbookViewId="0">
      <selection activeCell="I29" sqref="I29"/>
    </sheetView>
  </sheetViews>
  <sheetFormatPr defaultRowHeight="15" x14ac:dyDescent="0.25"/>
  <cols>
    <col min="1" max="1" width="24.85546875" bestFit="1" customWidth="1"/>
    <col min="2" max="2" width="22" bestFit="1" customWidth="1"/>
    <col min="3" max="3" width="23.7109375" bestFit="1" customWidth="1"/>
    <col min="4" max="4" width="15.7109375" bestFit="1" customWidth="1"/>
    <col min="5" max="5" width="11.42578125" bestFit="1" customWidth="1"/>
    <col min="6" max="6" width="12.28515625" bestFit="1" customWidth="1"/>
    <col min="7" max="7" width="9.42578125" bestFit="1" customWidth="1"/>
  </cols>
  <sheetData>
    <row r="4" spans="1:6" x14ac:dyDescent="0.25">
      <c r="A4" s="97" t="s">
        <v>385</v>
      </c>
      <c r="B4" s="97" t="s">
        <v>387</v>
      </c>
      <c r="C4" s="97" t="s">
        <v>383</v>
      </c>
      <c r="D4" s="97" t="s">
        <v>361</v>
      </c>
      <c r="E4" s="97" t="s">
        <v>362</v>
      </c>
      <c r="F4" s="97" t="s">
        <v>364</v>
      </c>
    </row>
    <row r="5" spans="1:6" x14ac:dyDescent="0.25">
      <c r="A5" t="s">
        <v>166</v>
      </c>
      <c r="B5" t="s">
        <v>270</v>
      </c>
      <c r="C5" t="s">
        <v>270</v>
      </c>
      <c r="D5" s="94">
        <v>0.84722222222222221</v>
      </c>
      <c r="E5" s="94">
        <v>0.42499999999999999</v>
      </c>
      <c r="F5">
        <v>9000</v>
      </c>
    </row>
    <row r="6" spans="1:6" x14ac:dyDescent="0.25">
      <c r="C6" t="s">
        <v>275</v>
      </c>
      <c r="D6" s="94">
        <v>0.84722222222222221</v>
      </c>
      <c r="E6" s="94">
        <v>0.42499999999999999</v>
      </c>
      <c r="F6">
        <v>9000</v>
      </c>
    </row>
    <row r="7" spans="1:6" x14ac:dyDescent="0.25">
      <c r="C7" t="s">
        <v>278</v>
      </c>
      <c r="D7" s="94">
        <v>0.84722222222222221</v>
      </c>
      <c r="E7" s="94">
        <v>0.42499999999999999</v>
      </c>
      <c r="F7">
        <v>9000</v>
      </c>
    </row>
    <row r="8" spans="1:6" x14ac:dyDescent="0.25">
      <c r="B8" t="s">
        <v>273</v>
      </c>
      <c r="C8" t="s">
        <v>274</v>
      </c>
      <c r="D8" s="94">
        <v>0.84722222222222221</v>
      </c>
      <c r="E8" s="94">
        <v>0.42499999999999999</v>
      </c>
      <c r="F8">
        <v>9000</v>
      </c>
    </row>
    <row r="9" spans="1:6" x14ac:dyDescent="0.25">
      <c r="C9" t="s">
        <v>277</v>
      </c>
      <c r="D9" s="94">
        <v>0.84722222222222221</v>
      </c>
      <c r="E9" s="94">
        <v>0.42499999999999999</v>
      </c>
      <c r="F9">
        <v>9000</v>
      </c>
    </row>
    <row r="10" spans="1:6" x14ac:dyDescent="0.25">
      <c r="B10" t="s">
        <v>269</v>
      </c>
      <c r="C10" t="s">
        <v>269</v>
      </c>
      <c r="D10" s="94">
        <v>0.84722222222222221</v>
      </c>
      <c r="E10" s="94">
        <v>0.42499999999999999</v>
      </c>
      <c r="F10">
        <v>9000</v>
      </c>
    </row>
    <row r="11" spans="1:6" x14ac:dyDescent="0.25">
      <c r="B11" t="s">
        <v>271</v>
      </c>
      <c r="C11" t="s">
        <v>271</v>
      </c>
      <c r="D11" s="94">
        <v>0.84722222222222221</v>
      </c>
      <c r="E11" s="94">
        <v>0.42499999999999999</v>
      </c>
      <c r="F11">
        <v>9000</v>
      </c>
    </row>
    <row r="12" spans="1:6" x14ac:dyDescent="0.25">
      <c r="B12" t="s">
        <v>272</v>
      </c>
      <c r="C12" t="s">
        <v>272</v>
      </c>
      <c r="D12" s="94">
        <v>0.84722222222222221</v>
      </c>
      <c r="E12" s="94">
        <v>0.42499999999999999</v>
      </c>
      <c r="F12">
        <v>9000</v>
      </c>
    </row>
    <row r="13" spans="1:6" x14ac:dyDescent="0.25">
      <c r="B13" t="s">
        <v>267</v>
      </c>
      <c r="C13" t="s">
        <v>268</v>
      </c>
      <c r="D13" s="94">
        <v>0.84722222222222221</v>
      </c>
      <c r="E13" s="94">
        <v>0.42499999999999999</v>
      </c>
      <c r="F13">
        <v>9000</v>
      </c>
    </row>
    <row r="14" spans="1:6" x14ac:dyDescent="0.25">
      <c r="B14" t="s">
        <v>134</v>
      </c>
      <c r="C14" t="s">
        <v>134</v>
      </c>
      <c r="D14" s="94">
        <v>0.84722222222222221</v>
      </c>
      <c r="E14" s="94">
        <v>0.42499999999999999</v>
      </c>
      <c r="F14">
        <v>9000</v>
      </c>
    </row>
    <row r="15" spans="1:6" x14ac:dyDescent="0.25">
      <c r="A15" t="s">
        <v>168</v>
      </c>
      <c r="B15" t="s">
        <v>270</v>
      </c>
      <c r="C15" t="s">
        <v>270</v>
      </c>
      <c r="D15" s="94">
        <v>0.84722222222222221</v>
      </c>
      <c r="E15" s="94">
        <v>0.42499999999999999</v>
      </c>
      <c r="F15">
        <v>9000</v>
      </c>
    </row>
    <row r="16" spans="1:6" x14ac:dyDescent="0.25">
      <c r="C16" t="s">
        <v>275</v>
      </c>
      <c r="D16" s="94">
        <v>0.84722222222222221</v>
      </c>
      <c r="E16" s="94">
        <v>0.42499999999999999</v>
      </c>
      <c r="F16">
        <v>9000</v>
      </c>
    </row>
    <row r="17" spans="1:6" x14ac:dyDescent="0.25">
      <c r="C17" t="s">
        <v>278</v>
      </c>
      <c r="D17" s="94">
        <v>0.84722222222222221</v>
      </c>
      <c r="E17" s="94">
        <v>0.42499999999999999</v>
      </c>
      <c r="F17">
        <v>9000</v>
      </c>
    </row>
    <row r="18" spans="1:6" x14ac:dyDescent="0.25">
      <c r="B18" t="s">
        <v>273</v>
      </c>
      <c r="C18" t="s">
        <v>274</v>
      </c>
      <c r="D18" s="94">
        <v>0.84722222222222221</v>
      </c>
      <c r="E18" s="94">
        <v>0.42499999999999999</v>
      </c>
      <c r="F18">
        <v>9000</v>
      </c>
    </row>
    <row r="19" spans="1:6" x14ac:dyDescent="0.25">
      <c r="C19" t="s">
        <v>277</v>
      </c>
      <c r="D19" s="94">
        <v>0.84722222222222221</v>
      </c>
      <c r="E19" s="94">
        <v>0.42499999999999999</v>
      </c>
      <c r="F19">
        <v>9000</v>
      </c>
    </row>
    <row r="20" spans="1:6" x14ac:dyDescent="0.25">
      <c r="B20" t="s">
        <v>269</v>
      </c>
      <c r="C20" t="s">
        <v>269</v>
      </c>
      <c r="D20" s="94">
        <v>0.84722222222222221</v>
      </c>
      <c r="E20" s="94">
        <v>0.42499999999999999</v>
      </c>
      <c r="F20">
        <v>9000</v>
      </c>
    </row>
    <row r="21" spans="1:6" x14ac:dyDescent="0.25">
      <c r="B21" t="s">
        <v>271</v>
      </c>
      <c r="C21" t="s">
        <v>271</v>
      </c>
      <c r="D21" s="94">
        <v>0.84722222222222221</v>
      </c>
      <c r="E21" s="94">
        <v>0.42499999999999999</v>
      </c>
      <c r="F21">
        <v>9000</v>
      </c>
    </row>
    <row r="22" spans="1:6" x14ac:dyDescent="0.25">
      <c r="B22" t="s">
        <v>272</v>
      </c>
      <c r="C22" t="s">
        <v>272</v>
      </c>
      <c r="D22" s="94">
        <v>0.84722222222222221</v>
      </c>
      <c r="E22" s="94">
        <v>0.42499999999999999</v>
      </c>
      <c r="F22">
        <v>9000</v>
      </c>
    </row>
    <row r="23" spans="1:6" x14ac:dyDescent="0.25">
      <c r="B23" t="s">
        <v>267</v>
      </c>
      <c r="C23" t="s">
        <v>268</v>
      </c>
      <c r="D23" s="94">
        <v>0.84722222222222221</v>
      </c>
      <c r="E23" s="94">
        <v>0.42499999999999999</v>
      </c>
      <c r="F23">
        <v>9000</v>
      </c>
    </row>
    <row r="24" spans="1:6" x14ac:dyDescent="0.25">
      <c r="B24" t="s">
        <v>134</v>
      </c>
      <c r="C24" t="s">
        <v>134</v>
      </c>
      <c r="D24" s="94">
        <v>0.84722222222222221</v>
      </c>
      <c r="E24" s="94">
        <v>0.42499999999999999</v>
      </c>
      <c r="F24">
        <v>9000</v>
      </c>
    </row>
    <row r="25" spans="1:6" x14ac:dyDescent="0.25">
      <c r="A25" t="s">
        <v>169</v>
      </c>
      <c r="B25" t="s">
        <v>270</v>
      </c>
      <c r="C25" t="s">
        <v>270</v>
      </c>
      <c r="D25" s="94">
        <v>0.84722222222222221</v>
      </c>
      <c r="E25" s="94">
        <v>0.42499999999999999</v>
      </c>
      <c r="F25">
        <v>9000</v>
      </c>
    </row>
    <row r="26" spans="1:6" x14ac:dyDescent="0.25">
      <c r="C26" t="s">
        <v>275</v>
      </c>
      <c r="D26" s="94">
        <v>0.84722222222222221</v>
      </c>
      <c r="E26" s="94">
        <v>0.42499999999999999</v>
      </c>
      <c r="F26">
        <v>9000</v>
      </c>
    </row>
    <row r="27" spans="1:6" x14ac:dyDescent="0.25">
      <c r="C27" t="s">
        <v>278</v>
      </c>
      <c r="D27" s="94">
        <v>0.84722222222222221</v>
      </c>
      <c r="E27" s="94">
        <v>0.42499999999999999</v>
      </c>
      <c r="F27">
        <v>9000</v>
      </c>
    </row>
    <row r="28" spans="1:6" x14ac:dyDescent="0.25">
      <c r="B28" t="s">
        <v>273</v>
      </c>
      <c r="C28" t="s">
        <v>274</v>
      </c>
      <c r="D28" s="94">
        <v>0.84722222222222221</v>
      </c>
      <c r="E28" s="94">
        <v>0.42499999999999999</v>
      </c>
      <c r="F28">
        <v>9000</v>
      </c>
    </row>
    <row r="29" spans="1:6" x14ac:dyDescent="0.25">
      <c r="C29" t="s">
        <v>277</v>
      </c>
      <c r="D29" s="94">
        <v>0.84722222222222221</v>
      </c>
      <c r="E29" s="94">
        <v>0.42499999999999999</v>
      </c>
      <c r="F29">
        <v>9000</v>
      </c>
    </row>
    <row r="30" spans="1:6" x14ac:dyDescent="0.25">
      <c r="B30" t="s">
        <v>269</v>
      </c>
      <c r="C30" t="s">
        <v>269</v>
      </c>
      <c r="D30" s="94">
        <v>0.84722222222222221</v>
      </c>
      <c r="E30" s="94">
        <v>0.42499999999999999</v>
      </c>
      <c r="F30">
        <v>9000</v>
      </c>
    </row>
    <row r="31" spans="1:6" x14ac:dyDescent="0.25">
      <c r="B31" t="s">
        <v>271</v>
      </c>
      <c r="C31" t="s">
        <v>271</v>
      </c>
      <c r="D31" s="94">
        <v>0.84722222222222221</v>
      </c>
      <c r="E31" s="94">
        <v>0.42499999999999999</v>
      </c>
      <c r="F31">
        <v>9000</v>
      </c>
    </row>
    <row r="32" spans="1:6" x14ac:dyDescent="0.25">
      <c r="B32" t="s">
        <v>272</v>
      </c>
      <c r="C32" t="s">
        <v>272</v>
      </c>
      <c r="D32" s="94">
        <v>0.84722222222222221</v>
      </c>
      <c r="E32" s="94">
        <v>0.42499999999999999</v>
      </c>
      <c r="F32">
        <v>9000</v>
      </c>
    </row>
    <row r="33" spans="1:6" x14ac:dyDescent="0.25">
      <c r="B33" t="s">
        <v>267</v>
      </c>
      <c r="C33" t="s">
        <v>268</v>
      </c>
      <c r="D33" s="94">
        <v>0.84722222222222221</v>
      </c>
      <c r="E33" s="94">
        <v>0.42499999999999999</v>
      </c>
      <c r="F33">
        <v>9000</v>
      </c>
    </row>
    <row r="34" spans="1:6" x14ac:dyDescent="0.25">
      <c r="B34" t="s">
        <v>134</v>
      </c>
      <c r="C34" t="s">
        <v>134</v>
      </c>
      <c r="D34" s="94">
        <v>0.84722222222222221</v>
      </c>
      <c r="E34" s="94">
        <v>0.42499999999999999</v>
      </c>
      <c r="F34">
        <v>9000</v>
      </c>
    </row>
    <row r="35" spans="1:6" x14ac:dyDescent="0.25">
      <c r="A35" t="s">
        <v>167</v>
      </c>
      <c r="B35" t="s">
        <v>270</v>
      </c>
      <c r="C35" t="s">
        <v>270</v>
      </c>
      <c r="D35" s="94">
        <v>0.84722222222222221</v>
      </c>
      <c r="E35" s="94">
        <v>0.42499999999999999</v>
      </c>
      <c r="F35">
        <v>9000</v>
      </c>
    </row>
    <row r="36" spans="1:6" x14ac:dyDescent="0.25">
      <c r="C36" t="s">
        <v>275</v>
      </c>
      <c r="D36" s="94">
        <v>0.84722222222222221</v>
      </c>
      <c r="E36" s="94">
        <v>0.42499999999999999</v>
      </c>
      <c r="F36">
        <v>9000</v>
      </c>
    </row>
    <row r="37" spans="1:6" x14ac:dyDescent="0.25">
      <c r="C37" t="s">
        <v>278</v>
      </c>
      <c r="D37" s="94">
        <v>0.84722222222222221</v>
      </c>
      <c r="E37" s="94">
        <v>0.42499999999999999</v>
      </c>
      <c r="F37">
        <v>9000</v>
      </c>
    </row>
    <row r="38" spans="1:6" x14ac:dyDescent="0.25">
      <c r="B38" t="s">
        <v>273</v>
      </c>
      <c r="C38" t="s">
        <v>274</v>
      </c>
      <c r="D38" s="94">
        <v>0.84722222222222221</v>
      </c>
      <c r="E38" s="94">
        <v>0.42499999999999999</v>
      </c>
      <c r="F38">
        <v>9000</v>
      </c>
    </row>
    <row r="39" spans="1:6" x14ac:dyDescent="0.25">
      <c r="C39" t="s">
        <v>277</v>
      </c>
      <c r="D39" s="94">
        <v>0.84722222222222221</v>
      </c>
      <c r="E39" s="94">
        <v>0.42499999999999999</v>
      </c>
      <c r="F39">
        <v>9000</v>
      </c>
    </row>
    <row r="40" spans="1:6" x14ac:dyDescent="0.25">
      <c r="B40" t="s">
        <v>269</v>
      </c>
      <c r="C40" t="s">
        <v>269</v>
      </c>
      <c r="D40" s="94">
        <v>0.84722222222222221</v>
      </c>
      <c r="E40" s="94">
        <v>0.42499999999999999</v>
      </c>
      <c r="F40">
        <v>9000</v>
      </c>
    </row>
    <row r="41" spans="1:6" x14ac:dyDescent="0.25">
      <c r="B41" t="s">
        <v>271</v>
      </c>
      <c r="C41" t="s">
        <v>271</v>
      </c>
      <c r="D41" s="94">
        <v>0.84722222222222221</v>
      </c>
      <c r="E41" s="94">
        <v>0.42499999999999999</v>
      </c>
      <c r="F41">
        <v>9000</v>
      </c>
    </row>
    <row r="42" spans="1:6" x14ac:dyDescent="0.25">
      <c r="B42" t="s">
        <v>272</v>
      </c>
      <c r="C42" t="s">
        <v>272</v>
      </c>
      <c r="D42" s="94">
        <v>0.84722222222222221</v>
      </c>
      <c r="E42" s="94">
        <v>0.42499999999999999</v>
      </c>
      <c r="F42">
        <v>9000</v>
      </c>
    </row>
    <row r="43" spans="1:6" x14ac:dyDescent="0.25">
      <c r="B43" t="s">
        <v>267</v>
      </c>
      <c r="C43" t="s">
        <v>268</v>
      </c>
      <c r="D43" s="94">
        <v>0.84722222222222221</v>
      </c>
      <c r="E43" s="94">
        <v>0.42499999999999999</v>
      </c>
      <c r="F43">
        <v>9000</v>
      </c>
    </row>
    <row r="44" spans="1:6" x14ac:dyDescent="0.25">
      <c r="B44" t="s">
        <v>134</v>
      </c>
      <c r="C44" t="s">
        <v>134</v>
      </c>
      <c r="D44" s="94">
        <v>0.84722222222222221</v>
      </c>
      <c r="E44" s="94">
        <v>0.42499999999999999</v>
      </c>
      <c r="F44">
        <v>9000</v>
      </c>
    </row>
    <row r="45" spans="1:6" x14ac:dyDescent="0.25">
      <c r="A45" t="s">
        <v>163</v>
      </c>
      <c r="B45" t="s">
        <v>270</v>
      </c>
      <c r="C45" t="s">
        <v>270</v>
      </c>
      <c r="D45" s="94">
        <v>0.84722222222222221</v>
      </c>
      <c r="E45" s="94">
        <v>0.42499999999999999</v>
      </c>
      <c r="F45">
        <v>9000</v>
      </c>
    </row>
    <row r="46" spans="1:6" x14ac:dyDescent="0.25">
      <c r="C46" t="s">
        <v>275</v>
      </c>
      <c r="D46" s="94">
        <v>0.84722222222222221</v>
      </c>
      <c r="E46" s="94">
        <v>0.42499999999999999</v>
      </c>
      <c r="F46">
        <v>9000</v>
      </c>
    </row>
    <row r="47" spans="1:6" x14ac:dyDescent="0.25">
      <c r="C47" t="s">
        <v>278</v>
      </c>
      <c r="D47" s="94">
        <v>0.84722222222222221</v>
      </c>
      <c r="E47" s="94">
        <v>0.42499999999999999</v>
      </c>
      <c r="F47">
        <v>9000</v>
      </c>
    </row>
    <row r="48" spans="1:6" x14ac:dyDescent="0.25">
      <c r="B48" t="s">
        <v>273</v>
      </c>
      <c r="C48" t="s">
        <v>274</v>
      </c>
      <c r="D48" s="94">
        <v>0.84722222222222221</v>
      </c>
      <c r="E48" s="94">
        <v>0.42499999999999999</v>
      </c>
      <c r="F48">
        <v>9000</v>
      </c>
    </row>
    <row r="49" spans="1:6" x14ac:dyDescent="0.25">
      <c r="C49" t="s">
        <v>277</v>
      </c>
      <c r="D49" s="94">
        <v>0.84722222222222221</v>
      </c>
      <c r="E49" s="94">
        <v>0.42499999999999999</v>
      </c>
      <c r="F49">
        <v>9000</v>
      </c>
    </row>
    <row r="50" spans="1:6" x14ac:dyDescent="0.25">
      <c r="B50" t="s">
        <v>269</v>
      </c>
      <c r="C50" t="s">
        <v>269</v>
      </c>
      <c r="D50" s="94">
        <v>0.84722222222222221</v>
      </c>
      <c r="E50" s="94">
        <v>0.42499999999999999</v>
      </c>
      <c r="F50">
        <v>9000</v>
      </c>
    </row>
    <row r="51" spans="1:6" x14ac:dyDescent="0.25">
      <c r="B51" t="s">
        <v>271</v>
      </c>
      <c r="C51" t="s">
        <v>271</v>
      </c>
      <c r="D51" s="94">
        <v>0.84722222222222221</v>
      </c>
      <c r="E51" s="94">
        <v>0.42499999999999999</v>
      </c>
      <c r="F51">
        <v>9000</v>
      </c>
    </row>
    <row r="52" spans="1:6" x14ac:dyDescent="0.25">
      <c r="B52" t="s">
        <v>272</v>
      </c>
      <c r="C52" t="s">
        <v>272</v>
      </c>
      <c r="D52" s="94">
        <v>0.84722222222222221</v>
      </c>
      <c r="E52" s="94">
        <v>0.42499999999999999</v>
      </c>
      <c r="F52">
        <v>9000</v>
      </c>
    </row>
    <row r="53" spans="1:6" x14ac:dyDescent="0.25">
      <c r="B53" t="s">
        <v>267</v>
      </c>
      <c r="C53" t="s">
        <v>268</v>
      </c>
      <c r="D53" s="94">
        <v>0.84722222222222221</v>
      </c>
      <c r="E53" s="94">
        <v>0.42499999999999999</v>
      </c>
      <c r="F53">
        <v>9000</v>
      </c>
    </row>
    <row r="54" spans="1:6" x14ac:dyDescent="0.25">
      <c r="B54" t="s">
        <v>134</v>
      </c>
      <c r="C54" t="s">
        <v>134</v>
      </c>
      <c r="D54" s="94">
        <v>0.84722222222222221</v>
      </c>
      <c r="E54" s="94">
        <v>0.42499999999999999</v>
      </c>
      <c r="F54">
        <v>9000</v>
      </c>
    </row>
    <row r="55" spans="1:6" x14ac:dyDescent="0.25">
      <c r="A55" t="s">
        <v>162</v>
      </c>
      <c r="B55" t="s">
        <v>270</v>
      </c>
      <c r="C55" t="s">
        <v>270</v>
      </c>
      <c r="D55" s="94">
        <v>0.84722222222222221</v>
      </c>
      <c r="E55" s="94">
        <v>0.42499999999999999</v>
      </c>
      <c r="F55">
        <v>9000</v>
      </c>
    </row>
    <row r="56" spans="1:6" x14ac:dyDescent="0.25">
      <c r="C56" t="s">
        <v>275</v>
      </c>
      <c r="D56" s="94">
        <v>0.84722222222222221</v>
      </c>
      <c r="E56" s="94">
        <v>0.42499999999999999</v>
      </c>
      <c r="F56">
        <v>9000</v>
      </c>
    </row>
    <row r="57" spans="1:6" x14ac:dyDescent="0.25">
      <c r="C57" t="s">
        <v>278</v>
      </c>
      <c r="D57" s="94">
        <v>0.84722222222222221</v>
      </c>
      <c r="E57" s="94">
        <v>0.42499999999999999</v>
      </c>
      <c r="F57">
        <v>9000</v>
      </c>
    </row>
    <row r="58" spans="1:6" x14ac:dyDescent="0.25">
      <c r="B58" t="s">
        <v>273</v>
      </c>
      <c r="C58" t="s">
        <v>274</v>
      </c>
      <c r="D58" s="94">
        <v>0.84722222222222221</v>
      </c>
      <c r="E58" s="94">
        <v>0.42499999999999999</v>
      </c>
      <c r="F58">
        <v>9000</v>
      </c>
    </row>
    <row r="59" spans="1:6" x14ac:dyDescent="0.25">
      <c r="C59" t="s">
        <v>277</v>
      </c>
      <c r="D59" s="94">
        <v>0.84722222222222221</v>
      </c>
      <c r="E59" s="94">
        <v>0.42499999999999999</v>
      </c>
      <c r="F59">
        <v>9000</v>
      </c>
    </row>
    <row r="60" spans="1:6" x14ac:dyDescent="0.25">
      <c r="B60" t="s">
        <v>269</v>
      </c>
      <c r="C60" t="s">
        <v>269</v>
      </c>
      <c r="D60" s="94">
        <v>0.84722222222222221</v>
      </c>
      <c r="E60" s="94">
        <v>0.42499999999999999</v>
      </c>
      <c r="F60">
        <v>9000</v>
      </c>
    </row>
    <row r="61" spans="1:6" x14ac:dyDescent="0.25">
      <c r="B61" t="s">
        <v>271</v>
      </c>
      <c r="C61" t="s">
        <v>271</v>
      </c>
      <c r="D61" s="94">
        <v>0.84722222222222221</v>
      </c>
      <c r="E61" s="94">
        <v>0.42499999999999999</v>
      </c>
      <c r="F61">
        <v>9000</v>
      </c>
    </row>
    <row r="62" spans="1:6" x14ac:dyDescent="0.25">
      <c r="B62" t="s">
        <v>272</v>
      </c>
      <c r="C62" t="s">
        <v>272</v>
      </c>
      <c r="D62" s="94">
        <v>0.84722222222222221</v>
      </c>
      <c r="E62" s="94">
        <v>0.42499999999999999</v>
      </c>
      <c r="F62">
        <v>9000</v>
      </c>
    </row>
    <row r="63" spans="1:6" x14ac:dyDescent="0.25">
      <c r="B63" t="s">
        <v>267</v>
      </c>
      <c r="C63" t="s">
        <v>268</v>
      </c>
      <c r="D63" s="94">
        <v>0.84722222222222221</v>
      </c>
      <c r="E63" s="94">
        <v>0.42499999999999999</v>
      </c>
      <c r="F63">
        <v>9000</v>
      </c>
    </row>
    <row r="64" spans="1:6" x14ac:dyDescent="0.25">
      <c r="B64" t="s">
        <v>134</v>
      </c>
      <c r="C64" t="s">
        <v>134</v>
      </c>
      <c r="D64" s="94">
        <v>0.84722222222222221</v>
      </c>
      <c r="E64" s="94">
        <v>0.42499999999999999</v>
      </c>
      <c r="F64">
        <v>9000</v>
      </c>
    </row>
    <row r="65" spans="1:6" x14ac:dyDescent="0.25">
      <c r="A65" t="s">
        <v>164</v>
      </c>
      <c r="B65" t="s">
        <v>270</v>
      </c>
      <c r="C65" t="s">
        <v>270</v>
      </c>
      <c r="D65" s="94">
        <v>0.84722222222222221</v>
      </c>
      <c r="E65" s="94">
        <v>0.42499999999999999</v>
      </c>
      <c r="F65">
        <v>9000</v>
      </c>
    </row>
    <row r="66" spans="1:6" x14ac:dyDescent="0.25">
      <c r="C66" t="s">
        <v>275</v>
      </c>
      <c r="D66" s="94">
        <v>0.84722222222222221</v>
      </c>
      <c r="E66" s="94">
        <v>0.42499999999999999</v>
      </c>
      <c r="F66">
        <v>9000</v>
      </c>
    </row>
    <row r="67" spans="1:6" x14ac:dyDescent="0.25">
      <c r="C67" t="s">
        <v>278</v>
      </c>
      <c r="D67" s="94">
        <v>0.84722222222222221</v>
      </c>
      <c r="E67" s="94">
        <v>0.42499999999999999</v>
      </c>
      <c r="F67">
        <v>9000</v>
      </c>
    </row>
    <row r="68" spans="1:6" x14ac:dyDescent="0.25">
      <c r="B68" t="s">
        <v>273</v>
      </c>
      <c r="C68" t="s">
        <v>274</v>
      </c>
      <c r="D68" s="94">
        <v>0.84722222222222221</v>
      </c>
      <c r="E68" s="94">
        <v>0.42499999999999999</v>
      </c>
      <c r="F68">
        <v>9000</v>
      </c>
    </row>
    <row r="69" spans="1:6" x14ac:dyDescent="0.25">
      <c r="C69" t="s">
        <v>277</v>
      </c>
      <c r="D69" s="94">
        <v>0.84722222222222221</v>
      </c>
      <c r="E69" s="94">
        <v>0.42499999999999999</v>
      </c>
      <c r="F69">
        <v>9000</v>
      </c>
    </row>
    <row r="70" spans="1:6" x14ac:dyDescent="0.25">
      <c r="B70" t="s">
        <v>269</v>
      </c>
      <c r="C70" t="s">
        <v>269</v>
      </c>
      <c r="D70" s="94">
        <v>0.84722222222222221</v>
      </c>
      <c r="E70" s="94">
        <v>0.42499999999999999</v>
      </c>
      <c r="F70">
        <v>9000</v>
      </c>
    </row>
    <row r="71" spans="1:6" x14ac:dyDescent="0.25">
      <c r="B71" t="s">
        <v>271</v>
      </c>
      <c r="C71" t="s">
        <v>271</v>
      </c>
      <c r="D71" s="94">
        <v>0.84722222222222221</v>
      </c>
      <c r="E71" s="94">
        <v>0.42499999999999999</v>
      </c>
      <c r="F71">
        <v>9000</v>
      </c>
    </row>
    <row r="72" spans="1:6" x14ac:dyDescent="0.25">
      <c r="B72" t="s">
        <v>272</v>
      </c>
      <c r="C72" t="s">
        <v>272</v>
      </c>
      <c r="D72" s="94">
        <v>0.84722222222222221</v>
      </c>
      <c r="E72" s="94">
        <v>0.42499999999999999</v>
      </c>
      <c r="F72">
        <v>9000</v>
      </c>
    </row>
    <row r="73" spans="1:6" x14ac:dyDescent="0.25">
      <c r="B73" t="s">
        <v>267</v>
      </c>
      <c r="C73" t="s">
        <v>268</v>
      </c>
      <c r="D73" s="94">
        <v>0.84722222222222221</v>
      </c>
      <c r="E73" s="94">
        <v>0.42499999999999999</v>
      </c>
      <c r="F73">
        <v>9000</v>
      </c>
    </row>
    <row r="74" spans="1:6" x14ac:dyDescent="0.25">
      <c r="B74" t="s">
        <v>134</v>
      </c>
      <c r="C74" t="s">
        <v>134</v>
      </c>
      <c r="D74" s="94">
        <v>0.84722222222222221</v>
      </c>
      <c r="E74" s="94">
        <v>0.42499999999999999</v>
      </c>
      <c r="F74">
        <v>9000</v>
      </c>
    </row>
    <row r="75" spans="1:6" x14ac:dyDescent="0.25">
      <c r="A75" t="s">
        <v>165</v>
      </c>
      <c r="B75" t="s">
        <v>270</v>
      </c>
      <c r="C75" t="s">
        <v>270</v>
      </c>
      <c r="D75" s="94">
        <v>0.84722222222222221</v>
      </c>
      <c r="E75" s="94">
        <v>0.42499999999999999</v>
      </c>
      <c r="F75">
        <v>9000</v>
      </c>
    </row>
    <row r="76" spans="1:6" x14ac:dyDescent="0.25">
      <c r="C76" t="s">
        <v>275</v>
      </c>
      <c r="D76" s="94">
        <v>0.84722222222222221</v>
      </c>
      <c r="E76" s="94">
        <v>0.42499999999999999</v>
      </c>
      <c r="F76">
        <v>9000</v>
      </c>
    </row>
    <row r="77" spans="1:6" x14ac:dyDescent="0.25">
      <c r="C77" t="s">
        <v>278</v>
      </c>
      <c r="D77" s="94">
        <v>0.84722222222222221</v>
      </c>
      <c r="E77" s="94">
        <v>0.42499999999999999</v>
      </c>
      <c r="F77">
        <v>9000</v>
      </c>
    </row>
    <row r="78" spans="1:6" x14ac:dyDescent="0.25">
      <c r="B78" t="s">
        <v>273</v>
      </c>
      <c r="C78" t="s">
        <v>274</v>
      </c>
      <c r="D78" s="94">
        <v>0.84722222222222221</v>
      </c>
      <c r="E78" s="94">
        <v>0.42499999999999999</v>
      </c>
      <c r="F78">
        <v>9000</v>
      </c>
    </row>
    <row r="79" spans="1:6" x14ac:dyDescent="0.25">
      <c r="C79" t="s">
        <v>277</v>
      </c>
      <c r="D79" s="94">
        <v>0.84722222222222221</v>
      </c>
      <c r="E79" s="94">
        <v>0.42499999999999999</v>
      </c>
      <c r="F79">
        <v>9000</v>
      </c>
    </row>
    <row r="80" spans="1:6" x14ac:dyDescent="0.25">
      <c r="B80" t="s">
        <v>269</v>
      </c>
      <c r="C80" t="s">
        <v>269</v>
      </c>
      <c r="D80" s="94">
        <v>0.84722222222222221</v>
      </c>
      <c r="E80" s="94">
        <v>0.42499999999999999</v>
      </c>
      <c r="F80">
        <v>9000</v>
      </c>
    </row>
    <row r="81" spans="1:6" x14ac:dyDescent="0.25">
      <c r="B81" t="s">
        <v>271</v>
      </c>
      <c r="C81" t="s">
        <v>271</v>
      </c>
      <c r="D81" s="94">
        <v>0.84722222222222221</v>
      </c>
      <c r="E81" s="94">
        <v>0.42499999999999999</v>
      </c>
      <c r="F81">
        <v>9000</v>
      </c>
    </row>
    <row r="82" spans="1:6" x14ac:dyDescent="0.25">
      <c r="B82" t="s">
        <v>272</v>
      </c>
      <c r="C82" t="s">
        <v>272</v>
      </c>
      <c r="D82" s="94">
        <v>0.84722222222222221</v>
      </c>
      <c r="E82" s="94">
        <v>0.42499999999999999</v>
      </c>
      <c r="F82">
        <v>9000</v>
      </c>
    </row>
    <row r="83" spans="1:6" x14ac:dyDescent="0.25">
      <c r="B83" t="s">
        <v>267</v>
      </c>
      <c r="C83" t="s">
        <v>268</v>
      </c>
      <c r="D83" s="94">
        <v>0.84722222222222221</v>
      </c>
      <c r="E83" s="94">
        <v>0.42499999999999999</v>
      </c>
      <c r="F83">
        <v>9000</v>
      </c>
    </row>
    <row r="84" spans="1:6" x14ac:dyDescent="0.25">
      <c r="B84" t="s">
        <v>134</v>
      </c>
      <c r="C84" t="s">
        <v>134</v>
      </c>
      <c r="D84" s="94">
        <v>0.84722222222222221</v>
      </c>
      <c r="E84" s="94">
        <v>0.42499999999999999</v>
      </c>
      <c r="F84">
        <v>9000</v>
      </c>
    </row>
    <row r="85" spans="1:6" x14ac:dyDescent="0.25">
      <c r="A85" t="s">
        <v>40</v>
      </c>
      <c r="B85" t="s">
        <v>270</v>
      </c>
      <c r="C85" t="s">
        <v>270</v>
      </c>
      <c r="D85" s="94">
        <v>0.84722222222222221</v>
      </c>
      <c r="E85" s="94">
        <v>0.42499999999999999</v>
      </c>
      <c r="F85">
        <v>9000</v>
      </c>
    </row>
    <row r="86" spans="1:6" x14ac:dyDescent="0.25">
      <c r="C86" t="s">
        <v>275</v>
      </c>
      <c r="D86" s="94">
        <v>0.84722222222222221</v>
      </c>
      <c r="E86" s="94">
        <v>0.42499999999999999</v>
      </c>
      <c r="F86">
        <v>9000</v>
      </c>
    </row>
    <row r="87" spans="1:6" x14ac:dyDescent="0.25">
      <c r="C87" t="s">
        <v>278</v>
      </c>
      <c r="D87" s="94">
        <v>0.84722222222222221</v>
      </c>
      <c r="E87" s="94">
        <v>0.42499999999999999</v>
      </c>
      <c r="F87">
        <v>9000</v>
      </c>
    </row>
    <row r="88" spans="1:6" x14ac:dyDescent="0.25">
      <c r="B88" t="s">
        <v>273</v>
      </c>
      <c r="C88" t="s">
        <v>274</v>
      </c>
      <c r="D88" s="94">
        <v>0.84722222222222221</v>
      </c>
      <c r="E88" s="94">
        <v>0.42499999999999999</v>
      </c>
      <c r="F88">
        <v>9000</v>
      </c>
    </row>
    <row r="89" spans="1:6" x14ac:dyDescent="0.25">
      <c r="C89" t="s">
        <v>277</v>
      </c>
      <c r="D89" s="94">
        <v>0.84722222222222221</v>
      </c>
      <c r="E89" s="94">
        <v>0.42499999999999999</v>
      </c>
      <c r="F89">
        <v>9000</v>
      </c>
    </row>
    <row r="90" spans="1:6" x14ac:dyDescent="0.25">
      <c r="B90" t="s">
        <v>269</v>
      </c>
      <c r="C90" t="s">
        <v>269</v>
      </c>
      <c r="D90" s="94">
        <v>0.84722222222222221</v>
      </c>
      <c r="E90" s="94">
        <v>0.42499999999999999</v>
      </c>
      <c r="F90">
        <v>9000</v>
      </c>
    </row>
    <row r="91" spans="1:6" x14ac:dyDescent="0.25">
      <c r="B91" t="s">
        <v>271</v>
      </c>
      <c r="C91" t="s">
        <v>271</v>
      </c>
      <c r="D91" s="94">
        <v>0.84722222222222221</v>
      </c>
      <c r="E91" s="94">
        <v>0.42499999999999999</v>
      </c>
      <c r="F91">
        <v>9000</v>
      </c>
    </row>
    <row r="92" spans="1:6" x14ac:dyDescent="0.25">
      <c r="B92" t="s">
        <v>272</v>
      </c>
      <c r="C92" t="s">
        <v>272</v>
      </c>
      <c r="D92" s="94">
        <v>0.84722222222222221</v>
      </c>
      <c r="E92" s="94">
        <v>0.42499999999999999</v>
      </c>
      <c r="F92">
        <v>9000</v>
      </c>
    </row>
    <row r="93" spans="1:6" x14ac:dyDescent="0.25">
      <c r="B93" t="s">
        <v>267</v>
      </c>
      <c r="C93" t="s">
        <v>268</v>
      </c>
      <c r="D93" s="94">
        <v>0.84722222222222221</v>
      </c>
      <c r="E93" s="94">
        <v>0.42499999999999999</v>
      </c>
      <c r="F93">
        <v>9000</v>
      </c>
    </row>
    <row r="94" spans="1:6" x14ac:dyDescent="0.25">
      <c r="B94" t="s">
        <v>134</v>
      </c>
      <c r="C94" t="s">
        <v>134</v>
      </c>
      <c r="D94" s="94">
        <v>0.84722222222222221</v>
      </c>
      <c r="E94" s="94">
        <v>0.42499999999999999</v>
      </c>
      <c r="F94">
        <v>9000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AJ93"/>
  <sheetViews>
    <sheetView topLeftCell="M3" zoomScale="66" zoomScaleNormal="66" workbookViewId="0">
      <selection activeCell="Z34" sqref="Z34"/>
    </sheetView>
  </sheetViews>
  <sheetFormatPr defaultRowHeight="15" x14ac:dyDescent="0.25"/>
  <cols>
    <col min="1" max="1" width="39.5703125" customWidth="1"/>
    <col min="2" max="2" width="47.5703125" customWidth="1"/>
    <col min="3" max="3" width="49.28515625" customWidth="1"/>
    <col min="4" max="4" width="30" customWidth="1"/>
    <col min="5" max="5" width="31.28515625" customWidth="1"/>
    <col min="6" max="6" width="25.42578125" customWidth="1"/>
    <col min="7" max="7" width="35.85546875" customWidth="1"/>
    <col min="8" max="8" width="23.140625" customWidth="1"/>
    <col min="9" max="9" width="21.85546875" customWidth="1"/>
    <col min="10" max="10" width="28" customWidth="1"/>
    <col min="11" max="11" width="20.42578125" customWidth="1"/>
    <col min="12" max="12" width="19.140625" customWidth="1"/>
    <col min="13" max="13" width="23.7109375" customWidth="1"/>
    <col min="14" max="14" width="11.42578125" customWidth="1"/>
    <col min="15" max="15" width="14.85546875" style="94" customWidth="1"/>
    <col min="17" max="17" width="5" customWidth="1"/>
    <col min="18" max="18" width="13" customWidth="1"/>
    <col min="19" max="19" width="9.7109375" customWidth="1"/>
    <col min="20" max="20" width="14.140625" customWidth="1"/>
    <col min="21" max="21" width="12" bestFit="1" customWidth="1"/>
    <col min="22" max="22" width="11.5703125" customWidth="1"/>
    <col min="23" max="23" width="10" customWidth="1"/>
    <col min="24" max="24" width="12.28515625" customWidth="1"/>
    <col min="25" max="25" width="18.42578125" customWidth="1"/>
    <col min="26" max="26" width="26.5703125" customWidth="1"/>
    <col min="27" max="27" width="23.7109375" customWidth="1"/>
    <col min="28" max="28" width="22" customWidth="1"/>
    <col min="29" max="29" width="23" customWidth="1"/>
    <col min="30" max="30" width="20.5703125" customWidth="1"/>
    <col min="31" max="31" width="25.85546875" customWidth="1"/>
    <col min="32" max="32" width="14.85546875" customWidth="1"/>
    <col min="33" max="33" width="13.5703125" customWidth="1"/>
    <col min="34" max="34" width="20.5703125" bestFit="1" customWidth="1"/>
    <col min="35" max="35" width="25.85546875" bestFit="1" customWidth="1"/>
    <col min="36" max="36" width="11.7109375" bestFit="1" customWidth="1"/>
  </cols>
  <sheetData>
    <row r="2" spans="1:36" x14ac:dyDescent="0.25"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94"/>
      <c r="Q2" s="43" t="s">
        <v>22</v>
      </c>
      <c r="R2" s="43" t="s">
        <v>29</v>
      </c>
      <c r="S2" s="43" t="s">
        <v>360</v>
      </c>
      <c r="T2" s="43" t="s">
        <v>32</v>
      </c>
      <c r="U2" s="43" t="s">
        <v>361</v>
      </c>
      <c r="V2" s="43" t="s">
        <v>362</v>
      </c>
      <c r="W2" s="43" t="s">
        <v>363</v>
      </c>
      <c r="X2" s="43" t="s">
        <v>364</v>
      </c>
      <c r="Y2" s="43" t="s">
        <v>385</v>
      </c>
      <c r="Z2" s="43" t="s">
        <v>386</v>
      </c>
      <c r="AA2" s="43" t="s">
        <v>383</v>
      </c>
      <c r="AB2" s="43" t="s">
        <v>387</v>
      </c>
      <c r="AC2" s="43" t="s">
        <v>388</v>
      </c>
      <c r="AD2" s="43" t="s">
        <v>389</v>
      </c>
      <c r="AE2" s="43" t="s">
        <v>390</v>
      </c>
      <c r="AF2" s="94" t="s">
        <v>391</v>
      </c>
      <c r="AG2" s="43" t="s">
        <v>395</v>
      </c>
      <c r="AH2" s="43"/>
      <c r="AI2" s="43"/>
      <c r="AJ2" s="43"/>
    </row>
    <row r="3" spans="1:36" x14ac:dyDescent="0.25">
      <c r="A3" s="43" t="s">
        <v>443</v>
      </c>
      <c r="B3" s="2" t="s">
        <v>444</v>
      </c>
      <c r="C3" s="2" t="s">
        <v>445</v>
      </c>
      <c r="D3" s="2" t="s">
        <v>446</v>
      </c>
      <c r="E3" s="2" t="s">
        <v>447</v>
      </c>
      <c r="F3" s="2" t="s">
        <v>453</v>
      </c>
      <c r="G3" s="2" t="s">
        <v>448</v>
      </c>
      <c r="H3" s="2" t="s">
        <v>449</v>
      </c>
      <c r="I3" s="2" t="s">
        <v>450</v>
      </c>
      <c r="J3" s="2" t="s">
        <v>454</v>
      </c>
      <c r="K3" s="2" t="s">
        <v>451</v>
      </c>
      <c r="L3" s="2" t="s">
        <v>452</v>
      </c>
      <c r="M3" s="2" t="s">
        <v>455</v>
      </c>
      <c r="N3" s="93"/>
      <c r="O3" s="93"/>
      <c r="Q3" s="43">
        <v>215</v>
      </c>
      <c r="R3" s="95">
        <v>20</v>
      </c>
      <c r="S3" s="95">
        <v>8</v>
      </c>
      <c r="T3" s="95">
        <v>5</v>
      </c>
      <c r="U3" s="95">
        <v>0.84722222222222221</v>
      </c>
      <c r="V3" s="96">
        <v>0.42499999999999999</v>
      </c>
      <c r="W3" s="96" t="s">
        <v>339</v>
      </c>
      <c r="X3" s="95">
        <v>9000</v>
      </c>
      <c r="Y3" s="95" t="s">
        <v>166</v>
      </c>
      <c r="Z3" s="95">
        <v>9</v>
      </c>
      <c r="AA3" s="95" t="s">
        <v>275</v>
      </c>
      <c r="AB3" s="95" t="s">
        <v>270</v>
      </c>
      <c r="AC3" s="95">
        <v>3</v>
      </c>
      <c r="AD3" s="95" t="s">
        <v>220</v>
      </c>
      <c r="AE3" s="95" t="s">
        <v>221</v>
      </c>
      <c r="AF3" s="96">
        <v>2.8402777777777777</v>
      </c>
      <c r="AG3" s="96">
        <v>1.2722222222222221</v>
      </c>
      <c r="AH3" s="43"/>
      <c r="AI3" s="43"/>
      <c r="AJ3" s="47"/>
    </row>
    <row r="4" spans="1:36" x14ac:dyDescent="0.25">
      <c r="A4" s="43" t="s">
        <v>164</v>
      </c>
      <c r="B4" s="2" t="s">
        <v>267</v>
      </c>
      <c r="C4" s="2" t="s">
        <v>268</v>
      </c>
      <c r="D4" s="93">
        <v>0.84722222222222221</v>
      </c>
      <c r="E4" s="93">
        <v>0.42499999999999999</v>
      </c>
      <c r="F4" s="2">
        <v>1.2722222222222221</v>
      </c>
      <c r="G4" s="2">
        <v>9000</v>
      </c>
      <c r="H4" s="2">
        <v>0</v>
      </c>
      <c r="I4" s="2">
        <v>1234</v>
      </c>
      <c r="J4" s="2">
        <v>1234</v>
      </c>
      <c r="K4" s="93">
        <v>0</v>
      </c>
      <c r="L4" s="93">
        <v>0.50763888888888886</v>
      </c>
      <c r="M4" s="93">
        <v>0.50763888888888886</v>
      </c>
      <c r="N4" s="93"/>
      <c r="O4" s="93"/>
      <c r="Q4" s="43">
        <v>216</v>
      </c>
      <c r="R4" s="95">
        <v>20</v>
      </c>
      <c r="S4" s="95">
        <v>8</v>
      </c>
      <c r="T4" s="95">
        <v>6</v>
      </c>
      <c r="U4" s="95">
        <v>0.84722222222222221</v>
      </c>
      <c r="V4" s="96">
        <v>0.42499999999999999</v>
      </c>
      <c r="W4" s="96" t="s">
        <v>339</v>
      </c>
      <c r="X4" s="95">
        <v>9000</v>
      </c>
      <c r="Y4" s="95" t="s">
        <v>166</v>
      </c>
      <c r="Z4" s="95">
        <v>9</v>
      </c>
      <c r="AA4" s="95" t="s">
        <v>278</v>
      </c>
      <c r="AB4" s="95" t="s">
        <v>270</v>
      </c>
      <c r="AC4" s="95">
        <v>3</v>
      </c>
      <c r="AD4" s="95" t="s">
        <v>220</v>
      </c>
      <c r="AE4" s="95" t="s">
        <v>221</v>
      </c>
      <c r="AF4" s="96">
        <v>2.8402777777777777</v>
      </c>
      <c r="AG4" s="96">
        <v>1.2722222222222221</v>
      </c>
      <c r="AH4" s="43"/>
      <c r="AI4" s="43"/>
      <c r="AJ4" s="47"/>
    </row>
    <row r="5" spans="1:36" x14ac:dyDescent="0.25">
      <c r="A5" s="43" t="s">
        <v>163</v>
      </c>
      <c r="B5" s="2" t="s">
        <v>267</v>
      </c>
      <c r="C5" s="2" t="s">
        <v>268</v>
      </c>
      <c r="D5" s="93">
        <v>0.84722222222222221</v>
      </c>
      <c r="E5" s="93">
        <v>0.42499999999999999</v>
      </c>
      <c r="F5" s="2">
        <v>1.2722222222222221</v>
      </c>
      <c r="G5" s="2">
        <v>9000</v>
      </c>
      <c r="H5" s="2">
        <v>1231</v>
      </c>
      <c r="I5" s="2">
        <v>0</v>
      </c>
      <c r="J5" s="2">
        <v>1231</v>
      </c>
      <c r="K5" s="93">
        <v>0.87638888888888888</v>
      </c>
      <c r="L5" s="93">
        <v>0</v>
      </c>
      <c r="M5" s="93">
        <v>0.87638888888888888</v>
      </c>
      <c r="N5" s="93"/>
      <c r="O5" s="93"/>
      <c r="Q5" s="43">
        <v>217</v>
      </c>
      <c r="R5" s="95">
        <v>20</v>
      </c>
      <c r="S5" s="95">
        <v>8</v>
      </c>
      <c r="T5" s="95">
        <v>17</v>
      </c>
      <c r="U5" s="95">
        <v>0.84722222222222221</v>
      </c>
      <c r="V5" s="96">
        <v>0.42499999999999999</v>
      </c>
      <c r="W5" s="96" t="s">
        <v>339</v>
      </c>
      <c r="X5" s="95">
        <v>9000</v>
      </c>
      <c r="Y5" s="95" t="s">
        <v>166</v>
      </c>
      <c r="Z5" s="95">
        <v>3</v>
      </c>
      <c r="AA5" s="95" t="s">
        <v>270</v>
      </c>
      <c r="AB5" s="95" t="s">
        <v>270</v>
      </c>
      <c r="AC5" s="95">
        <v>3</v>
      </c>
      <c r="AD5" s="95" t="s">
        <v>220</v>
      </c>
      <c r="AE5" s="95" t="s">
        <v>221</v>
      </c>
      <c r="AF5" s="96">
        <v>2.8402777777777777</v>
      </c>
      <c r="AG5" s="96">
        <v>1.2722222222222221</v>
      </c>
      <c r="AH5" s="43"/>
      <c r="AI5" s="43"/>
      <c r="AJ5" s="47"/>
    </row>
    <row r="6" spans="1:36" x14ac:dyDescent="0.25">
      <c r="A6" s="43" t="s">
        <v>163</v>
      </c>
      <c r="B6" s="2" t="s">
        <v>270</v>
      </c>
      <c r="C6" s="2" t="s">
        <v>275</v>
      </c>
      <c r="D6" s="93">
        <v>0.84722222222222221</v>
      </c>
      <c r="E6" s="93">
        <v>0.42499999999999999</v>
      </c>
      <c r="F6" s="2">
        <v>1.2722222222222221</v>
      </c>
      <c r="G6" s="2">
        <v>9000</v>
      </c>
      <c r="H6" s="2">
        <v>0</v>
      </c>
      <c r="I6" s="2">
        <v>4322</v>
      </c>
      <c r="J6" s="2">
        <v>4322</v>
      </c>
      <c r="K6" s="93">
        <v>0</v>
      </c>
      <c r="L6" s="93">
        <v>0.47361111111111109</v>
      </c>
      <c r="M6" s="93">
        <v>0.47361111111111109</v>
      </c>
      <c r="N6" s="93"/>
      <c r="O6" s="93"/>
      <c r="Q6" s="43">
        <v>213</v>
      </c>
      <c r="R6" s="95">
        <v>20</v>
      </c>
      <c r="S6" s="95">
        <v>8</v>
      </c>
      <c r="T6" s="95">
        <v>3</v>
      </c>
      <c r="U6" s="95">
        <v>0.84722222222222221</v>
      </c>
      <c r="V6" s="96">
        <v>0.42499999999999999</v>
      </c>
      <c r="W6" s="96" t="s">
        <v>339</v>
      </c>
      <c r="X6" s="95">
        <v>9000</v>
      </c>
      <c r="Y6" s="95" t="s">
        <v>166</v>
      </c>
      <c r="Z6" s="95">
        <v>6</v>
      </c>
      <c r="AA6" s="95" t="s">
        <v>274</v>
      </c>
      <c r="AB6" s="95" t="s">
        <v>273</v>
      </c>
      <c r="AC6" s="95">
        <v>3</v>
      </c>
      <c r="AD6" s="95" t="s">
        <v>220</v>
      </c>
      <c r="AE6" s="95" t="s">
        <v>221</v>
      </c>
      <c r="AF6" s="96">
        <v>2.8402777777777777</v>
      </c>
      <c r="AG6" s="96">
        <v>1.2722222222222221</v>
      </c>
      <c r="AH6" s="43"/>
      <c r="AI6" s="43"/>
      <c r="AJ6" s="47"/>
    </row>
    <row r="7" spans="1:36" x14ac:dyDescent="0.25">
      <c r="A7" s="43" t="s">
        <v>163</v>
      </c>
      <c r="B7" s="2" t="s">
        <v>270</v>
      </c>
      <c r="C7" s="2" t="s">
        <v>270</v>
      </c>
      <c r="D7" s="93">
        <v>0.84722222222222221</v>
      </c>
      <c r="E7" s="93">
        <v>0.42499999999999999</v>
      </c>
      <c r="F7" s="2">
        <v>1.2722222222222221</v>
      </c>
      <c r="G7" s="2">
        <v>9000</v>
      </c>
      <c r="H7" s="2">
        <v>0</v>
      </c>
      <c r="I7" s="2">
        <v>6675</v>
      </c>
      <c r="J7" s="2">
        <v>6675</v>
      </c>
      <c r="K7" s="93">
        <v>0</v>
      </c>
      <c r="L7" s="93">
        <v>1.0729166666666667</v>
      </c>
      <c r="M7" s="93">
        <v>1.0729166666666667</v>
      </c>
      <c r="N7" s="93"/>
      <c r="O7" s="93"/>
      <c r="Q7" s="43">
        <v>214</v>
      </c>
      <c r="R7" s="95">
        <v>20</v>
      </c>
      <c r="S7" s="95">
        <v>8</v>
      </c>
      <c r="T7" s="95">
        <v>4</v>
      </c>
      <c r="U7" s="95">
        <v>0.84722222222222221</v>
      </c>
      <c r="V7" s="96">
        <v>0.42499999999999999</v>
      </c>
      <c r="W7" s="96" t="s">
        <v>339</v>
      </c>
      <c r="X7" s="95">
        <v>9000</v>
      </c>
      <c r="Y7" s="95" t="s">
        <v>166</v>
      </c>
      <c r="Z7" s="95">
        <v>6</v>
      </c>
      <c r="AA7" s="95" t="s">
        <v>277</v>
      </c>
      <c r="AB7" s="95" t="s">
        <v>273</v>
      </c>
      <c r="AC7" s="95">
        <v>3</v>
      </c>
      <c r="AD7" s="95" t="s">
        <v>220</v>
      </c>
      <c r="AE7" s="95" t="s">
        <v>221</v>
      </c>
      <c r="AF7" s="96">
        <v>2.8402777777777777</v>
      </c>
      <c r="AG7" s="96">
        <v>1.2722222222222221</v>
      </c>
      <c r="AH7" s="43"/>
      <c r="AI7" s="43"/>
      <c r="AJ7" s="47"/>
    </row>
    <row r="8" spans="1:36" x14ac:dyDescent="0.25">
      <c r="A8" s="43" t="s">
        <v>162</v>
      </c>
      <c r="B8" s="2" t="s">
        <v>267</v>
      </c>
      <c r="C8" s="2" t="s">
        <v>268</v>
      </c>
      <c r="D8" s="93">
        <v>0.84722222222222221</v>
      </c>
      <c r="E8" s="93">
        <v>0.42499999999999999</v>
      </c>
      <c r="F8" s="2">
        <v>1.2722222222222221</v>
      </c>
      <c r="G8" s="2">
        <v>9000</v>
      </c>
      <c r="H8" s="2">
        <v>1232</v>
      </c>
      <c r="I8" s="2">
        <v>1321</v>
      </c>
      <c r="J8" s="2">
        <v>2553</v>
      </c>
      <c r="K8" s="93">
        <v>0.93263888888888891</v>
      </c>
      <c r="L8" s="93">
        <v>9.7916666666666666E-2</v>
      </c>
      <c r="M8" s="93">
        <v>1.0305555555555554</v>
      </c>
      <c r="N8" s="93"/>
      <c r="O8" s="93"/>
      <c r="Q8" s="43">
        <v>212</v>
      </c>
      <c r="R8" s="95">
        <v>20</v>
      </c>
      <c r="S8" s="95">
        <v>8</v>
      </c>
      <c r="T8" s="95">
        <v>2</v>
      </c>
      <c r="U8" s="95">
        <v>0.84722222222222221</v>
      </c>
      <c r="V8" s="96">
        <v>0.42499999999999999</v>
      </c>
      <c r="W8" s="96" t="s">
        <v>339</v>
      </c>
      <c r="X8" s="95">
        <v>9000</v>
      </c>
      <c r="Y8" s="95" t="s">
        <v>166</v>
      </c>
      <c r="Z8" s="95">
        <v>2</v>
      </c>
      <c r="AA8" s="95" t="s">
        <v>269</v>
      </c>
      <c r="AB8" s="95" t="s">
        <v>269</v>
      </c>
      <c r="AC8" s="95">
        <v>3</v>
      </c>
      <c r="AD8" s="95" t="s">
        <v>220</v>
      </c>
      <c r="AE8" s="95" t="s">
        <v>221</v>
      </c>
      <c r="AF8" s="96">
        <v>2.8402777777777777</v>
      </c>
      <c r="AG8" s="96">
        <v>1.2722222222222221</v>
      </c>
      <c r="AH8" s="43"/>
      <c r="AI8" s="43"/>
      <c r="AJ8" s="47"/>
    </row>
    <row r="9" spans="1:36" x14ac:dyDescent="0.25">
      <c r="A9" s="43" t="s">
        <v>162</v>
      </c>
      <c r="B9" s="2" t="s">
        <v>270</v>
      </c>
      <c r="C9" s="2" t="s">
        <v>278</v>
      </c>
      <c r="D9" s="93">
        <v>0.84722222222222221</v>
      </c>
      <c r="E9" s="93">
        <v>0.42499999999999999</v>
      </c>
      <c r="F9" s="2">
        <v>1.2722222222222221</v>
      </c>
      <c r="G9" s="2">
        <v>9000</v>
      </c>
      <c r="H9" s="2">
        <v>0</v>
      </c>
      <c r="I9" s="2">
        <v>3574</v>
      </c>
      <c r="J9" s="2">
        <v>3574</v>
      </c>
      <c r="K9" s="93">
        <v>0</v>
      </c>
      <c r="L9" s="93">
        <v>1.0229166666666667</v>
      </c>
      <c r="M9" s="93">
        <v>1.0229166666666667</v>
      </c>
      <c r="N9" s="93"/>
      <c r="O9" s="93"/>
      <c r="Q9" s="43">
        <v>218</v>
      </c>
      <c r="R9" s="95">
        <v>20</v>
      </c>
      <c r="S9" s="95">
        <v>8</v>
      </c>
      <c r="T9" s="95">
        <v>18</v>
      </c>
      <c r="U9" s="95">
        <v>0.84722222222222221</v>
      </c>
      <c r="V9" s="96">
        <v>0.42499999999999999</v>
      </c>
      <c r="W9" s="96" t="s">
        <v>339</v>
      </c>
      <c r="X9" s="95">
        <v>9000</v>
      </c>
      <c r="Y9" s="95" t="s">
        <v>166</v>
      </c>
      <c r="Z9" s="95">
        <v>4</v>
      </c>
      <c r="AA9" s="95" t="s">
        <v>271</v>
      </c>
      <c r="AB9" s="95" t="s">
        <v>271</v>
      </c>
      <c r="AC9" s="95">
        <v>3</v>
      </c>
      <c r="AD9" s="95" t="s">
        <v>220</v>
      </c>
      <c r="AE9" s="95" t="s">
        <v>221</v>
      </c>
      <c r="AF9" s="96">
        <v>2.8402777777777777</v>
      </c>
      <c r="AG9" s="96">
        <v>1.2722222222222221</v>
      </c>
      <c r="AH9" s="43"/>
      <c r="AI9" s="43"/>
      <c r="AJ9" s="47"/>
    </row>
    <row r="10" spans="1:36" x14ac:dyDescent="0.25">
      <c r="A10" s="43" t="s">
        <v>162</v>
      </c>
      <c r="B10" s="2" t="s">
        <v>270</v>
      </c>
      <c r="C10" s="2" t="s">
        <v>270</v>
      </c>
      <c r="D10" s="93">
        <v>0.84722222222222221</v>
      </c>
      <c r="E10" s="93">
        <v>0.42499999999999999</v>
      </c>
      <c r="F10" s="2">
        <v>1.2722222222222221</v>
      </c>
      <c r="G10" s="2">
        <v>9000</v>
      </c>
      <c r="H10" s="2">
        <v>5564</v>
      </c>
      <c r="I10" s="2">
        <v>2000</v>
      </c>
      <c r="J10" s="2">
        <v>7564</v>
      </c>
      <c r="K10" s="93">
        <v>0.65625</v>
      </c>
      <c r="L10" s="93">
        <v>8.5416666666666669E-2</v>
      </c>
      <c r="M10" s="93">
        <v>0.7416666666666667</v>
      </c>
      <c r="N10" s="2"/>
      <c r="O10" s="93"/>
      <c r="Q10" s="43">
        <v>219</v>
      </c>
      <c r="R10" s="95">
        <v>20</v>
      </c>
      <c r="S10" s="95">
        <v>8</v>
      </c>
      <c r="T10" s="95">
        <v>19</v>
      </c>
      <c r="U10" s="95">
        <v>0.84722222222222221</v>
      </c>
      <c r="V10" s="96">
        <v>0.42499999999999999</v>
      </c>
      <c r="W10" s="96" t="s">
        <v>339</v>
      </c>
      <c r="X10" s="95">
        <v>9000</v>
      </c>
      <c r="Y10" s="95" t="s">
        <v>166</v>
      </c>
      <c r="Z10" s="95">
        <v>5</v>
      </c>
      <c r="AA10" s="95" t="s">
        <v>272</v>
      </c>
      <c r="AB10" s="95" t="s">
        <v>272</v>
      </c>
      <c r="AC10" s="95">
        <v>3</v>
      </c>
      <c r="AD10" s="95" t="s">
        <v>220</v>
      </c>
      <c r="AE10" s="95" t="s">
        <v>221</v>
      </c>
      <c r="AF10" s="96">
        <v>2.8402777777777777</v>
      </c>
      <c r="AG10" s="96">
        <v>1.2722222222222221</v>
      </c>
      <c r="AH10" s="43"/>
      <c r="AI10" s="43"/>
      <c r="AJ10" s="47"/>
    </row>
    <row r="11" spans="1:36" x14ac:dyDescent="0.25">
      <c r="A11" s="43"/>
      <c r="B11" s="2"/>
      <c r="C11" s="2"/>
      <c r="D11" s="93"/>
      <c r="E11" s="93"/>
      <c r="F11" s="2"/>
      <c r="G11" s="2"/>
      <c r="H11" s="2">
        <v>3000</v>
      </c>
      <c r="I11" s="2">
        <v>0</v>
      </c>
      <c r="J11" s="2">
        <v>3000</v>
      </c>
      <c r="K11" s="93">
        <v>0</v>
      </c>
      <c r="L11" s="93">
        <v>0</v>
      </c>
      <c r="M11" s="93">
        <v>0</v>
      </c>
      <c r="N11" s="2"/>
      <c r="O11" s="93"/>
      <c r="Q11" s="43">
        <v>211</v>
      </c>
      <c r="R11" s="95">
        <v>20</v>
      </c>
      <c r="S11" s="95">
        <v>8</v>
      </c>
      <c r="T11" s="95">
        <v>1</v>
      </c>
      <c r="U11" s="95">
        <v>0.84722222222222221</v>
      </c>
      <c r="V11" s="96">
        <v>0.42499999999999999</v>
      </c>
      <c r="W11" s="96" t="s">
        <v>339</v>
      </c>
      <c r="X11" s="95">
        <v>9000</v>
      </c>
      <c r="Y11" s="95" t="s">
        <v>166</v>
      </c>
      <c r="Z11" s="95">
        <v>1</v>
      </c>
      <c r="AA11" s="95" t="s">
        <v>268</v>
      </c>
      <c r="AB11" s="95" t="s">
        <v>267</v>
      </c>
      <c r="AC11" s="95">
        <v>3</v>
      </c>
      <c r="AD11" s="95" t="s">
        <v>220</v>
      </c>
      <c r="AE11" s="95" t="s">
        <v>221</v>
      </c>
      <c r="AF11" s="96">
        <v>2.8402777777777777</v>
      </c>
      <c r="AG11" s="96">
        <v>1.2722222222222221</v>
      </c>
      <c r="AH11" s="43"/>
      <c r="AI11" s="43"/>
      <c r="AJ11" s="47"/>
    </row>
    <row r="12" spans="1:36" x14ac:dyDescent="0.25">
      <c r="O12" s="93"/>
      <c r="Q12" s="43">
        <v>220</v>
      </c>
      <c r="R12" s="95">
        <v>20</v>
      </c>
      <c r="S12" s="95">
        <v>8</v>
      </c>
      <c r="T12" s="95">
        <v>20</v>
      </c>
      <c r="U12" s="95">
        <v>0.84722222222222221</v>
      </c>
      <c r="V12" s="96">
        <v>0.42499999999999999</v>
      </c>
      <c r="W12" s="96" t="s">
        <v>339</v>
      </c>
      <c r="X12" s="95">
        <v>9000</v>
      </c>
      <c r="Y12" s="95" t="s">
        <v>166</v>
      </c>
      <c r="Z12" s="95">
        <v>8</v>
      </c>
      <c r="AA12" s="95" t="s">
        <v>134</v>
      </c>
      <c r="AB12" s="95" t="s">
        <v>134</v>
      </c>
      <c r="AC12" s="95">
        <v>3</v>
      </c>
      <c r="AD12" s="95" t="s">
        <v>220</v>
      </c>
      <c r="AE12" s="95" t="s">
        <v>221</v>
      </c>
      <c r="AF12" s="96">
        <v>2.8402777777777777</v>
      </c>
      <c r="AG12" s="96">
        <v>1.2722222222222221</v>
      </c>
      <c r="AH12" s="43"/>
      <c r="AI12" s="43"/>
      <c r="AJ12" s="47"/>
    </row>
    <row r="13" spans="1:36" x14ac:dyDescent="0.25">
      <c r="Q13" s="43">
        <v>195</v>
      </c>
      <c r="R13" s="95">
        <v>20</v>
      </c>
      <c r="S13" s="95">
        <v>10</v>
      </c>
      <c r="T13" s="95">
        <v>5</v>
      </c>
      <c r="U13" s="95">
        <v>0.84722222222222221</v>
      </c>
      <c r="V13" s="96">
        <v>0.42499999999999999</v>
      </c>
      <c r="W13" s="96" t="s">
        <v>339</v>
      </c>
      <c r="X13" s="95">
        <v>9000</v>
      </c>
      <c r="Y13" s="95" t="s">
        <v>168</v>
      </c>
      <c r="Z13" s="95">
        <v>9</v>
      </c>
      <c r="AA13" s="95" t="s">
        <v>275</v>
      </c>
      <c r="AB13" s="95" t="s">
        <v>270</v>
      </c>
      <c r="AC13" s="95">
        <v>3</v>
      </c>
      <c r="AD13" s="95" t="s">
        <v>220</v>
      </c>
      <c r="AE13" s="95" t="s">
        <v>221</v>
      </c>
      <c r="AF13" s="96">
        <v>2.8402777777777777</v>
      </c>
      <c r="AG13" s="96">
        <v>1.2722222222222221</v>
      </c>
      <c r="AH13" s="43"/>
      <c r="AI13" s="43"/>
      <c r="AJ13" s="47"/>
    </row>
    <row r="14" spans="1:36" x14ac:dyDescent="0.25">
      <c r="Q14" s="43">
        <v>196</v>
      </c>
      <c r="R14" s="95">
        <v>20</v>
      </c>
      <c r="S14" s="95">
        <v>10</v>
      </c>
      <c r="T14" s="95">
        <v>6</v>
      </c>
      <c r="U14" s="95">
        <v>0.84722222222222221</v>
      </c>
      <c r="V14" s="96">
        <v>0.42499999999999999</v>
      </c>
      <c r="W14" s="96" t="s">
        <v>339</v>
      </c>
      <c r="X14" s="95">
        <v>9000</v>
      </c>
      <c r="Y14" s="95" t="s">
        <v>168</v>
      </c>
      <c r="Z14" s="95">
        <v>9</v>
      </c>
      <c r="AA14" s="95" t="s">
        <v>278</v>
      </c>
      <c r="AB14" s="95" t="s">
        <v>270</v>
      </c>
      <c r="AC14" s="95">
        <v>3</v>
      </c>
      <c r="AD14" s="95" t="s">
        <v>220</v>
      </c>
      <c r="AE14" s="95" t="s">
        <v>221</v>
      </c>
      <c r="AF14" s="96">
        <v>2.8402777777777777</v>
      </c>
      <c r="AG14" s="96">
        <v>1.2722222222222221</v>
      </c>
      <c r="AH14" s="43"/>
      <c r="AI14" s="43"/>
      <c r="AJ14" s="47"/>
    </row>
    <row r="15" spans="1:36" x14ac:dyDescent="0.25">
      <c r="Q15" s="43">
        <v>197</v>
      </c>
      <c r="R15" s="95">
        <v>20</v>
      </c>
      <c r="S15" s="95">
        <v>10</v>
      </c>
      <c r="T15" s="95">
        <v>17</v>
      </c>
      <c r="U15" s="95">
        <v>0.84722222222222221</v>
      </c>
      <c r="V15" s="96">
        <v>0.42499999999999999</v>
      </c>
      <c r="W15" s="96" t="s">
        <v>339</v>
      </c>
      <c r="X15" s="95">
        <v>9000</v>
      </c>
      <c r="Y15" s="95" t="s">
        <v>168</v>
      </c>
      <c r="Z15" s="95">
        <v>3</v>
      </c>
      <c r="AA15" s="95" t="s">
        <v>270</v>
      </c>
      <c r="AB15" s="95" t="s">
        <v>270</v>
      </c>
      <c r="AC15" s="95">
        <v>3</v>
      </c>
      <c r="AD15" s="95" t="s">
        <v>220</v>
      </c>
      <c r="AE15" s="95" t="s">
        <v>221</v>
      </c>
      <c r="AF15" s="96">
        <v>2.8402777777777777</v>
      </c>
      <c r="AG15" s="96">
        <v>1.2722222222222221</v>
      </c>
      <c r="AH15" s="43"/>
      <c r="AI15" s="43"/>
      <c r="AJ15" s="47"/>
    </row>
    <row r="16" spans="1:36" x14ac:dyDescent="0.25">
      <c r="Q16" s="43">
        <v>193</v>
      </c>
      <c r="R16" s="95">
        <v>20</v>
      </c>
      <c r="S16" s="95">
        <v>10</v>
      </c>
      <c r="T16" s="95">
        <v>3</v>
      </c>
      <c r="U16" s="95">
        <v>0.84722222222222221</v>
      </c>
      <c r="V16" s="96">
        <v>0.42499999999999999</v>
      </c>
      <c r="W16" s="96" t="s">
        <v>339</v>
      </c>
      <c r="X16" s="95">
        <v>9000</v>
      </c>
      <c r="Y16" s="95" t="s">
        <v>168</v>
      </c>
      <c r="Z16" s="95">
        <v>6</v>
      </c>
      <c r="AA16" s="95" t="s">
        <v>274</v>
      </c>
      <c r="AB16" s="95" t="s">
        <v>273</v>
      </c>
      <c r="AC16" s="95">
        <v>3</v>
      </c>
      <c r="AD16" s="95" t="s">
        <v>220</v>
      </c>
      <c r="AE16" s="95" t="s">
        <v>221</v>
      </c>
      <c r="AF16" s="96">
        <v>2.8402777777777777</v>
      </c>
      <c r="AG16" s="96">
        <v>1.2722222222222221</v>
      </c>
      <c r="AH16" s="43"/>
      <c r="AI16" s="43"/>
      <c r="AJ16" s="47"/>
    </row>
    <row r="17" spans="17:36" x14ac:dyDescent="0.25">
      <c r="Q17" s="43">
        <v>194</v>
      </c>
      <c r="R17" s="95">
        <v>20</v>
      </c>
      <c r="S17" s="95">
        <v>10</v>
      </c>
      <c r="T17" s="95">
        <v>4</v>
      </c>
      <c r="U17" s="95">
        <v>0.84722222222222221</v>
      </c>
      <c r="V17" s="96">
        <v>0.42499999999999999</v>
      </c>
      <c r="W17" s="96" t="s">
        <v>339</v>
      </c>
      <c r="X17" s="95">
        <v>9000</v>
      </c>
      <c r="Y17" s="95" t="s">
        <v>168</v>
      </c>
      <c r="Z17" s="95">
        <v>6</v>
      </c>
      <c r="AA17" s="95" t="s">
        <v>277</v>
      </c>
      <c r="AB17" s="95" t="s">
        <v>273</v>
      </c>
      <c r="AC17" s="95">
        <v>3</v>
      </c>
      <c r="AD17" s="95" t="s">
        <v>220</v>
      </c>
      <c r="AE17" s="95" t="s">
        <v>221</v>
      </c>
      <c r="AF17" s="96">
        <v>2.8402777777777777</v>
      </c>
      <c r="AG17" s="96">
        <v>1.2722222222222221</v>
      </c>
      <c r="AH17" s="43"/>
      <c r="AI17" s="43"/>
      <c r="AJ17" s="47"/>
    </row>
    <row r="18" spans="17:36" x14ac:dyDescent="0.25">
      <c r="Q18" s="43">
        <v>192</v>
      </c>
      <c r="R18" s="95">
        <v>20</v>
      </c>
      <c r="S18" s="95">
        <v>10</v>
      </c>
      <c r="T18" s="95">
        <v>2</v>
      </c>
      <c r="U18" s="95">
        <v>0.84722222222222221</v>
      </c>
      <c r="V18" s="96">
        <v>0.42499999999999999</v>
      </c>
      <c r="W18" s="96" t="s">
        <v>339</v>
      </c>
      <c r="X18" s="95">
        <v>9000</v>
      </c>
      <c r="Y18" s="95" t="s">
        <v>168</v>
      </c>
      <c r="Z18" s="95">
        <v>2</v>
      </c>
      <c r="AA18" s="95" t="s">
        <v>269</v>
      </c>
      <c r="AB18" s="95" t="s">
        <v>269</v>
      </c>
      <c r="AC18" s="95">
        <v>3</v>
      </c>
      <c r="AD18" s="95" t="s">
        <v>220</v>
      </c>
      <c r="AE18" s="95" t="s">
        <v>221</v>
      </c>
      <c r="AF18" s="96">
        <v>2.8402777777777777</v>
      </c>
      <c r="AG18" s="96">
        <v>1.2722222222222221</v>
      </c>
      <c r="AH18" s="43"/>
      <c r="AI18" s="43"/>
      <c r="AJ18" s="47"/>
    </row>
    <row r="19" spans="17:36" x14ac:dyDescent="0.25">
      <c r="Q19" s="43">
        <v>198</v>
      </c>
      <c r="R19" s="95">
        <v>20</v>
      </c>
      <c r="S19" s="95">
        <v>10</v>
      </c>
      <c r="T19" s="95">
        <v>18</v>
      </c>
      <c r="U19" s="95">
        <v>0.84722222222222221</v>
      </c>
      <c r="V19" s="96">
        <v>0.42499999999999999</v>
      </c>
      <c r="W19" s="96" t="s">
        <v>339</v>
      </c>
      <c r="X19" s="95">
        <v>9000</v>
      </c>
      <c r="Y19" s="95" t="s">
        <v>168</v>
      </c>
      <c r="Z19" s="95">
        <v>4</v>
      </c>
      <c r="AA19" s="95" t="s">
        <v>271</v>
      </c>
      <c r="AB19" s="95" t="s">
        <v>271</v>
      </c>
      <c r="AC19" s="95">
        <v>3</v>
      </c>
      <c r="AD19" s="95" t="s">
        <v>220</v>
      </c>
      <c r="AE19" s="95" t="s">
        <v>221</v>
      </c>
      <c r="AF19" s="96">
        <v>2.8402777777777777</v>
      </c>
      <c r="AG19" s="96">
        <v>1.2722222222222221</v>
      </c>
      <c r="AH19" s="43"/>
      <c r="AI19" s="43"/>
      <c r="AJ19" s="47"/>
    </row>
    <row r="20" spans="17:36" x14ac:dyDescent="0.25">
      <c r="Q20" s="43">
        <v>199</v>
      </c>
      <c r="R20" s="95">
        <v>20</v>
      </c>
      <c r="S20" s="95">
        <v>10</v>
      </c>
      <c r="T20" s="95">
        <v>19</v>
      </c>
      <c r="U20" s="95">
        <v>0.84722222222222221</v>
      </c>
      <c r="V20" s="96">
        <v>0.42499999999999999</v>
      </c>
      <c r="W20" s="96" t="s">
        <v>339</v>
      </c>
      <c r="X20" s="95">
        <v>9000</v>
      </c>
      <c r="Y20" s="95" t="s">
        <v>168</v>
      </c>
      <c r="Z20" s="95">
        <v>5</v>
      </c>
      <c r="AA20" s="95" t="s">
        <v>272</v>
      </c>
      <c r="AB20" s="95" t="s">
        <v>272</v>
      </c>
      <c r="AC20" s="95">
        <v>3</v>
      </c>
      <c r="AD20" s="95" t="s">
        <v>220</v>
      </c>
      <c r="AE20" s="95" t="s">
        <v>221</v>
      </c>
      <c r="AF20" s="96">
        <v>2.8402777777777777</v>
      </c>
      <c r="AG20" s="96">
        <v>1.2722222222222221</v>
      </c>
      <c r="AH20" s="43"/>
      <c r="AI20" s="43"/>
      <c r="AJ20" s="47"/>
    </row>
    <row r="21" spans="17:36" x14ac:dyDescent="0.25">
      <c r="Q21" s="43">
        <v>191</v>
      </c>
      <c r="R21" s="95">
        <v>20</v>
      </c>
      <c r="S21" s="95">
        <v>10</v>
      </c>
      <c r="T21" s="95">
        <v>1</v>
      </c>
      <c r="U21" s="95">
        <v>0.84722222222222221</v>
      </c>
      <c r="V21" s="96">
        <v>0.42499999999999999</v>
      </c>
      <c r="W21" s="96" t="s">
        <v>339</v>
      </c>
      <c r="X21" s="95">
        <v>9000</v>
      </c>
      <c r="Y21" s="95" t="s">
        <v>168</v>
      </c>
      <c r="Z21" s="95">
        <v>1</v>
      </c>
      <c r="AA21" s="95" t="s">
        <v>268</v>
      </c>
      <c r="AB21" s="95" t="s">
        <v>267</v>
      </c>
      <c r="AC21" s="95">
        <v>3</v>
      </c>
      <c r="AD21" s="95" t="s">
        <v>220</v>
      </c>
      <c r="AE21" s="95" t="s">
        <v>221</v>
      </c>
      <c r="AF21" s="96">
        <v>2.8402777777777777</v>
      </c>
      <c r="AG21" s="96">
        <v>1.2722222222222221</v>
      </c>
      <c r="AH21" s="43"/>
      <c r="AI21" s="43"/>
      <c r="AJ21" s="47"/>
    </row>
    <row r="22" spans="17:36" x14ac:dyDescent="0.25">
      <c r="Q22" s="43">
        <v>200</v>
      </c>
      <c r="R22" s="95">
        <v>20</v>
      </c>
      <c r="S22" s="95">
        <v>10</v>
      </c>
      <c r="T22" s="95">
        <v>20</v>
      </c>
      <c r="U22" s="95">
        <v>0.84722222222222221</v>
      </c>
      <c r="V22" s="96">
        <v>0.42499999999999999</v>
      </c>
      <c r="W22" s="96" t="s">
        <v>339</v>
      </c>
      <c r="X22" s="95">
        <v>9000</v>
      </c>
      <c r="Y22" s="95" t="s">
        <v>168</v>
      </c>
      <c r="Z22" s="95">
        <v>8</v>
      </c>
      <c r="AA22" s="95" t="s">
        <v>134</v>
      </c>
      <c r="AB22" s="95" t="s">
        <v>134</v>
      </c>
      <c r="AC22" s="95">
        <v>3</v>
      </c>
      <c r="AD22" s="95" t="s">
        <v>220</v>
      </c>
      <c r="AE22" s="95" t="s">
        <v>221</v>
      </c>
      <c r="AF22" s="96">
        <v>2.8402777777777777</v>
      </c>
      <c r="AG22" s="96">
        <v>1.2722222222222221</v>
      </c>
      <c r="AH22" s="43"/>
      <c r="AI22" s="43"/>
      <c r="AJ22" s="47"/>
    </row>
    <row r="23" spans="17:36" x14ac:dyDescent="0.25">
      <c r="Q23" s="43">
        <v>185</v>
      </c>
      <c r="R23" s="95">
        <v>20</v>
      </c>
      <c r="S23" s="95">
        <v>28</v>
      </c>
      <c r="T23" s="95">
        <v>5</v>
      </c>
      <c r="U23" s="95">
        <v>0.84722222222222221</v>
      </c>
      <c r="V23" s="96">
        <v>0.42499999999999999</v>
      </c>
      <c r="W23" s="96" t="s">
        <v>339</v>
      </c>
      <c r="X23" s="95">
        <v>9000</v>
      </c>
      <c r="Y23" s="95" t="s">
        <v>169</v>
      </c>
      <c r="Z23" s="95">
        <v>9</v>
      </c>
      <c r="AA23" s="95" t="s">
        <v>275</v>
      </c>
      <c r="AB23" s="95" t="s">
        <v>270</v>
      </c>
      <c r="AC23" s="95">
        <v>3</v>
      </c>
      <c r="AD23" s="95" t="s">
        <v>220</v>
      </c>
      <c r="AE23" s="95" t="s">
        <v>221</v>
      </c>
      <c r="AF23" s="96">
        <v>2.8402777777777777</v>
      </c>
      <c r="AG23" s="96">
        <v>1.2722222222222221</v>
      </c>
      <c r="AH23" s="43"/>
      <c r="AI23" s="43"/>
      <c r="AJ23" s="47"/>
    </row>
    <row r="24" spans="17:36" x14ac:dyDescent="0.25">
      <c r="Q24" s="43">
        <v>186</v>
      </c>
      <c r="R24" s="95">
        <v>20</v>
      </c>
      <c r="S24" s="95">
        <v>28</v>
      </c>
      <c r="T24" s="95">
        <v>6</v>
      </c>
      <c r="U24" s="95">
        <v>0.84722222222222221</v>
      </c>
      <c r="V24" s="96">
        <v>0.42499999999999999</v>
      </c>
      <c r="W24" s="96" t="s">
        <v>339</v>
      </c>
      <c r="X24" s="95">
        <v>9000</v>
      </c>
      <c r="Y24" s="95" t="s">
        <v>169</v>
      </c>
      <c r="Z24" s="95">
        <v>9</v>
      </c>
      <c r="AA24" s="95" t="s">
        <v>278</v>
      </c>
      <c r="AB24" s="95" t="s">
        <v>270</v>
      </c>
      <c r="AC24" s="95">
        <v>3</v>
      </c>
      <c r="AD24" s="95" t="s">
        <v>220</v>
      </c>
      <c r="AE24" s="95" t="s">
        <v>221</v>
      </c>
      <c r="AF24" s="96">
        <v>2.8402777777777777</v>
      </c>
      <c r="AG24" s="96">
        <v>1.2722222222222221</v>
      </c>
      <c r="AH24" s="43"/>
      <c r="AI24" s="43"/>
      <c r="AJ24" s="47"/>
    </row>
    <row r="25" spans="17:36" x14ac:dyDescent="0.25">
      <c r="Q25" s="43">
        <v>187</v>
      </c>
      <c r="R25" s="95">
        <v>20</v>
      </c>
      <c r="S25" s="95">
        <v>28</v>
      </c>
      <c r="T25" s="95">
        <v>17</v>
      </c>
      <c r="U25" s="95">
        <v>0.84722222222222221</v>
      </c>
      <c r="V25" s="96">
        <v>0.42499999999999999</v>
      </c>
      <c r="W25" s="96" t="s">
        <v>339</v>
      </c>
      <c r="X25" s="95">
        <v>9000</v>
      </c>
      <c r="Y25" s="95" t="s">
        <v>169</v>
      </c>
      <c r="Z25" s="95">
        <v>3</v>
      </c>
      <c r="AA25" s="95" t="s">
        <v>270</v>
      </c>
      <c r="AB25" s="95" t="s">
        <v>270</v>
      </c>
      <c r="AC25" s="95">
        <v>3</v>
      </c>
      <c r="AD25" s="95" t="s">
        <v>220</v>
      </c>
      <c r="AE25" s="95" t="s">
        <v>221</v>
      </c>
      <c r="AF25" s="96">
        <v>2.8402777777777777</v>
      </c>
      <c r="AG25" s="96">
        <v>1.2722222222222221</v>
      </c>
      <c r="AH25" s="43"/>
      <c r="AI25" s="43"/>
      <c r="AJ25" s="47"/>
    </row>
    <row r="26" spans="17:36" x14ac:dyDescent="0.25">
      <c r="Q26" s="43">
        <v>183</v>
      </c>
      <c r="R26" s="95">
        <v>20</v>
      </c>
      <c r="S26" s="95">
        <v>28</v>
      </c>
      <c r="T26" s="95">
        <v>3</v>
      </c>
      <c r="U26" s="95">
        <v>0.84722222222222221</v>
      </c>
      <c r="V26" s="96">
        <v>0.42499999999999999</v>
      </c>
      <c r="W26" s="96" t="s">
        <v>339</v>
      </c>
      <c r="X26" s="95">
        <v>9000</v>
      </c>
      <c r="Y26" s="95" t="s">
        <v>169</v>
      </c>
      <c r="Z26" s="95">
        <v>6</v>
      </c>
      <c r="AA26" s="95" t="s">
        <v>274</v>
      </c>
      <c r="AB26" s="95" t="s">
        <v>273</v>
      </c>
      <c r="AC26" s="95">
        <v>3</v>
      </c>
      <c r="AD26" s="95" t="s">
        <v>220</v>
      </c>
      <c r="AE26" s="95" t="s">
        <v>221</v>
      </c>
      <c r="AF26" s="96">
        <v>2.8402777777777777</v>
      </c>
      <c r="AG26" s="96">
        <v>1.2722222222222221</v>
      </c>
      <c r="AH26" s="43"/>
      <c r="AI26" s="43"/>
      <c r="AJ26" s="47"/>
    </row>
    <row r="27" spans="17:36" x14ac:dyDescent="0.25">
      <c r="Q27" s="43">
        <v>184</v>
      </c>
      <c r="R27" s="95">
        <v>20</v>
      </c>
      <c r="S27" s="95">
        <v>28</v>
      </c>
      <c r="T27" s="95">
        <v>4</v>
      </c>
      <c r="U27" s="95">
        <v>0.84722222222222221</v>
      </c>
      <c r="V27" s="96">
        <v>0.42499999999999999</v>
      </c>
      <c r="W27" s="96" t="s">
        <v>339</v>
      </c>
      <c r="X27" s="95">
        <v>9000</v>
      </c>
      <c r="Y27" s="95" t="s">
        <v>169</v>
      </c>
      <c r="Z27" s="95">
        <v>6</v>
      </c>
      <c r="AA27" s="95" t="s">
        <v>277</v>
      </c>
      <c r="AB27" s="95" t="s">
        <v>273</v>
      </c>
      <c r="AC27" s="95">
        <v>3</v>
      </c>
      <c r="AD27" s="95" t="s">
        <v>220</v>
      </c>
      <c r="AE27" s="95" t="s">
        <v>221</v>
      </c>
      <c r="AF27" s="96">
        <v>2.8402777777777777</v>
      </c>
      <c r="AG27" s="96">
        <v>1.2722222222222221</v>
      </c>
      <c r="AH27" s="43"/>
      <c r="AI27" s="43"/>
      <c r="AJ27" s="47"/>
    </row>
    <row r="28" spans="17:36" x14ac:dyDescent="0.25">
      <c r="Q28" s="43">
        <v>182</v>
      </c>
      <c r="R28" s="95">
        <v>20</v>
      </c>
      <c r="S28" s="95">
        <v>28</v>
      </c>
      <c r="T28" s="95">
        <v>2</v>
      </c>
      <c r="U28" s="95">
        <v>0.84722222222222221</v>
      </c>
      <c r="V28" s="96">
        <v>0.42499999999999999</v>
      </c>
      <c r="W28" s="96" t="s">
        <v>339</v>
      </c>
      <c r="X28" s="95">
        <v>9000</v>
      </c>
      <c r="Y28" s="95" t="s">
        <v>169</v>
      </c>
      <c r="Z28" s="95">
        <v>2</v>
      </c>
      <c r="AA28" s="95" t="s">
        <v>269</v>
      </c>
      <c r="AB28" s="95" t="s">
        <v>269</v>
      </c>
      <c r="AC28" s="95">
        <v>3</v>
      </c>
      <c r="AD28" s="95" t="s">
        <v>220</v>
      </c>
      <c r="AE28" s="95" t="s">
        <v>221</v>
      </c>
      <c r="AF28" s="96">
        <v>2.8402777777777777</v>
      </c>
      <c r="AG28" s="96">
        <v>1.2722222222222221</v>
      </c>
      <c r="AH28" s="43"/>
      <c r="AI28" s="43"/>
      <c r="AJ28" s="47"/>
    </row>
    <row r="29" spans="17:36" x14ac:dyDescent="0.25">
      <c r="Q29" s="43">
        <v>188</v>
      </c>
      <c r="R29" s="95">
        <v>20</v>
      </c>
      <c r="S29" s="95">
        <v>28</v>
      </c>
      <c r="T29" s="95">
        <v>18</v>
      </c>
      <c r="U29" s="95">
        <v>0.84722222222222221</v>
      </c>
      <c r="V29" s="96">
        <v>0.42499999999999999</v>
      </c>
      <c r="W29" s="96" t="s">
        <v>339</v>
      </c>
      <c r="X29" s="95">
        <v>9000</v>
      </c>
      <c r="Y29" s="95" t="s">
        <v>169</v>
      </c>
      <c r="Z29" s="95">
        <v>4</v>
      </c>
      <c r="AA29" s="95" t="s">
        <v>271</v>
      </c>
      <c r="AB29" s="95" t="s">
        <v>271</v>
      </c>
      <c r="AC29" s="95">
        <v>3</v>
      </c>
      <c r="AD29" s="95" t="s">
        <v>220</v>
      </c>
      <c r="AE29" s="95" t="s">
        <v>221</v>
      </c>
      <c r="AF29" s="96">
        <v>2.8402777777777777</v>
      </c>
      <c r="AG29" s="96">
        <v>1.2722222222222221</v>
      </c>
      <c r="AH29" s="43"/>
      <c r="AI29" s="43"/>
      <c r="AJ29" s="47"/>
    </row>
    <row r="30" spans="17:36" x14ac:dyDescent="0.25">
      <c r="Q30" s="43">
        <v>189</v>
      </c>
      <c r="R30" s="95">
        <v>20</v>
      </c>
      <c r="S30" s="95">
        <v>28</v>
      </c>
      <c r="T30" s="95">
        <v>19</v>
      </c>
      <c r="U30" s="95">
        <v>0.84722222222222221</v>
      </c>
      <c r="V30" s="96">
        <v>0.42499999999999999</v>
      </c>
      <c r="W30" s="96" t="s">
        <v>339</v>
      </c>
      <c r="X30" s="95">
        <v>9000</v>
      </c>
      <c r="Y30" s="95" t="s">
        <v>169</v>
      </c>
      <c r="Z30" s="95">
        <v>5</v>
      </c>
      <c r="AA30" s="95" t="s">
        <v>272</v>
      </c>
      <c r="AB30" s="95" t="s">
        <v>272</v>
      </c>
      <c r="AC30" s="95">
        <v>3</v>
      </c>
      <c r="AD30" s="95" t="s">
        <v>220</v>
      </c>
      <c r="AE30" s="95" t="s">
        <v>221</v>
      </c>
      <c r="AF30" s="96">
        <v>2.8402777777777777</v>
      </c>
      <c r="AG30" s="96">
        <v>1.2722222222222221</v>
      </c>
      <c r="AH30" s="43"/>
      <c r="AI30" s="43"/>
      <c r="AJ30" s="47"/>
    </row>
    <row r="31" spans="17:36" x14ac:dyDescent="0.25">
      <c r="Q31" s="43">
        <v>181</v>
      </c>
      <c r="R31" s="95">
        <v>20</v>
      </c>
      <c r="S31" s="95">
        <v>28</v>
      </c>
      <c r="T31" s="95">
        <v>1</v>
      </c>
      <c r="U31" s="95">
        <v>0.84722222222222221</v>
      </c>
      <c r="V31" s="96">
        <v>0.42499999999999999</v>
      </c>
      <c r="W31" s="96" t="s">
        <v>339</v>
      </c>
      <c r="X31" s="95">
        <v>9000</v>
      </c>
      <c r="Y31" s="95" t="s">
        <v>169</v>
      </c>
      <c r="Z31" s="95">
        <v>1</v>
      </c>
      <c r="AA31" s="95" t="s">
        <v>268</v>
      </c>
      <c r="AB31" s="95" t="s">
        <v>267</v>
      </c>
      <c r="AC31" s="95">
        <v>3</v>
      </c>
      <c r="AD31" s="95" t="s">
        <v>220</v>
      </c>
      <c r="AE31" s="95" t="s">
        <v>221</v>
      </c>
      <c r="AF31" s="96">
        <v>2.8402777777777777</v>
      </c>
      <c r="AG31" s="96">
        <v>1.2722222222222221</v>
      </c>
      <c r="AH31" s="43"/>
      <c r="AI31" s="43"/>
      <c r="AJ31" s="47"/>
    </row>
    <row r="32" spans="17:36" x14ac:dyDescent="0.25">
      <c r="Q32" s="43">
        <v>190</v>
      </c>
      <c r="R32" s="95">
        <v>20</v>
      </c>
      <c r="S32" s="95">
        <v>28</v>
      </c>
      <c r="T32" s="95">
        <v>20</v>
      </c>
      <c r="U32" s="95">
        <v>0.84722222222222221</v>
      </c>
      <c r="V32" s="96">
        <v>0.42499999999999999</v>
      </c>
      <c r="W32" s="96" t="s">
        <v>339</v>
      </c>
      <c r="X32" s="95">
        <v>9000</v>
      </c>
      <c r="Y32" s="95" t="s">
        <v>169</v>
      </c>
      <c r="Z32" s="95">
        <v>8</v>
      </c>
      <c r="AA32" s="95" t="s">
        <v>134</v>
      </c>
      <c r="AB32" s="95" t="s">
        <v>134</v>
      </c>
      <c r="AC32" s="95">
        <v>3</v>
      </c>
      <c r="AD32" s="95" t="s">
        <v>220</v>
      </c>
      <c r="AE32" s="95" t="s">
        <v>221</v>
      </c>
      <c r="AF32" s="96">
        <v>2.8402777777777777</v>
      </c>
      <c r="AG32" s="96">
        <v>1.2722222222222221</v>
      </c>
      <c r="AH32" s="43"/>
      <c r="AI32" s="43"/>
      <c r="AJ32" s="47"/>
    </row>
    <row r="33" spans="17:36" x14ac:dyDescent="0.25">
      <c r="Q33" s="43">
        <v>205</v>
      </c>
      <c r="R33" s="95">
        <v>20</v>
      </c>
      <c r="S33" s="95">
        <v>9</v>
      </c>
      <c r="T33" s="95">
        <v>5</v>
      </c>
      <c r="U33" s="95">
        <v>0.84722222222222221</v>
      </c>
      <c r="V33" s="96">
        <v>0.42499999999999999</v>
      </c>
      <c r="W33" s="96" t="s">
        <v>339</v>
      </c>
      <c r="X33" s="95">
        <v>9000</v>
      </c>
      <c r="Y33" s="95" t="s">
        <v>167</v>
      </c>
      <c r="Z33" s="95">
        <v>9</v>
      </c>
      <c r="AA33" s="95" t="s">
        <v>275</v>
      </c>
      <c r="AB33" s="95" t="s">
        <v>270</v>
      </c>
      <c r="AC33" s="95">
        <v>3</v>
      </c>
      <c r="AD33" s="95" t="s">
        <v>220</v>
      </c>
      <c r="AE33" s="95" t="s">
        <v>221</v>
      </c>
      <c r="AF33" s="96">
        <v>2.8402777777777777</v>
      </c>
      <c r="AG33" s="96">
        <v>1.2722222222222221</v>
      </c>
      <c r="AH33" s="43"/>
      <c r="AI33" s="43"/>
      <c r="AJ33" s="47"/>
    </row>
    <row r="34" spans="17:36" x14ac:dyDescent="0.25">
      <c r="Q34" s="43">
        <v>206</v>
      </c>
      <c r="R34" s="95">
        <v>20</v>
      </c>
      <c r="S34" s="95">
        <v>9</v>
      </c>
      <c r="T34" s="95">
        <v>6</v>
      </c>
      <c r="U34" s="95">
        <v>0.84722222222222221</v>
      </c>
      <c r="V34" s="96">
        <v>0.42499999999999999</v>
      </c>
      <c r="W34" s="96" t="s">
        <v>339</v>
      </c>
      <c r="X34" s="95">
        <v>9000</v>
      </c>
      <c r="Y34" s="95" t="s">
        <v>167</v>
      </c>
      <c r="Z34" s="95">
        <v>9</v>
      </c>
      <c r="AA34" s="95" t="s">
        <v>278</v>
      </c>
      <c r="AB34" s="95" t="s">
        <v>270</v>
      </c>
      <c r="AC34" s="95">
        <v>3</v>
      </c>
      <c r="AD34" s="95" t="s">
        <v>220</v>
      </c>
      <c r="AE34" s="95" t="s">
        <v>221</v>
      </c>
      <c r="AF34" s="96">
        <v>2.8402777777777777</v>
      </c>
      <c r="AG34" s="96">
        <v>1.2722222222222221</v>
      </c>
      <c r="AH34" s="43"/>
      <c r="AI34" s="43"/>
      <c r="AJ34" s="47"/>
    </row>
    <row r="35" spans="17:36" x14ac:dyDescent="0.25">
      <c r="Q35" s="43">
        <v>207</v>
      </c>
      <c r="R35" s="95">
        <v>20</v>
      </c>
      <c r="S35" s="95">
        <v>9</v>
      </c>
      <c r="T35" s="95">
        <v>17</v>
      </c>
      <c r="U35" s="95">
        <v>0.84722222222222221</v>
      </c>
      <c r="V35" s="96">
        <v>0.42499999999999999</v>
      </c>
      <c r="W35" s="96" t="s">
        <v>339</v>
      </c>
      <c r="X35" s="95">
        <v>9000</v>
      </c>
      <c r="Y35" s="95" t="s">
        <v>167</v>
      </c>
      <c r="Z35" s="95">
        <v>3</v>
      </c>
      <c r="AA35" s="95" t="s">
        <v>270</v>
      </c>
      <c r="AB35" s="95" t="s">
        <v>270</v>
      </c>
      <c r="AC35" s="95">
        <v>3</v>
      </c>
      <c r="AD35" s="95" t="s">
        <v>220</v>
      </c>
      <c r="AE35" s="95" t="s">
        <v>221</v>
      </c>
      <c r="AF35" s="96">
        <v>2.8402777777777777</v>
      </c>
      <c r="AG35" s="96">
        <v>1.2722222222222221</v>
      </c>
      <c r="AH35" s="43"/>
      <c r="AI35" s="43"/>
      <c r="AJ35" s="47"/>
    </row>
    <row r="36" spans="17:36" x14ac:dyDescent="0.25">
      <c r="Q36" s="43">
        <v>203</v>
      </c>
      <c r="R36" s="95">
        <v>20</v>
      </c>
      <c r="S36" s="95">
        <v>9</v>
      </c>
      <c r="T36" s="95">
        <v>3</v>
      </c>
      <c r="U36" s="95">
        <v>0.84722222222222221</v>
      </c>
      <c r="V36" s="96">
        <v>0.42499999999999999</v>
      </c>
      <c r="W36" s="96" t="s">
        <v>339</v>
      </c>
      <c r="X36" s="95">
        <v>9000</v>
      </c>
      <c r="Y36" s="95" t="s">
        <v>167</v>
      </c>
      <c r="Z36" s="95">
        <v>6</v>
      </c>
      <c r="AA36" s="95" t="s">
        <v>274</v>
      </c>
      <c r="AB36" s="95" t="s">
        <v>273</v>
      </c>
      <c r="AC36" s="95">
        <v>3</v>
      </c>
      <c r="AD36" s="95" t="s">
        <v>220</v>
      </c>
      <c r="AE36" s="95" t="s">
        <v>221</v>
      </c>
      <c r="AF36" s="96">
        <v>2.8402777777777777</v>
      </c>
      <c r="AG36" s="96">
        <v>1.2722222222222221</v>
      </c>
      <c r="AH36" s="43"/>
      <c r="AI36" s="43"/>
      <c r="AJ36" s="47"/>
    </row>
    <row r="37" spans="17:36" x14ac:dyDescent="0.25">
      <c r="Q37" s="43">
        <v>204</v>
      </c>
      <c r="R37" s="95">
        <v>20</v>
      </c>
      <c r="S37" s="95">
        <v>9</v>
      </c>
      <c r="T37" s="95">
        <v>4</v>
      </c>
      <c r="U37" s="95">
        <v>0.84722222222222221</v>
      </c>
      <c r="V37" s="96">
        <v>0.42499999999999999</v>
      </c>
      <c r="W37" s="96" t="s">
        <v>339</v>
      </c>
      <c r="X37" s="95">
        <v>9000</v>
      </c>
      <c r="Y37" s="95" t="s">
        <v>167</v>
      </c>
      <c r="Z37" s="95">
        <v>6</v>
      </c>
      <c r="AA37" s="95" t="s">
        <v>277</v>
      </c>
      <c r="AB37" s="95" t="s">
        <v>273</v>
      </c>
      <c r="AC37" s="95">
        <v>3</v>
      </c>
      <c r="AD37" s="95" t="s">
        <v>220</v>
      </c>
      <c r="AE37" s="95" t="s">
        <v>221</v>
      </c>
      <c r="AF37" s="96">
        <v>2.8402777777777777</v>
      </c>
      <c r="AG37" s="96">
        <v>1.2722222222222221</v>
      </c>
      <c r="AH37" s="43"/>
      <c r="AI37" s="43"/>
      <c r="AJ37" s="47"/>
    </row>
    <row r="38" spans="17:36" x14ac:dyDescent="0.25">
      <c r="Q38" s="43">
        <v>202</v>
      </c>
      <c r="R38" s="95">
        <v>20</v>
      </c>
      <c r="S38" s="95">
        <v>9</v>
      </c>
      <c r="T38" s="95">
        <v>2</v>
      </c>
      <c r="U38" s="95">
        <v>0.84722222222222221</v>
      </c>
      <c r="V38" s="96">
        <v>0.42499999999999999</v>
      </c>
      <c r="W38" s="96" t="s">
        <v>339</v>
      </c>
      <c r="X38" s="95">
        <v>9000</v>
      </c>
      <c r="Y38" s="95" t="s">
        <v>167</v>
      </c>
      <c r="Z38" s="95">
        <v>2</v>
      </c>
      <c r="AA38" s="95" t="s">
        <v>269</v>
      </c>
      <c r="AB38" s="95" t="s">
        <v>269</v>
      </c>
      <c r="AC38" s="95">
        <v>3</v>
      </c>
      <c r="AD38" s="95" t="s">
        <v>220</v>
      </c>
      <c r="AE38" s="95" t="s">
        <v>221</v>
      </c>
      <c r="AF38" s="96">
        <v>2.8402777777777777</v>
      </c>
      <c r="AG38" s="96">
        <v>1.2722222222222221</v>
      </c>
      <c r="AH38" s="43"/>
      <c r="AI38" s="43"/>
      <c r="AJ38" s="47"/>
    </row>
    <row r="39" spans="17:36" x14ac:dyDescent="0.25">
      <c r="Q39" s="43">
        <v>208</v>
      </c>
      <c r="R39" s="95">
        <v>20</v>
      </c>
      <c r="S39" s="95">
        <v>9</v>
      </c>
      <c r="T39" s="95">
        <v>18</v>
      </c>
      <c r="U39" s="95">
        <v>0.84722222222222221</v>
      </c>
      <c r="V39" s="96">
        <v>0.42499999999999999</v>
      </c>
      <c r="W39" s="96" t="s">
        <v>339</v>
      </c>
      <c r="X39" s="95">
        <v>9000</v>
      </c>
      <c r="Y39" s="95" t="s">
        <v>167</v>
      </c>
      <c r="Z39" s="95">
        <v>4</v>
      </c>
      <c r="AA39" s="95" t="s">
        <v>271</v>
      </c>
      <c r="AB39" s="95" t="s">
        <v>271</v>
      </c>
      <c r="AC39" s="95">
        <v>3</v>
      </c>
      <c r="AD39" s="95" t="s">
        <v>220</v>
      </c>
      <c r="AE39" s="95" t="s">
        <v>221</v>
      </c>
      <c r="AF39" s="96">
        <v>2.8402777777777777</v>
      </c>
      <c r="AG39" s="96">
        <v>1.2722222222222221</v>
      </c>
      <c r="AH39" s="43"/>
      <c r="AI39" s="43"/>
      <c r="AJ39" s="47"/>
    </row>
    <row r="40" spans="17:36" x14ac:dyDescent="0.25">
      <c r="Q40" s="43">
        <v>209</v>
      </c>
      <c r="R40" s="95">
        <v>20</v>
      </c>
      <c r="S40" s="95">
        <v>9</v>
      </c>
      <c r="T40" s="95">
        <v>19</v>
      </c>
      <c r="U40" s="95">
        <v>0.84722222222222221</v>
      </c>
      <c r="V40" s="96">
        <v>0.42499999999999999</v>
      </c>
      <c r="W40" s="96" t="s">
        <v>339</v>
      </c>
      <c r="X40" s="95">
        <v>9000</v>
      </c>
      <c r="Y40" s="95" t="s">
        <v>167</v>
      </c>
      <c r="Z40" s="95">
        <v>5</v>
      </c>
      <c r="AA40" s="95" t="s">
        <v>272</v>
      </c>
      <c r="AB40" s="95" t="s">
        <v>272</v>
      </c>
      <c r="AC40" s="95">
        <v>3</v>
      </c>
      <c r="AD40" s="95" t="s">
        <v>220</v>
      </c>
      <c r="AE40" s="95" t="s">
        <v>221</v>
      </c>
      <c r="AF40" s="96">
        <v>2.8402777777777777</v>
      </c>
      <c r="AG40" s="96">
        <v>1.2722222222222221</v>
      </c>
      <c r="AH40" s="43"/>
      <c r="AI40" s="43"/>
      <c r="AJ40" s="47"/>
    </row>
    <row r="41" spans="17:36" x14ac:dyDescent="0.25">
      <c r="Q41" s="43">
        <v>201</v>
      </c>
      <c r="R41" s="95">
        <v>20</v>
      </c>
      <c r="S41" s="95">
        <v>9</v>
      </c>
      <c r="T41" s="95">
        <v>1</v>
      </c>
      <c r="U41" s="95">
        <v>0.84722222222222221</v>
      </c>
      <c r="V41" s="96">
        <v>0.42499999999999999</v>
      </c>
      <c r="W41" s="96" t="s">
        <v>339</v>
      </c>
      <c r="X41" s="95">
        <v>9000</v>
      </c>
      <c r="Y41" s="95" t="s">
        <v>167</v>
      </c>
      <c r="Z41" s="95">
        <v>1</v>
      </c>
      <c r="AA41" s="95" t="s">
        <v>268</v>
      </c>
      <c r="AB41" s="95" t="s">
        <v>267</v>
      </c>
      <c r="AC41" s="95">
        <v>3</v>
      </c>
      <c r="AD41" s="95" t="s">
        <v>220</v>
      </c>
      <c r="AE41" s="95" t="s">
        <v>221</v>
      </c>
      <c r="AF41" s="96">
        <v>2.8402777777777777</v>
      </c>
      <c r="AG41" s="96">
        <v>1.2722222222222221</v>
      </c>
      <c r="AH41" s="43"/>
      <c r="AI41" s="43"/>
      <c r="AJ41" s="47"/>
    </row>
    <row r="42" spans="17:36" x14ac:dyDescent="0.25">
      <c r="Q42" s="43">
        <v>210</v>
      </c>
      <c r="R42" s="95">
        <v>20</v>
      </c>
      <c r="S42" s="95">
        <v>9</v>
      </c>
      <c r="T42" s="95">
        <v>20</v>
      </c>
      <c r="U42" s="95">
        <v>0.84722222222222221</v>
      </c>
      <c r="V42" s="96">
        <v>0.42499999999999999</v>
      </c>
      <c r="W42" s="96" t="s">
        <v>339</v>
      </c>
      <c r="X42" s="95">
        <v>9000</v>
      </c>
      <c r="Y42" s="95" t="s">
        <v>167</v>
      </c>
      <c r="Z42" s="95">
        <v>8</v>
      </c>
      <c r="AA42" s="95" t="s">
        <v>134</v>
      </c>
      <c r="AB42" s="95" t="s">
        <v>134</v>
      </c>
      <c r="AC42" s="95">
        <v>3</v>
      </c>
      <c r="AD42" s="95" t="s">
        <v>220</v>
      </c>
      <c r="AE42" s="95" t="s">
        <v>221</v>
      </c>
      <c r="AF42" s="96">
        <v>2.8402777777777777</v>
      </c>
      <c r="AG42" s="96">
        <v>1.2722222222222221</v>
      </c>
      <c r="AH42" s="43"/>
      <c r="AI42" s="43"/>
      <c r="AJ42" s="47"/>
    </row>
    <row r="43" spans="17:36" x14ac:dyDescent="0.25">
      <c r="Q43" s="43">
        <v>245</v>
      </c>
      <c r="R43" s="95">
        <v>20</v>
      </c>
      <c r="S43" s="95">
        <v>4</v>
      </c>
      <c r="T43" s="95">
        <v>5</v>
      </c>
      <c r="U43" s="95">
        <v>0.84722222222222221</v>
      </c>
      <c r="V43" s="96">
        <v>0.42499999999999999</v>
      </c>
      <c r="W43" s="96" t="s">
        <v>339</v>
      </c>
      <c r="X43" s="95">
        <v>9000</v>
      </c>
      <c r="Y43" s="95" t="s">
        <v>163</v>
      </c>
      <c r="Z43" s="95">
        <v>9</v>
      </c>
      <c r="AA43" s="95" t="s">
        <v>275</v>
      </c>
      <c r="AB43" s="95" t="s">
        <v>270</v>
      </c>
      <c r="AC43" s="95">
        <v>3</v>
      </c>
      <c r="AD43" s="95" t="s">
        <v>220</v>
      </c>
      <c r="AE43" s="95" t="s">
        <v>221</v>
      </c>
      <c r="AF43" s="96">
        <v>2.8402777777777777</v>
      </c>
      <c r="AG43" s="96">
        <v>1.2722222222222221</v>
      </c>
      <c r="AH43" s="43"/>
      <c r="AI43" s="43"/>
      <c r="AJ43" s="47"/>
    </row>
    <row r="44" spans="17:36" x14ac:dyDescent="0.25">
      <c r="Q44" s="43">
        <v>246</v>
      </c>
      <c r="R44" s="95">
        <v>20</v>
      </c>
      <c r="S44" s="95">
        <v>4</v>
      </c>
      <c r="T44" s="95">
        <v>6</v>
      </c>
      <c r="U44" s="95">
        <v>0.84722222222222221</v>
      </c>
      <c r="V44" s="96">
        <v>0.42499999999999999</v>
      </c>
      <c r="W44" s="96" t="s">
        <v>339</v>
      </c>
      <c r="X44" s="95">
        <v>9000</v>
      </c>
      <c r="Y44" s="95" t="s">
        <v>163</v>
      </c>
      <c r="Z44" s="95">
        <v>9</v>
      </c>
      <c r="AA44" s="95" t="s">
        <v>278</v>
      </c>
      <c r="AB44" s="95" t="s">
        <v>270</v>
      </c>
      <c r="AC44" s="95">
        <v>3</v>
      </c>
      <c r="AD44" s="95" t="s">
        <v>220</v>
      </c>
      <c r="AE44" s="95" t="s">
        <v>221</v>
      </c>
      <c r="AF44" s="96">
        <v>2.8402777777777777</v>
      </c>
      <c r="AG44" s="96">
        <v>1.2722222222222221</v>
      </c>
      <c r="AH44" s="43"/>
      <c r="AI44" s="43"/>
      <c r="AJ44" s="47"/>
    </row>
    <row r="45" spans="17:36" x14ac:dyDescent="0.25">
      <c r="Q45" s="43">
        <v>247</v>
      </c>
      <c r="R45" s="95">
        <v>20</v>
      </c>
      <c r="S45" s="95">
        <v>4</v>
      </c>
      <c r="T45" s="95">
        <v>17</v>
      </c>
      <c r="U45" s="95">
        <v>0.84722222222222221</v>
      </c>
      <c r="V45" s="96">
        <v>0.42499999999999999</v>
      </c>
      <c r="W45" s="96" t="s">
        <v>339</v>
      </c>
      <c r="X45" s="95">
        <v>9000</v>
      </c>
      <c r="Y45" s="95" t="s">
        <v>163</v>
      </c>
      <c r="Z45" s="95">
        <v>3</v>
      </c>
      <c r="AA45" s="95" t="s">
        <v>270</v>
      </c>
      <c r="AB45" s="95" t="s">
        <v>270</v>
      </c>
      <c r="AC45" s="95">
        <v>3</v>
      </c>
      <c r="AD45" s="95" t="s">
        <v>220</v>
      </c>
      <c r="AE45" s="95" t="s">
        <v>221</v>
      </c>
      <c r="AF45" s="96">
        <v>2.8402777777777777</v>
      </c>
      <c r="AG45" s="96">
        <v>1.2722222222222221</v>
      </c>
      <c r="AH45" s="43"/>
      <c r="AI45" s="43"/>
      <c r="AJ45" s="47"/>
    </row>
    <row r="46" spans="17:36" x14ac:dyDescent="0.25">
      <c r="Q46" s="43">
        <v>243</v>
      </c>
      <c r="R46" s="95">
        <v>20</v>
      </c>
      <c r="S46" s="95">
        <v>4</v>
      </c>
      <c r="T46" s="95">
        <v>3</v>
      </c>
      <c r="U46" s="95">
        <v>0.84722222222222221</v>
      </c>
      <c r="V46" s="96">
        <v>0.42499999999999999</v>
      </c>
      <c r="W46" s="96" t="s">
        <v>339</v>
      </c>
      <c r="X46" s="95">
        <v>9000</v>
      </c>
      <c r="Y46" s="95" t="s">
        <v>163</v>
      </c>
      <c r="Z46" s="95">
        <v>6</v>
      </c>
      <c r="AA46" s="95" t="s">
        <v>274</v>
      </c>
      <c r="AB46" s="95" t="s">
        <v>273</v>
      </c>
      <c r="AC46" s="95">
        <v>3</v>
      </c>
      <c r="AD46" s="95" t="s">
        <v>220</v>
      </c>
      <c r="AE46" s="95" t="s">
        <v>221</v>
      </c>
      <c r="AF46" s="96">
        <v>2.8402777777777777</v>
      </c>
      <c r="AG46" s="96">
        <v>1.2722222222222221</v>
      </c>
      <c r="AH46" s="43"/>
      <c r="AI46" s="43"/>
      <c r="AJ46" s="47"/>
    </row>
    <row r="47" spans="17:36" x14ac:dyDescent="0.25">
      <c r="Q47" s="43">
        <v>244</v>
      </c>
      <c r="R47" s="95">
        <v>20</v>
      </c>
      <c r="S47" s="95">
        <v>4</v>
      </c>
      <c r="T47" s="95">
        <v>4</v>
      </c>
      <c r="U47" s="95">
        <v>0.84722222222222221</v>
      </c>
      <c r="V47" s="96">
        <v>0.42499999999999999</v>
      </c>
      <c r="W47" s="96" t="s">
        <v>339</v>
      </c>
      <c r="X47" s="95">
        <v>9000</v>
      </c>
      <c r="Y47" s="95" t="s">
        <v>163</v>
      </c>
      <c r="Z47" s="95">
        <v>6</v>
      </c>
      <c r="AA47" s="95" t="s">
        <v>277</v>
      </c>
      <c r="AB47" s="95" t="s">
        <v>273</v>
      </c>
      <c r="AC47" s="95">
        <v>3</v>
      </c>
      <c r="AD47" s="95" t="s">
        <v>220</v>
      </c>
      <c r="AE47" s="95" t="s">
        <v>221</v>
      </c>
      <c r="AF47" s="96">
        <v>2.8402777777777777</v>
      </c>
      <c r="AG47" s="96">
        <v>1.2722222222222221</v>
      </c>
      <c r="AH47" s="43"/>
      <c r="AI47" s="43"/>
      <c r="AJ47" s="47"/>
    </row>
    <row r="48" spans="17:36" x14ac:dyDescent="0.25">
      <c r="Q48" s="43">
        <v>242</v>
      </c>
      <c r="R48" s="95">
        <v>20</v>
      </c>
      <c r="S48" s="95">
        <v>4</v>
      </c>
      <c r="T48" s="95">
        <v>2</v>
      </c>
      <c r="U48" s="95">
        <v>0.84722222222222221</v>
      </c>
      <c r="V48" s="96">
        <v>0.42499999999999999</v>
      </c>
      <c r="W48" s="96" t="s">
        <v>339</v>
      </c>
      <c r="X48" s="95">
        <v>9000</v>
      </c>
      <c r="Y48" s="95" t="s">
        <v>163</v>
      </c>
      <c r="Z48" s="95">
        <v>2</v>
      </c>
      <c r="AA48" s="95" t="s">
        <v>269</v>
      </c>
      <c r="AB48" s="95" t="s">
        <v>269</v>
      </c>
      <c r="AC48" s="95">
        <v>3</v>
      </c>
      <c r="AD48" s="95" t="s">
        <v>220</v>
      </c>
      <c r="AE48" s="95" t="s">
        <v>221</v>
      </c>
      <c r="AF48" s="96">
        <v>2.8402777777777777</v>
      </c>
      <c r="AG48" s="96">
        <v>1.2722222222222221</v>
      </c>
      <c r="AH48" s="43"/>
      <c r="AI48" s="43"/>
      <c r="AJ48" s="47"/>
    </row>
    <row r="49" spans="17:36" x14ac:dyDescent="0.25">
      <c r="Q49" s="43">
        <v>248</v>
      </c>
      <c r="R49" s="95">
        <v>20</v>
      </c>
      <c r="S49" s="95">
        <v>4</v>
      </c>
      <c r="T49" s="95">
        <v>18</v>
      </c>
      <c r="U49" s="95">
        <v>0.84722222222222221</v>
      </c>
      <c r="V49" s="96">
        <v>0.42499999999999999</v>
      </c>
      <c r="W49" s="96" t="s">
        <v>339</v>
      </c>
      <c r="X49" s="95">
        <v>9000</v>
      </c>
      <c r="Y49" s="95" t="s">
        <v>163</v>
      </c>
      <c r="Z49" s="95">
        <v>4</v>
      </c>
      <c r="AA49" s="95" t="s">
        <v>271</v>
      </c>
      <c r="AB49" s="95" t="s">
        <v>271</v>
      </c>
      <c r="AC49" s="95">
        <v>3</v>
      </c>
      <c r="AD49" s="95" t="s">
        <v>220</v>
      </c>
      <c r="AE49" s="95" t="s">
        <v>221</v>
      </c>
      <c r="AF49" s="96">
        <v>2.8402777777777777</v>
      </c>
      <c r="AG49" s="96">
        <v>1.2722222222222221</v>
      </c>
      <c r="AH49" s="43"/>
      <c r="AI49" s="43"/>
      <c r="AJ49" s="47"/>
    </row>
    <row r="50" spans="17:36" x14ac:dyDescent="0.25">
      <c r="Q50" s="43">
        <v>249</v>
      </c>
      <c r="R50" s="95">
        <v>20</v>
      </c>
      <c r="S50" s="95">
        <v>4</v>
      </c>
      <c r="T50" s="95">
        <v>19</v>
      </c>
      <c r="U50" s="95">
        <v>0.84722222222222221</v>
      </c>
      <c r="V50" s="96">
        <v>0.42499999999999999</v>
      </c>
      <c r="W50" s="96" t="s">
        <v>339</v>
      </c>
      <c r="X50" s="95">
        <v>9000</v>
      </c>
      <c r="Y50" s="95" t="s">
        <v>163</v>
      </c>
      <c r="Z50" s="95">
        <v>5</v>
      </c>
      <c r="AA50" s="95" t="s">
        <v>272</v>
      </c>
      <c r="AB50" s="95" t="s">
        <v>272</v>
      </c>
      <c r="AC50" s="95">
        <v>3</v>
      </c>
      <c r="AD50" s="95" t="s">
        <v>220</v>
      </c>
      <c r="AE50" s="95" t="s">
        <v>221</v>
      </c>
      <c r="AF50" s="96">
        <v>2.8402777777777777</v>
      </c>
      <c r="AG50" s="96">
        <v>1.2722222222222221</v>
      </c>
      <c r="AH50" s="43"/>
      <c r="AI50" s="43"/>
      <c r="AJ50" s="47"/>
    </row>
    <row r="51" spans="17:36" x14ac:dyDescent="0.25">
      <c r="Q51" s="43">
        <v>241</v>
      </c>
      <c r="R51" s="95">
        <v>20</v>
      </c>
      <c r="S51" s="95">
        <v>4</v>
      </c>
      <c r="T51" s="95">
        <v>1</v>
      </c>
      <c r="U51" s="95">
        <v>0.84722222222222221</v>
      </c>
      <c r="V51" s="96">
        <v>0.42499999999999999</v>
      </c>
      <c r="W51" s="96" t="s">
        <v>339</v>
      </c>
      <c r="X51" s="95">
        <v>9000</v>
      </c>
      <c r="Y51" s="95" t="s">
        <v>163</v>
      </c>
      <c r="Z51" s="95">
        <v>1</v>
      </c>
      <c r="AA51" s="95" t="s">
        <v>268</v>
      </c>
      <c r="AB51" s="95" t="s">
        <v>267</v>
      </c>
      <c r="AC51" s="95">
        <v>3</v>
      </c>
      <c r="AD51" s="95" t="s">
        <v>220</v>
      </c>
      <c r="AE51" s="95" t="s">
        <v>221</v>
      </c>
      <c r="AF51" s="96">
        <v>2.8402777777777777</v>
      </c>
      <c r="AG51" s="96">
        <v>1.2722222222222221</v>
      </c>
      <c r="AH51" s="43"/>
      <c r="AI51" s="43"/>
      <c r="AJ51" s="47"/>
    </row>
    <row r="52" spans="17:36" x14ac:dyDescent="0.25">
      <c r="Q52" s="43">
        <v>250</v>
      </c>
      <c r="R52" s="95">
        <v>20</v>
      </c>
      <c r="S52" s="95">
        <v>4</v>
      </c>
      <c r="T52" s="95">
        <v>20</v>
      </c>
      <c r="U52" s="95">
        <v>0.84722222222222221</v>
      </c>
      <c r="V52" s="96">
        <v>0.42499999999999999</v>
      </c>
      <c r="W52" s="96" t="s">
        <v>339</v>
      </c>
      <c r="X52" s="95">
        <v>9000</v>
      </c>
      <c r="Y52" s="95" t="s">
        <v>163</v>
      </c>
      <c r="Z52" s="95">
        <v>8</v>
      </c>
      <c r="AA52" s="95" t="s">
        <v>134</v>
      </c>
      <c r="AB52" s="95" t="s">
        <v>134</v>
      </c>
      <c r="AC52" s="95">
        <v>3</v>
      </c>
      <c r="AD52" s="95" t="s">
        <v>220</v>
      </c>
      <c r="AE52" s="95" t="s">
        <v>221</v>
      </c>
      <c r="AF52" s="96">
        <v>2.8402777777777777</v>
      </c>
      <c r="AG52" s="96">
        <v>1.2722222222222221</v>
      </c>
      <c r="AH52" s="43"/>
      <c r="AI52" s="43"/>
      <c r="AJ52" s="47"/>
    </row>
    <row r="53" spans="17:36" x14ac:dyDescent="0.25">
      <c r="Q53" s="43">
        <v>255</v>
      </c>
      <c r="R53" s="95">
        <v>20</v>
      </c>
      <c r="S53" s="95">
        <v>3</v>
      </c>
      <c r="T53" s="95">
        <v>5</v>
      </c>
      <c r="U53" s="95">
        <v>0.84722222222222221</v>
      </c>
      <c r="V53" s="96">
        <v>0.42499999999999999</v>
      </c>
      <c r="W53" s="96" t="s">
        <v>339</v>
      </c>
      <c r="X53" s="95">
        <v>9000</v>
      </c>
      <c r="Y53" s="95" t="s">
        <v>162</v>
      </c>
      <c r="Z53" s="95">
        <v>9</v>
      </c>
      <c r="AA53" s="95" t="s">
        <v>275</v>
      </c>
      <c r="AB53" s="95" t="s">
        <v>270</v>
      </c>
      <c r="AC53" s="95">
        <v>3</v>
      </c>
      <c r="AD53" s="95" t="s">
        <v>220</v>
      </c>
      <c r="AE53" s="95" t="s">
        <v>221</v>
      </c>
      <c r="AF53" s="96">
        <v>2.8402777777777777</v>
      </c>
      <c r="AG53" s="96">
        <v>1.2722222222222221</v>
      </c>
      <c r="AH53" s="43"/>
      <c r="AI53" s="43"/>
      <c r="AJ53" s="47"/>
    </row>
    <row r="54" spans="17:36" x14ac:dyDescent="0.25">
      <c r="Q54" s="43">
        <v>256</v>
      </c>
      <c r="R54" s="95">
        <v>20</v>
      </c>
      <c r="S54" s="95">
        <v>3</v>
      </c>
      <c r="T54" s="95">
        <v>6</v>
      </c>
      <c r="U54" s="95">
        <v>0.84722222222222221</v>
      </c>
      <c r="V54" s="96">
        <v>0.42499999999999999</v>
      </c>
      <c r="W54" s="96" t="s">
        <v>339</v>
      </c>
      <c r="X54" s="95">
        <v>9000</v>
      </c>
      <c r="Y54" s="95" t="s">
        <v>162</v>
      </c>
      <c r="Z54" s="95">
        <v>9</v>
      </c>
      <c r="AA54" s="95" t="s">
        <v>278</v>
      </c>
      <c r="AB54" s="95" t="s">
        <v>270</v>
      </c>
      <c r="AC54" s="95">
        <v>3</v>
      </c>
      <c r="AD54" s="95" t="s">
        <v>220</v>
      </c>
      <c r="AE54" s="95" t="s">
        <v>221</v>
      </c>
      <c r="AF54" s="96">
        <v>2.8402777777777777</v>
      </c>
      <c r="AG54" s="96">
        <v>1.2722222222222221</v>
      </c>
      <c r="AH54" s="43"/>
      <c r="AI54" s="43"/>
      <c r="AJ54" s="47"/>
    </row>
    <row r="55" spans="17:36" x14ac:dyDescent="0.25">
      <c r="Q55" s="43">
        <v>257</v>
      </c>
      <c r="R55" s="95">
        <v>20</v>
      </c>
      <c r="S55" s="95">
        <v>3</v>
      </c>
      <c r="T55" s="95">
        <v>17</v>
      </c>
      <c r="U55" s="95">
        <v>0.84722222222222221</v>
      </c>
      <c r="V55" s="96">
        <v>0.42499999999999999</v>
      </c>
      <c r="W55" s="96" t="s">
        <v>339</v>
      </c>
      <c r="X55" s="95">
        <v>9000</v>
      </c>
      <c r="Y55" s="95" t="s">
        <v>162</v>
      </c>
      <c r="Z55" s="95">
        <v>3</v>
      </c>
      <c r="AA55" s="95" t="s">
        <v>270</v>
      </c>
      <c r="AB55" s="95" t="s">
        <v>270</v>
      </c>
      <c r="AC55" s="95">
        <v>3</v>
      </c>
      <c r="AD55" s="95" t="s">
        <v>220</v>
      </c>
      <c r="AE55" s="95" t="s">
        <v>221</v>
      </c>
      <c r="AF55" s="96">
        <v>2.8402777777777777</v>
      </c>
      <c r="AG55" s="96">
        <v>1.2722222222222221</v>
      </c>
      <c r="AH55" s="43"/>
      <c r="AI55" s="43"/>
      <c r="AJ55" s="47"/>
    </row>
    <row r="56" spans="17:36" x14ac:dyDescent="0.25">
      <c r="Q56" s="43">
        <v>253</v>
      </c>
      <c r="R56" s="95">
        <v>20</v>
      </c>
      <c r="S56" s="95">
        <v>3</v>
      </c>
      <c r="T56" s="95">
        <v>3</v>
      </c>
      <c r="U56" s="95">
        <v>0.84722222222222221</v>
      </c>
      <c r="V56" s="96">
        <v>0.42499999999999999</v>
      </c>
      <c r="W56" s="96" t="s">
        <v>339</v>
      </c>
      <c r="X56" s="95">
        <v>9000</v>
      </c>
      <c r="Y56" s="95" t="s">
        <v>162</v>
      </c>
      <c r="Z56" s="95">
        <v>6</v>
      </c>
      <c r="AA56" s="95" t="s">
        <v>274</v>
      </c>
      <c r="AB56" s="95" t="s">
        <v>273</v>
      </c>
      <c r="AC56" s="95">
        <v>3</v>
      </c>
      <c r="AD56" s="95" t="s">
        <v>220</v>
      </c>
      <c r="AE56" s="95" t="s">
        <v>221</v>
      </c>
      <c r="AF56" s="96">
        <v>2.8402777777777777</v>
      </c>
      <c r="AG56" s="96">
        <v>1.2722222222222221</v>
      </c>
      <c r="AH56" s="43"/>
      <c r="AI56" s="43"/>
      <c r="AJ56" s="47"/>
    </row>
    <row r="57" spans="17:36" x14ac:dyDescent="0.25">
      <c r="Q57" s="43">
        <v>254</v>
      </c>
      <c r="R57" s="95">
        <v>20</v>
      </c>
      <c r="S57" s="95">
        <v>3</v>
      </c>
      <c r="T57" s="95">
        <v>4</v>
      </c>
      <c r="U57" s="95">
        <v>0.84722222222222221</v>
      </c>
      <c r="V57" s="96">
        <v>0.42499999999999999</v>
      </c>
      <c r="W57" s="96" t="s">
        <v>339</v>
      </c>
      <c r="X57" s="95">
        <v>9000</v>
      </c>
      <c r="Y57" s="95" t="s">
        <v>162</v>
      </c>
      <c r="Z57" s="95">
        <v>6</v>
      </c>
      <c r="AA57" s="95" t="s">
        <v>277</v>
      </c>
      <c r="AB57" s="95" t="s">
        <v>273</v>
      </c>
      <c r="AC57" s="95">
        <v>3</v>
      </c>
      <c r="AD57" s="95" t="s">
        <v>220</v>
      </c>
      <c r="AE57" s="95" t="s">
        <v>221</v>
      </c>
      <c r="AF57" s="96">
        <v>2.8402777777777777</v>
      </c>
      <c r="AG57" s="96">
        <v>1.2722222222222221</v>
      </c>
      <c r="AH57" s="43"/>
      <c r="AI57" s="43"/>
      <c r="AJ57" s="47"/>
    </row>
    <row r="58" spans="17:36" x14ac:dyDescent="0.25">
      <c r="Q58" s="43">
        <v>252</v>
      </c>
      <c r="R58" s="95">
        <v>20</v>
      </c>
      <c r="S58" s="95">
        <v>3</v>
      </c>
      <c r="T58" s="95">
        <v>2</v>
      </c>
      <c r="U58" s="95">
        <v>0.84722222222222221</v>
      </c>
      <c r="V58" s="96">
        <v>0.42499999999999999</v>
      </c>
      <c r="W58" s="96" t="s">
        <v>339</v>
      </c>
      <c r="X58" s="95">
        <v>9000</v>
      </c>
      <c r="Y58" s="95" t="s">
        <v>162</v>
      </c>
      <c r="Z58" s="95">
        <v>2</v>
      </c>
      <c r="AA58" s="95" t="s">
        <v>269</v>
      </c>
      <c r="AB58" s="95" t="s">
        <v>269</v>
      </c>
      <c r="AC58" s="95">
        <v>3</v>
      </c>
      <c r="AD58" s="95" t="s">
        <v>220</v>
      </c>
      <c r="AE58" s="95" t="s">
        <v>221</v>
      </c>
      <c r="AF58" s="96">
        <v>2.8402777777777777</v>
      </c>
      <c r="AG58" s="96">
        <v>1.2722222222222221</v>
      </c>
      <c r="AH58" s="43"/>
      <c r="AI58" s="43"/>
      <c r="AJ58" s="47"/>
    </row>
    <row r="59" spans="17:36" x14ac:dyDescent="0.25">
      <c r="Q59" s="43">
        <v>258</v>
      </c>
      <c r="R59" s="95">
        <v>20</v>
      </c>
      <c r="S59" s="95">
        <v>3</v>
      </c>
      <c r="T59" s="95">
        <v>18</v>
      </c>
      <c r="U59" s="95">
        <v>0.84722222222222221</v>
      </c>
      <c r="V59" s="96">
        <v>0.42499999999999999</v>
      </c>
      <c r="W59" s="96" t="s">
        <v>339</v>
      </c>
      <c r="X59" s="95">
        <v>9000</v>
      </c>
      <c r="Y59" s="95" t="s">
        <v>162</v>
      </c>
      <c r="Z59" s="95">
        <v>4</v>
      </c>
      <c r="AA59" s="95" t="s">
        <v>271</v>
      </c>
      <c r="AB59" s="95" t="s">
        <v>271</v>
      </c>
      <c r="AC59" s="95">
        <v>3</v>
      </c>
      <c r="AD59" s="95" t="s">
        <v>220</v>
      </c>
      <c r="AE59" s="95" t="s">
        <v>221</v>
      </c>
      <c r="AF59" s="96">
        <v>2.8402777777777777</v>
      </c>
      <c r="AG59" s="96">
        <v>1.2722222222222221</v>
      </c>
      <c r="AH59" s="43"/>
      <c r="AI59" s="43"/>
      <c r="AJ59" s="47"/>
    </row>
    <row r="60" spans="17:36" x14ac:dyDescent="0.25">
      <c r="Q60" s="43">
        <v>259</v>
      </c>
      <c r="R60" s="95">
        <v>20</v>
      </c>
      <c r="S60" s="95">
        <v>3</v>
      </c>
      <c r="T60" s="95">
        <v>19</v>
      </c>
      <c r="U60" s="95">
        <v>0.84722222222222221</v>
      </c>
      <c r="V60" s="96">
        <v>0.42499999999999999</v>
      </c>
      <c r="W60" s="96" t="s">
        <v>339</v>
      </c>
      <c r="X60" s="95">
        <v>9000</v>
      </c>
      <c r="Y60" s="95" t="s">
        <v>162</v>
      </c>
      <c r="Z60" s="95">
        <v>5</v>
      </c>
      <c r="AA60" s="95" t="s">
        <v>272</v>
      </c>
      <c r="AB60" s="95" t="s">
        <v>272</v>
      </c>
      <c r="AC60" s="95">
        <v>3</v>
      </c>
      <c r="AD60" s="95" t="s">
        <v>220</v>
      </c>
      <c r="AE60" s="95" t="s">
        <v>221</v>
      </c>
      <c r="AF60" s="96">
        <v>2.8402777777777777</v>
      </c>
      <c r="AG60" s="96">
        <v>1.2722222222222221</v>
      </c>
      <c r="AH60" s="43"/>
      <c r="AI60" s="43"/>
      <c r="AJ60" s="47"/>
    </row>
    <row r="61" spans="17:36" x14ac:dyDescent="0.25">
      <c r="Q61" s="43">
        <v>251</v>
      </c>
      <c r="R61" s="95">
        <v>20</v>
      </c>
      <c r="S61" s="95">
        <v>3</v>
      </c>
      <c r="T61" s="95">
        <v>1</v>
      </c>
      <c r="U61" s="95">
        <v>0.84722222222222221</v>
      </c>
      <c r="V61" s="96">
        <v>0.42499999999999999</v>
      </c>
      <c r="W61" s="96" t="s">
        <v>339</v>
      </c>
      <c r="X61" s="95">
        <v>9000</v>
      </c>
      <c r="Y61" s="95" t="s">
        <v>162</v>
      </c>
      <c r="Z61" s="95">
        <v>1</v>
      </c>
      <c r="AA61" s="95" t="s">
        <v>268</v>
      </c>
      <c r="AB61" s="95" t="s">
        <v>267</v>
      </c>
      <c r="AC61" s="95">
        <v>3</v>
      </c>
      <c r="AD61" s="95" t="s">
        <v>220</v>
      </c>
      <c r="AE61" s="95" t="s">
        <v>221</v>
      </c>
      <c r="AF61" s="96">
        <v>2.8402777777777777</v>
      </c>
      <c r="AG61" s="96">
        <v>1.2722222222222221</v>
      </c>
      <c r="AH61" s="43"/>
      <c r="AI61" s="43"/>
      <c r="AJ61" s="47"/>
    </row>
    <row r="62" spans="17:36" x14ac:dyDescent="0.25">
      <c r="Q62" s="43">
        <v>260</v>
      </c>
      <c r="R62" s="95">
        <v>20</v>
      </c>
      <c r="S62" s="95">
        <v>3</v>
      </c>
      <c r="T62" s="95">
        <v>20</v>
      </c>
      <c r="U62" s="95">
        <v>0.84722222222222221</v>
      </c>
      <c r="V62" s="96">
        <v>0.42499999999999999</v>
      </c>
      <c r="W62" s="96" t="s">
        <v>339</v>
      </c>
      <c r="X62" s="95">
        <v>9000</v>
      </c>
      <c r="Y62" s="95" t="s">
        <v>162</v>
      </c>
      <c r="Z62" s="95">
        <v>8</v>
      </c>
      <c r="AA62" s="95" t="s">
        <v>134</v>
      </c>
      <c r="AB62" s="95" t="s">
        <v>134</v>
      </c>
      <c r="AC62" s="95">
        <v>3</v>
      </c>
      <c r="AD62" s="95" t="s">
        <v>220</v>
      </c>
      <c r="AE62" s="95" t="s">
        <v>221</v>
      </c>
      <c r="AF62" s="96">
        <v>2.8402777777777777</v>
      </c>
      <c r="AG62" s="96">
        <v>1.2722222222222221</v>
      </c>
      <c r="AH62" s="43"/>
      <c r="AI62" s="43"/>
      <c r="AJ62" s="47"/>
    </row>
    <row r="63" spans="17:36" x14ac:dyDescent="0.25">
      <c r="Q63" s="43">
        <v>235</v>
      </c>
      <c r="R63" s="95">
        <v>20</v>
      </c>
      <c r="S63" s="95">
        <v>5</v>
      </c>
      <c r="T63" s="95">
        <v>5</v>
      </c>
      <c r="U63" s="95">
        <v>0.84722222222222221</v>
      </c>
      <c r="V63" s="96">
        <v>0.42499999999999999</v>
      </c>
      <c r="W63" s="96" t="s">
        <v>339</v>
      </c>
      <c r="X63" s="95">
        <v>9000</v>
      </c>
      <c r="Y63" s="95" t="s">
        <v>164</v>
      </c>
      <c r="Z63" s="95">
        <v>9</v>
      </c>
      <c r="AA63" s="95" t="s">
        <v>275</v>
      </c>
      <c r="AB63" s="95" t="s">
        <v>270</v>
      </c>
      <c r="AC63" s="95">
        <v>3</v>
      </c>
      <c r="AD63" s="95" t="s">
        <v>220</v>
      </c>
      <c r="AE63" s="95" t="s">
        <v>221</v>
      </c>
      <c r="AF63" s="96">
        <v>2.8402777777777777</v>
      </c>
      <c r="AG63" s="96">
        <v>1.2722222222222221</v>
      </c>
      <c r="AH63" s="43"/>
      <c r="AI63" s="43"/>
      <c r="AJ63" s="47"/>
    </row>
    <row r="64" spans="17:36" x14ac:dyDescent="0.25">
      <c r="Q64" s="43">
        <v>236</v>
      </c>
      <c r="R64" s="95">
        <v>20</v>
      </c>
      <c r="S64" s="95">
        <v>5</v>
      </c>
      <c r="T64" s="95">
        <v>6</v>
      </c>
      <c r="U64" s="95">
        <v>0.84722222222222221</v>
      </c>
      <c r="V64" s="96">
        <v>0.42499999999999999</v>
      </c>
      <c r="W64" s="96" t="s">
        <v>339</v>
      </c>
      <c r="X64" s="95">
        <v>9000</v>
      </c>
      <c r="Y64" s="95" t="s">
        <v>164</v>
      </c>
      <c r="Z64" s="95">
        <v>9</v>
      </c>
      <c r="AA64" s="95" t="s">
        <v>278</v>
      </c>
      <c r="AB64" s="95" t="s">
        <v>270</v>
      </c>
      <c r="AC64" s="95">
        <v>3</v>
      </c>
      <c r="AD64" s="95" t="s">
        <v>220</v>
      </c>
      <c r="AE64" s="95" t="s">
        <v>221</v>
      </c>
      <c r="AF64" s="96">
        <v>2.8402777777777777</v>
      </c>
      <c r="AG64" s="96">
        <v>1.2722222222222221</v>
      </c>
      <c r="AH64" s="43"/>
      <c r="AI64" s="43"/>
      <c r="AJ64" s="47"/>
    </row>
    <row r="65" spans="17:36" x14ac:dyDescent="0.25">
      <c r="Q65" s="43">
        <v>237</v>
      </c>
      <c r="R65" s="95">
        <v>20</v>
      </c>
      <c r="S65" s="95">
        <v>5</v>
      </c>
      <c r="T65" s="95">
        <v>17</v>
      </c>
      <c r="U65" s="95">
        <v>0.84722222222222221</v>
      </c>
      <c r="V65" s="96">
        <v>0.42499999999999999</v>
      </c>
      <c r="W65" s="96" t="s">
        <v>339</v>
      </c>
      <c r="X65" s="95">
        <v>9000</v>
      </c>
      <c r="Y65" s="95" t="s">
        <v>164</v>
      </c>
      <c r="Z65" s="95">
        <v>3</v>
      </c>
      <c r="AA65" s="95" t="s">
        <v>270</v>
      </c>
      <c r="AB65" s="95" t="s">
        <v>270</v>
      </c>
      <c r="AC65" s="95">
        <v>3</v>
      </c>
      <c r="AD65" s="95" t="s">
        <v>220</v>
      </c>
      <c r="AE65" s="95" t="s">
        <v>221</v>
      </c>
      <c r="AF65" s="96">
        <v>2.8402777777777777</v>
      </c>
      <c r="AG65" s="96">
        <v>1.2722222222222221</v>
      </c>
      <c r="AH65" s="43"/>
      <c r="AI65" s="43"/>
      <c r="AJ65" s="47"/>
    </row>
    <row r="66" spans="17:36" x14ac:dyDescent="0.25">
      <c r="Q66" s="43">
        <v>233</v>
      </c>
      <c r="R66" s="95">
        <v>20</v>
      </c>
      <c r="S66" s="95">
        <v>5</v>
      </c>
      <c r="T66" s="95">
        <v>3</v>
      </c>
      <c r="U66" s="95">
        <v>0.84722222222222221</v>
      </c>
      <c r="V66" s="96">
        <v>0.42499999999999999</v>
      </c>
      <c r="W66" s="96" t="s">
        <v>339</v>
      </c>
      <c r="X66" s="95">
        <v>9000</v>
      </c>
      <c r="Y66" s="95" t="s">
        <v>164</v>
      </c>
      <c r="Z66" s="95">
        <v>6</v>
      </c>
      <c r="AA66" s="95" t="s">
        <v>274</v>
      </c>
      <c r="AB66" s="95" t="s">
        <v>273</v>
      </c>
      <c r="AC66" s="95">
        <v>3</v>
      </c>
      <c r="AD66" s="95" t="s">
        <v>220</v>
      </c>
      <c r="AE66" s="95" t="s">
        <v>221</v>
      </c>
      <c r="AF66" s="96">
        <v>2.8402777777777777</v>
      </c>
      <c r="AG66" s="96">
        <v>1.2722222222222221</v>
      </c>
      <c r="AH66" s="43"/>
      <c r="AI66" s="43"/>
      <c r="AJ66" s="47"/>
    </row>
    <row r="67" spans="17:36" x14ac:dyDescent="0.25">
      <c r="Q67" s="43">
        <v>234</v>
      </c>
      <c r="R67" s="95">
        <v>20</v>
      </c>
      <c r="S67" s="95">
        <v>5</v>
      </c>
      <c r="T67" s="95">
        <v>4</v>
      </c>
      <c r="U67" s="95">
        <v>0.84722222222222221</v>
      </c>
      <c r="V67" s="96">
        <v>0.42499999999999999</v>
      </c>
      <c r="W67" s="96" t="s">
        <v>339</v>
      </c>
      <c r="X67" s="95">
        <v>9000</v>
      </c>
      <c r="Y67" s="95" t="s">
        <v>164</v>
      </c>
      <c r="Z67" s="95">
        <v>6</v>
      </c>
      <c r="AA67" s="95" t="s">
        <v>277</v>
      </c>
      <c r="AB67" s="95" t="s">
        <v>273</v>
      </c>
      <c r="AC67" s="95">
        <v>3</v>
      </c>
      <c r="AD67" s="95" t="s">
        <v>220</v>
      </c>
      <c r="AE67" s="95" t="s">
        <v>221</v>
      </c>
      <c r="AF67" s="96">
        <v>2.8402777777777777</v>
      </c>
      <c r="AG67" s="96">
        <v>1.2722222222222221</v>
      </c>
      <c r="AH67" s="43"/>
      <c r="AI67" s="43"/>
      <c r="AJ67" s="47"/>
    </row>
    <row r="68" spans="17:36" x14ac:dyDescent="0.25">
      <c r="Q68" s="43">
        <v>232</v>
      </c>
      <c r="R68" s="95">
        <v>20</v>
      </c>
      <c r="S68" s="95">
        <v>5</v>
      </c>
      <c r="T68" s="95">
        <v>2</v>
      </c>
      <c r="U68" s="95">
        <v>0.84722222222222221</v>
      </c>
      <c r="V68" s="96">
        <v>0.42499999999999999</v>
      </c>
      <c r="W68" s="96" t="s">
        <v>339</v>
      </c>
      <c r="X68" s="95">
        <v>9000</v>
      </c>
      <c r="Y68" s="95" t="s">
        <v>164</v>
      </c>
      <c r="Z68" s="95">
        <v>2</v>
      </c>
      <c r="AA68" s="95" t="s">
        <v>269</v>
      </c>
      <c r="AB68" s="95" t="s">
        <v>269</v>
      </c>
      <c r="AC68" s="95">
        <v>3</v>
      </c>
      <c r="AD68" s="95" t="s">
        <v>220</v>
      </c>
      <c r="AE68" s="95" t="s">
        <v>221</v>
      </c>
      <c r="AF68" s="96">
        <v>2.8402777777777777</v>
      </c>
      <c r="AG68" s="96">
        <v>1.2722222222222221</v>
      </c>
      <c r="AH68" s="43"/>
      <c r="AI68" s="43"/>
      <c r="AJ68" s="47"/>
    </row>
    <row r="69" spans="17:36" x14ac:dyDescent="0.25">
      <c r="Q69" s="43">
        <v>238</v>
      </c>
      <c r="R69" s="95">
        <v>20</v>
      </c>
      <c r="S69" s="95">
        <v>5</v>
      </c>
      <c r="T69" s="95">
        <v>18</v>
      </c>
      <c r="U69" s="95">
        <v>0.84722222222222221</v>
      </c>
      <c r="V69" s="96">
        <v>0.42499999999999999</v>
      </c>
      <c r="W69" s="96" t="s">
        <v>339</v>
      </c>
      <c r="X69" s="95">
        <v>9000</v>
      </c>
      <c r="Y69" s="95" t="s">
        <v>164</v>
      </c>
      <c r="Z69" s="95">
        <v>4</v>
      </c>
      <c r="AA69" s="95" t="s">
        <v>271</v>
      </c>
      <c r="AB69" s="95" t="s">
        <v>271</v>
      </c>
      <c r="AC69" s="95">
        <v>3</v>
      </c>
      <c r="AD69" s="95" t="s">
        <v>220</v>
      </c>
      <c r="AE69" s="95" t="s">
        <v>221</v>
      </c>
      <c r="AF69" s="96">
        <v>2.8402777777777777</v>
      </c>
      <c r="AG69" s="96">
        <v>1.2722222222222221</v>
      </c>
      <c r="AH69" s="43"/>
      <c r="AI69" s="43"/>
      <c r="AJ69" s="47"/>
    </row>
    <row r="70" spans="17:36" x14ac:dyDescent="0.25">
      <c r="Q70" s="43">
        <v>239</v>
      </c>
      <c r="R70" s="95">
        <v>20</v>
      </c>
      <c r="S70" s="95">
        <v>5</v>
      </c>
      <c r="T70" s="95">
        <v>19</v>
      </c>
      <c r="U70" s="95">
        <v>0.84722222222222221</v>
      </c>
      <c r="V70" s="96">
        <v>0.42499999999999999</v>
      </c>
      <c r="W70" s="96" t="s">
        <v>339</v>
      </c>
      <c r="X70" s="95">
        <v>9000</v>
      </c>
      <c r="Y70" s="95" t="s">
        <v>164</v>
      </c>
      <c r="Z70" s="95">
        <v>5</v>
      </c>
      <c r="AA70" s="95" t="s">
        <v>272</v>
      </c>
      <c r="AB70" s="95" t="s">
        <v>272</v>
      </c>
      <c r="AC70" s="95">
        <v>3</v>
      </c>
      <c r="AD70" s="95" t="s">
        <v>220</v>
      </c>
      <c r="AE70" s="95" t="s">
        <v>221</v>
      </c>
      <c r="AF70" s="96">
        <v>2.8402777777777777</v>
      </c>
      <c r="AG70" s="96">
        <v>1.2722222222222221</v>
      </c>
      <c r="AH70" s="43"/>
      <c r="AI70" s="43"/>
      <c r="AJ70" s="47"/>
    </row>
    <row r="71" spans="17:36" x14ac:dyDescent="0.25">
      <c r="Q71" s="43">
        <v>231</v>
      </c>
      <c r="R71" s="95">
        <v>20</v>
      </c>
      <c r="S71" s="95">
        <v>5</v>
      </c>
      <c r="T71" s="95">
        <v>1</v>
      </c>
      <c r="U71" s="95">
        <v>0.84722222222222221</v>
      </c>
      <c r="V71" s="96">
        <v>0.42499999999999999</v>
      </c>
      <c r="W71" s="96" t="s">
        <v>339</v>
      </c>
      <c r="X71" s="95">
        <v>9000</v>
      </c>
      <c r="Y71" s="95" t="s">
        <v>164</v>
      </c>
      <c r="Z71" s="95">
        <v>1</v>
      </c>
      <c r="AA71" s="95" t="s">
        <v>268</v>
      </c>
      <c r="AB71" s="95" t="s">
        <v>267</v>
      </c>
      <c r="AC71" s="95">
        <v>3</v>
      </c>
      <c r="AD71" s="95" t="s">
        <v>220</v>
      </c>
      <c r="AE71" s="95" t="s">
        <v>221</v>
      </c>
      <c r="AF71" s="96">
        <v>2.8402777777777777</v>
      </c>
      <c r="AG71" s="96">
        <v>1.2722222222222221</v>
      </c>
      <c r="AH71" s="43"/>
      <c r="AI71" s="43"/>
      <c r="AJ71" s="47"/>
    </row>
    <row r="72" spans="17:36" x14ac:dyDescent="0.25">
      <c r="Q72" s="43">
        <v>240</v>
      </c>
      <c r="R72" s="95">
        <v>20</v>
      </c>
      <c r="S72" s="95">
        <v>5</v>
      </c>
      <c r="T72" s="95">
        <v>20</v>
      </c>
      <c r="U72" s="95">
        <v>0.84722222222222221</v>
      </c>
      <c r="V72" s="96">
        <v>0.42499999999999999</v>
      </c>
      <c r="W72" s="96" t="s">
        <v>339</v>
      </c>
      <c r="X72" s="95">
        <v>9000</v>
      </c>
      <c r="Y72" s="95" t="s">
        <v>164</v>
      </c>
      <c r="Z72" s="95">
        <v>8</v>
      </c>
      <c r="AA72" s="95" t="s">
        <v>134</v>
      </c>
      <c r="AB72" s="95" t="s">
        <v>134</v>
      </c>
      <c r="AC72" s="95">
        <v>3</v>
      </c>
      <c r="AD72" s="95" t="s">
        <v>220</v>
      </c>
      <c r="AE72" s="95" t="s">
        <v>221</v>
      </c>
      <c r="AF72" s="96">
        <v>2.8402777777777777</v>
      </c>
      <c r="AG72" s="96">
        <v>1.2722222222222221</v>
      </c>
      <c r="AH72" s="43"/>
      <c r="AI72" s="43"/>
      <c r="AJ72" s="47"/>
    </row>
    <row r="73" spans="17:36" x14ac:dyDescent="0.25">
      <c r="Q73" s="43">
        <v>225</v>
      </c>
      <c r="R73" s="95">
        <v>20</v>
      </c>
      <c r="S73" s="95">
        <v>6</v>
      </c>
      <c r="T73" s="95">
        <v>5</v>
      </c>
      <c r="U73" s="95">
        <v>0.84722222222222221</v>
      </c>
      <c r="V73" s="96">
        <v>0.42499999999999999</v>
      </c>
      <c r="W73" s="96" t="s">
        <v>339</v>
      </c>
      <c r="X73" s="95">
        <v>9000</v>
      </c>
      <c r="Y73" s="95" t="s">
        <v>165</v>
      </c>
      <c r="Z73" s="95">
        <v>9</v>
      </c>
      <c r="AA73" s="95" t="s">
        <v>275</v>
      </c>
      <c r="AB73" s="95" t="s">
        <v>270</v>
      </c>
      <c r="AC73" s="95">
        <v>3</v>
      </c>
      <c r="AD73" s="95" t="s">
        <v>220</v>
      </c>
      <c r="AE73" s="95" t="s">
        <v>221</v>
      </c>
      <c r="AF73" s="96">
        <v>2.8402777777777777</v>
      </c>
      <c r="AG73" s="96">
        <v>1.2722222222222221</v>
      </c>
      <c r="AH73" s="43"/>
      <c r="AI73" s="43"/>
      <c r="AJ73" s="47"/>
    </row>
    <row r="74" spans="17:36" x14ac:dyDescent="0.25">
      <c r="Q74" s="43">
        <v>226</v>
      </c>
      <c r="R74" s="95">
        <v>20</v>
      </c>
      <c r="S74" s="95">
        <v>6</v>
      </c>
      <c r="T74" s="95">
        <v>6</v>
      </c>
      <c r="U74" s="95">
        <v>0.84722222222222221</v>
      </c>
      <c r="V74" s="96">
        <v>0.42499999999999999</v>
      </c>
      <c r="W74" s="96" t="s">
        <v>339</v>
      </c>
      <c r="X74" s="95">
        <v>9000</v>
      </c>
      <c r="Y74" s="95" t="s">
        <v>165</v>
      </c>
      <c r="Z74" s="95">
        <v>9</v>
      </c>
      <c r="AA74" s="95" t="s">
        <v>278</v>
      </c>
      <c r="AB74" s="95" t="s">
        <v>270</v>
      </c>
      <c r="AC74" s="95">
        <v>3</v>
      </c>
      <c r="AD74" s="95" t="s">
        <v>220</v>
      </c>
      <c r="AE74" s="95" t="s">
        <v>221</v>
      </c>
      <c r="AF74" s="96">
        <v>2.8402777777777777</v>
      </c>
      <c r="AG74" s="96">
        <v>1.2722222222222221</v>
      </c>
      <c r="AH74" s="43"/>
      <c r="AI74" s="43"/>
      <c r="AJ74" s="47"/>
    </row>
    <row r="75" spans="17:36" x14ac:dyDescent="0.25">
      <c r="Q75" s="43">
        <v>227</v>
      </c>
      <c r="R75" s="95">
        <v>20</v>
      </c>
      <c r="S75" s="95">
        <v>6</v>
      </c>
      <c r="T75" s="95">
        <v>17</v>
      </c>
      <c r="U75" s="95">
        <v>0.84722222222222221</v>
      </c>
      <c r="V75" s="96">
        <v>0.42499999999999999</v>
      </c>
      <c r="W75" s="96" t="s">
        <v>339</v>
      </c>
      <c r="X75" s="95">
        <v>9000</v>
      </c>
      <c r="Y75" s="95" t="s">
        <v>165</v>
      </c>
      <c r="Z75" s="95">
        <v>3</v>
      </c>
      <c r="AA75" s="95" t="s">
        <v>270</v>
      </c>
      <c r="AB75" s="95" t="s">
        <v>270</v>
      </c>
      <c r="AC75" s="95">
        <v>3</v>
      </c>
      <c r="AD75" s="95" t="s">
        <v>220</v>
      </c>
      <c r="AE75" s="95" t="s">
        <v>221</v>
      </c>
      <c r="AF75" s="96">
        <v>2.8402777777777777</v>
      </c>
      <c r="AG75" s="96">
        <v>1.2722222222222221</v>
      </c>
      <c r="AH75" s="43"/>
      <c r="AI75" s="43"/>
      <c r="AJ75" s="47"/>
    </row>
    <row r="76" spans="17:36" x14ac:dyDescent="0.25">
      <c r="Q76" s="43">
        <v>223</v>
      </c>
      <c r="R76" s="95">
        <v>20</v>
      </c>
      <c r="S76" s="95">
        <v>6</v>
      </c>
      <c r="T76" s="95">
        <v>3</v>
      </c>
      <c r="U76" s="95">
        <v>0.84722222222222221</v>
      </c>
      <c r="V76" s="96">
        <v>0.42499999999999999</v>
      </c>
      <c r="W76" s="96" t="s">
        <v>339</v>
      </c>
      <c r="X76" s="95">
        <v>9000</v>
      </c>
      <c r="Y76" s="95" t="s">
        <v>165</v>
      </c>
      <c r="Z76" s="95">
        <v>6</v>
      </c>
      <c r="AA76" s="95" t="s">
        <v>274</v>
      </c>
      <c r="AB76" s="95" t="s">
        <v>273</v>
      </c>
      <c r="AC76" s="95">
        <v>3</v>
      </c>
      <c r="AD76" s="95" t="s">
        <v>220</v>
      </c>
      <c r="AE76" s="95" t="s">
        <v>221</v>
      </c>
      <c r="AF76" s="96">
        <v>2.8402777777777777</v>
      </c>
      <c r="AG76" s="96">
        <v>1.2722222222222221</v>
      </c>
      <c r="AH76" s="43"/>
      <c r="AI76" s="43"/>
      <c r="AJ76" s="47"/>
    </row>
    <row r="77" spans="17:36" x14ac:dyDescent="0.25">
      <c r="Q77" s="43">
        <v>224</v>
      </c>
      <c r="R77" s="95">
        <v>20</v>
      </c>
      <c r="S77" s="95">
        <v>6</v>
      </c>
      <c r="T77" s="95">
        <v>4</v>
      </c>
      <c r="U77" s="95">
        <v>0.84722222222222221</v>
      </c>
      <c r="V77" s="96">
        <v>0.42499999999999999</v>
      </c>
      <c r="W77" s="96" t="s">
        <v>339</v>
      </c>
      <c r="X77" s="95">
        <v>9000</v>
      </c>
      <c r="Y77" s="95" t="s">
        <v>165</v>
      </c>
      <c r="Z77" s="95">
        <v>6</v>
      </c>
      <c r="AA77" s="95" t="s">
        <v>277</v>
      </c>
      <c r="AB77" s="95" t="s">
        <v>273</v>
      </c>
      <c r="AC77" s="95">
        <v>3</v>
      </c>
      <c r="AD77" s="95" t="s">
        <v>220</v>
      </c>
      <c r="AE77" s="95" t="s">
        <v>221</v>
      </c>
      <c r="AF77" s="96">
        <v>2.8402777777777777</v>
      </c>
      <c r="AG77" s="96">
        <v>1.2722222222222221</v>
      </c>
      <c r="AH77" s="43"/>
      <c r="AI77" s="43"/>
      <c r="AJ77" s="47"/>
    </row>
    <row r="78" spans="17:36" x14ac:dyDescent="0.25">
      <c r="Q78" s="43">
        <v>222</v>
      </c>
      <c r="R78" s="95">
        <v>20</v>
      </c>
      <c r="S78" s="95">
        <v>6</v>
      </c>
      <c r="T78" s="95">
        <v>2</v>
      </c>
      <c r="U78" s="95">
        <v>0.84722222222222221</v>
      </c>
      <c r="V78" s="96">
        <v>0.42499999999999999</v>
      </c>
      <c r="W78" s="96" t="s">
        <v>339</v>
      </c>
      <c r="X78" s="95">
        <v>9000</v>
      </c>
      <c r="Y78" s="95" t="s">
        <v>165</v>
      </c>
      <c r="Z78" s="95">
        <v>2</v>
      </c>
      <c r="AA78" s="95" t="s">
        <v>269</v>
      </c>
      <c r="AB78" s="95" t="s">
        <v>269</v>
      </c>
      <c r="AC78" s="95">
        <v>3</v>
      </c>
      <c r="AD78" s="95" t="s">
        <v>220</v>
      </c>
      <c r="AE78" s="95" t="s">
        <v>221</v>
      </c>
      <c r="AF78" s="96">
        <v>2.8402777777777777</v>
      </c>
      <c r="AG78" s="96">
        <v>1.2722222222222221</v>
      </c>
      <c r="AH78" s="43"/>
      <c r="AI78" s="43"/>
      <c r="AJ78" s="47"/>
    </row>
    <row r="79" spans="17:36" x14ac:dyDescent="0.25">
      <c r="Q79" s="43">
        <v>228</v>
      </c>
      <c r="R79" s="95">
        <v>20</v>
      </c>
      <c r="S79" s="95">
        <v>6</v>
      </c>
      <c r="T79" s="95">
        <v>18</v>
      </c>
      <c r="U79" s="95">
        <v>0.84722222222222221</v>
      </c>
      <c r="V79" s="96">
        <v>0.42499999999999999</v>
      </c>
      <c r="W79" s="96" t="s">
        <v>339</v>
      </c>
      <c r="X79" s="95">
        <v>9000</v>
      </c>
      <c r="Y79" s="95" t="s">
        <v>165</v>
      </c>
      <c r="Z79" s="95">
        <v>4</v>
      </c>
      <c r="AA79" s="95" t="s">
        <v>271</v>
      </c>
      <c r="AB79" s="95" t="s">
        <v>271</v>
      </c>
      <c r="AC79" s="95">
        <v>3</v>
      </c>
      <c r="AD79" s="95" t="s">
        <v>220</v>
      </c>
      <c r="AE79" s="95" t="s">
        <v>221</v>
      </c>
      <c r="AF79" s="96">
        <v>2.8402777777777777</v>
      </c>
      <c r="AG79" s="96">
        <v>1.2722222222222221</v>
      </c>
      <c r="AH79" s="43"/>
      <c r="AI79" s="43"/>
      <c r="AJ79" s="47"/>
    </row>
    <row r="80" spans="17:36" x14ac:dyDescent="0.25">
      <c r="Q80" s="43">
        <v>229</v>
      </c>
      <c r="R80" s="95">
        <v>20</v>
      </c>
      <c r="S80" s="95">
        <v>6</v>
      </c>
      <c r="T80" s="95">
        <v>19</v>
      </c>
      <c r="U80" s="95">
        <v>0.84722222222222221</v>
      </c>
      <c r="V80" s="96">
        <v>0.42499999999999999</v>
      </c>
      <c r="W80" s="96" t="s">
        <v>339</v>
      </c>
      <c r="X80" s="95">
        <v>9000</v>
      </c>
      <c r="Y80" s="95" t="s">
        <v>165</v>
      </c>
      <c r="Z80" s="95">
        <v>5</v>
      </c>
      <c r="AA80" s="95" t="s">
        <v>272</v>
      </c>
      <c r="AB80" s="95" t="s">
        <v>272</v>
      </c>
      <c r="AC80" s="95">
        <v>3</v>
      </c>
      <c r="AD80" s="95" t="s">
        <v>220</v>
      </c>
      <c r="AE80" s="95" t="s">
        <v>221</v>
      </c>
      <c r="AF80" s="96">
        <v>2.8402777777777777</v>
      </c>
      <c r="AG80" s="96">
        <v>1.2722222222222221</v>
      </c>
      <c r="AH80" s="43"/>
      <c r="AI80" s="43"/>
      <c r="AJ80" s="47"/>
    </row>
    <row r="81" spans="17:36" x14ac:dyDescent="0.25">
      <c r="Q81" s="43">
        <v>221</v>
      </c>
      <c r="R81" s="95">
        <v>20</v>
      </c>
      <c r="S81" s="95">
        <v>6</v>
      </c>
      <c r="T81" s="95">
        <v>1</v>
      </c>
      <c r="U81" s="95">
        <v>0.84722222222222221</v>
      </c>
      <c r="V81" s="96">
        <v>0.42499999999999999</v>
      </c>
      <c r="W81" s="96" t="s">
        <v>339</v>
      </c>
      <c r="X81" s="95">
        <v>9000</v>
      </c>
      <c r="Y81" s="95" t="s">
        <v>165</v>
      </c>
      <c r="Z81" s="95">
        <v>1</v>
      </c>
      <c r="AA81" s="95" t="s">
        <v>268</v>
      </c>
      <c r="AB81" s="95" t="s">
        <v>267</v>
      </c>
      <c r="AC81" s="95">
        <v>3</v>
      </c>
      <c r="AD81" s="95" t="s">
        <v>220</v>
      </c>
      <c r="AE81" s="95" t="s">
        <v>221</v>
      </c>
      <c r="AF81" s="96">
        <v>2.8402777777777777</v>
      </c>
      <c r="AG81" s="96">
        <v>1.2722222222222221</v>
      </c>
      <c r="AH81" s="43"/>
      <c r="AI81" s="43"/>
      <c r="AJ81" s="47"/>
    </row>
    <row r="82" spans="17:36" x14ac:dyDescent="0.25">
      <c r="Q82" s="43">
        <v>230</v>
      </c>
      <c r="R82" s="95">
        <v>20</v>
      </c>
      <c r="S82" s="95">
        <v>6</v>
      </c>
      <c r="T82" s="95">
        <v>20</v>
      </c>
      <c r="U82" s="95">
        <v>0.84722222222222221</v>
      </c>
      <c r="V82" s="96">
        <v>0.42499999999999999</v>
      </c>
      <c r="W82" s="96" t="s">
        <v>339</v>
      </c>
      <c r="X82" s="95">
        <v>9000</v>
      </c>
      <c r="Y82" s="95" t="s">
        <v>165</v>
      </c>
      <c r="Z82" s="95">
        <v>8</v>
      </c>
      <c r="AA82" s="95" t="s">
        <v>134</v>
      </c>
      <c r="AB82" s="95" t="s">
        <v>134</v>
      </c>
      <c r="AC82" s="95">
        <v>3</v>
      </c>
      <c r="AD82" s="95" t="s">
        <v>220</v>
      </c>
      <c r="AE82" s="95" t="s">
        <v>221</v>
      </c>
      <c r="AF82" s="96">
        <v>2.8402777777777777</v>
      </c>
      <c r="AG82" s="96">
        <v>1.2722222222222221</v>
      </c>
      <c r="AH82" s="43"/>
      <c r="AI82" s="43"/>
      <c r="AJ82" s="47"/>
    </row>
    <row r="83" spans="17:36" x14ac:dyDescent="0.25">
      <c r="Q83" s="43">
        <v>265</v>
      </c>
      <c r="R83" s="95">
        <v>20</v>
      </c>
      <c r="S83" s="95">
        <v>54</v>
      </c>
      <c r="T83" s="95">
        <v>5</v>
      </c>
      <c r="U83" s="95">
        <v>0.84722222222222221</v>
      </c>
      <c r="V83" s="96">
        <v>0.42499999999999999</v>
      </c>
      <c r="W83" s="96" t="s">
        <v>339</v>
      </c>
      <c r="X83" s="95">
        <v>9000</v>
      </c>
      <c r="Y83" s="95" t="s">
        <v>40</v>
      </c>
      <c r="Z83" s="95">
        <v>9</v>
      </c>
      <c r="AA83" s="95" t="s">
        <v>275</v>
      </c>
      <c r="AB83" s="95" t="s">
        <v>270</v>
      </c>
      <c r="AC83" s="95">
        <v>3</v>
      </c>
      <c r="AD83" s="95" t="s">
        <v>220</v>
      </c>
      <c r="AE83" s="95" t="s">
        <v>221</v>
      </c>
      <c r="AF83" s="96">
        <v>2.8402777777777777</v>
      </c>
      <c r="AG83" s="96">
        <v>1.2722222222222221</v>
      </c>
      <c r="AH83" s="43"/>
      <c r="AI83" s="43"/>
      <c r="AJ83" s="47"/>
    </row>
    <row r="84" spans="17:36" x14ac:dyDescent="0.25">
      <c r="Q84" s="43">
        <v>266</v>
      </c>
      <c r="R84" s="95">
        <v>20</v>
      </c>
      <c r="S84" s="95">
        <v>54</v>
      </c>
      <c r="T84" s="95">
        <v>6</v>
      </c>
      <c r="U84" s="95">
        <v>0.84722222222222221</v>
      </c>
      <c r="V84" s="96">
        <v>0.42499999999999999</v>
      </c>
      <c r="W84" s="96" t="s">
        <v>339</v>
      </c>
      <c r="X84" s="95">
        <v>9000</v>
      </c>
      <c r="Y84" s="95" t="s">
        <v>40</v>
      </c>
      <c r="Z84" s="95">
        <v>9</v>
      </c>
      <c r="AA84" s="95" t="s">
        <v>278</v>
      </c>
      <c r="AB84" s="95" t="s">
        <v>270</v>
      </c>
      <c r="AC84" s="95">
        <v>3</v>
      </c>
      <c r="AD84" s="95" t="s">
        <v>220</v>
      </c>
      <c r="AE84" s="95" t="s">
        <v>221</v>
      </c>
      <c r="AF84" s="96">
        <v>2.8402777777777777</v>
      </c>
      <c r="AG84" s="96">
        <v>1.2722222222222221</v>
      </c>
      <c r="AH84" s="43"/>
      <c r="AI84" s="43"/>
      <c r="AJ84" s="47"/>
    </row>
    <row r="85" spans="17:36" x14ac:dyDescent="0.25">
      <c r="Q85" s="43">
        <v>267</v>
      </c>
      <c r="R85" s="95">
        <v>20</v>
      </c>
      <c r="S85" s="95">
        <v>54</v>
      </c>
      <c r="T85" s="95">
        <v>17</v>
      </c>
      <c r="U85" s="95">
        <v>0.84722222222222221</v>
      </c>
      <c r="V85" s="96">
        <v>0.42499999999999999</v>
      </c>
      <c r="W85" s="96" t="s">
        <v>339</v>
      </c>
      <c r="X85" s="95">
        <v>9000</v>
      </c>
      <c r="Y85" s="95" t="s">
        <v>40</v>
      </c>
      <c r="Z85" s="95">
        <v>3</v>
      </c>
      <c r="AA85" s="95" t="s">
        <v>270</v>
      </c>
      <c r="AB85" s="95" t="s">
        <v>270</v>
      </c>
      <c r="AC85" s="95">
        <v>3</v>
      </c>
      <c r="AD85" s="95" t="s">
        <v>220</v>
      </c>
      <c r="AE85" s="95" t="s">
        <v>221</v>
      </c>
      <c r="AF85" s="96">
        <v>2.8402777777777777</v>
      </c>
      <c r="AG85" s="96">
        <v>1.2722222222222221</v>
      </c>
      <c r="AH85" s="43"/>
      <c r="AI85" s="43"/>
      <c r="AJ85" s="47"/>
    </row>
    <row r="86" spans="17:36" x14ac:dyDescent="0.25">
      <c r="Q86" s="43">
        <v>263</v>
      </c>
      <c r="R86" s="95">
        <v>20</v>
      </c>
      <c r="S86" s="95">
        <v>54</v>
      </c>
      <c r="T86" s="95">
        <v>3</v>
      </c>
      <c r="U86" s="95">
        <v>0.84722222222222221</v>
      </c>
      <c r="V86" s="96">
        <v>0.42499999999999999</v>
      </c>
      <c r="W86" s="96" t="s">
        <v>339</v>
      </c>
      <c r="X86" s="95">
        <v>9000</v>
      </c>
      <c r="Y86" s="95" t="s">
        <v>40</v>
      </c>
      <c r="Z86" s="95">
        <v>6</v>
      </c>
      <c r="AA86" s="95" t="s">
        <v>274</v>
      </c>
      <c r="AB86" s="95" t="s">
        <v>273</v>
      </c>
      <c r="AC86" s="95">
        <v>3</v>
      </c>
      <c r="AD86" s="95" t="s">
        <v>220</v>
      </c>
      <c r="AE86" s="95" t="s">
        <v>221</v>
      </c>
      <c r="AF86" s="96">
        <v>2.8402777777777777</v>
      </c>
      <c r="AG86" s="96">
        <v>1.2722222222222221</v>
      </c>
      <c r="AH86" s="43"/>
      <c r="AI86" s="43"/>
      <c r="AJ86" s="47"/>
    </row>
    <row r="87" spans="17:36" x14ac:dyDescent="0.25">
      <c r="Q87" s="43">
        <v>264</v>
      </c>
      <c r="R87" s="95">
        <v>20</v>
      </c>
      <c r="S87" s="95">
        <v>54</v>
      </c>
      <c r="T87" s="95">
        <v>4</v>
      </c>
      <c r="U87" s="95">
        <v>0.84722222222222221</v>
      </c>
      <c r="V87" s="96">
        <v>0.42499999999999999</v>
      </c>
      <c r="W87" s="96" t="s">
        <v>339</v>
      </c>
      <c r="X87" s="95">
        <v>9000</v>
      </c>
      <c r="Y87" s="95" t="s">
        <v>40</v>
      </c>
      <c r="Z87" s="95">
        <v>6</v>
      </c>
      <c r="AA87" s="95" t="s">
        <v>277</v>
      </c>
      <c r="AB87" s="95" t="s">
        <v>273</v>
      </c>
      <c r="AC87" s="95">
        <v>3</v>
      </c>
      <c r="AD87" s="95" t="s">
        <v>220</v>
      </c>
      <c r="AE87" s="95" t="s">
        <v>221</v>
      </c>
      <c r="AF87" s="96">
        <v>2.8402777777777777</v>
      </c>
      <c r="AG87" s="96">
        <v>1.2722222222222221</v>
      </c>
      <c r="AH87" s="43"/>
      <c r="AI87" s="43"/>
      <c r="AJ87" s="47"/>
    </row>
    <row r="88" spans="17:36" x14ac:dyDescent="0.25">
      <c r="Q88" s="43">
        <v>262</v>
      </c>
      <c r="R88" s="95">
        <v>20</v>
      </c>
      <c r="S88" s="95">
        <v>54</v>
      </c>
      <c r="T88" s="95">
        <v>2</v>
      </c>
      <c r="U88" s="95">
        <v>0.84722222222222221</v>
      </c>
      <c r="V88" s="96">
        <v>0.42499999999999999</v>
      </c>
      <c r="W88" s="96" t="s">
        <v>339</v>
      </c>
      <c r="X88" s="95">
        <v>9000</v>
      </c>
      <c r="Y88" s="95" t="s">
        <v>40</v>
      </c>
      <c r="Z88" s="95">
        <v>2</v>
      </c>
      <c r="AA88" s="95" t="s">
        <v>269</v>
      </c>
      <c r="AB88" s="95" t="s">
        <v>269</v>
      </c>
      <c r="AC88" s="95">
        <v>3</v>
      </c>
      <c r="AD88" s="95" t="s">
        <v>220</v>
      </c>
      <c r="AE88" s="95" t="s">
        <v>221</v>
      </c>
      <c r="AF88" s="96">
        <v>2.8402777777777777</v>
      </c>
      <c r="AG88" s="96">
        <v>1.2722222222222221</v>
      </c>
      <c r="AH88" s="43"/>
      <c r="AI88" s="43"/>
      <c r="AJ88" s="47"/>
    </row>
    <row r="89" spans="17:36" x14ac:dyDescent="0.25">
      <c r="Q89" s="43">
        <v>268</v>
      </c>
      <c r="R89" s="95">
        <v>20</v>
      </c>
      <c r="S89" s="95">
        <v>54</v>
      </c>
      <c r="T89" s="95">
        <v>18</v>
      </c>
      <c r="U89" s="95">
        <v>0.84722222222222221</v>
      </c>
      <c r="V89" s="96">
        <v>0.42499999999999999</v>
      </c>
      <c r="W89" s="96" t="s">
        <v>339</v>
      </c>
      <c r="X89" s="95">
        <v>9000</v>
      </c>
      <c r="Y89" s="95" t="s">
        <v>40</v>
      </c>
      <c r="Z89" s="95">
        <v>4</v>
      </c>
      <c r="AA89" s="95" t="s">
        <v>271</v>
      </c>
      <c r="AB89" s="95" t="s">
        <v>271</v>
      </c>
      <c r="AC89" s="95">
        <v>3</v>
      </c>
      <c r="AD89" s="95" t="s">
        <v>220</v>
      </c>
      <c r="AE89" s="95" t="s">
        <v>221</v>
      </c>
      <c r="AF89" s="96">
        <v>2.8402777777777777</v>
      </c>
      <c r="AG89" s="96">
        <v>1.2722222222222221</v>
      </c>
      <c r="AH89" s="43"/>
      <c r="AI89" s="43"/>
      <c r="AJ89" s="47"/>
    </row>
    <row r="90" spans="17:36" x14ac:dyDescent="0.25">
      <c r="Q90" s="43">
        <v>269</v>
      </c>
      <c r="R90" s="95">
        <v>20</v>
      </c>
      <c r="S90" s="95">
        <v>54</v>
      </c>
      <c r="T90" s="95">
        <v>19</v>
      </c>
      <c r="U90" s="95">
        <v>0.84722222222222221</v>
      </c>
      <c r="V90" s="96">
        <v>0.42499999999999999</v>
      </c>
      <c r="W90" s="96" t="s">
        <v>339</v>
      </c>
      <c r="X90" s="95">
        <v>9000</v>
      </c>
      <c r="Y90" s="95" t="s">
        <v>40</v>
      </c>
      <c r="Z90" s="95">
        <v>5</v>
      </c>
      <c r="AA90" s="95" t="s">
        <v>272</v>
      </c>
      <c r="AB90" s="95" t="s">
        <v>272</v>
      </c>
      <c r="AC90" s="95">
        <v>3</v>
      </c>
      <c r="AD90" s="95" t="s">
        <v>220</v>
      </c>
      <c r="AE90" s="95" t="s">
        <v>221</v>
      </c>
      <c r="AF90" s="96">
        <v>2.8402777777777777</v>
      </c>
      <c r="AG90" s="96">
        <v>1.2722222222222221</v>
      </c>
      <c r="AH90" s="43"/>
      <c r="AI90" s="43"/>
      <c r="AJ90" s="47"/>
    </row>
    <row r="91" spans="17:36" x14ac:dyDescent="0.25">
      <c r="Q91" s="43">
        <v>261</v>
      </c>
      <c r="R91" s="95">
        <v>20</v>
      </c>
      <c r="S91" s="95">
        <v>54</v>
      </c>
      <c r="T91" s="95">
        <v>1</v>
      </c>
      <c r="U91" s="95">
        <v>0.84722222222222221</v>
      </c>
      <c r="V91" s="96">
        <v>0.42499999999999999</v>
      </c>
      <c r="W91" s="96" t="s">
        <v>339</v>
      </c>
      <c r="X91" s="95">
        <v>9000</v>
      </c>
      <c r="Y91" s="95" t="s">
        <v>40</v>
      </c>
      <c r="Z91" s="95">
        <v>1</v>
      </c>
      <c r="AA91" s="95" t="s">
        <v>268</v>
      </c>
      <c r="AB91" s="95" t="s">
        <v>267</v>
      </c>
      <c r="AC91" s="95">
        <v>3</v>
      </c>
      <c r="AD91" s="95" t="s">
        <v>220</v>
      </c>
      <c r="AE91" s="95" t="s">
        <v>221</v>
      </c>
      <c r="AF91" s="96">
        <v>2.8402777777777777</v>
      </c>
      <c r="AG91" s="96">
        <v>1.2722222222222221</v>
      </c>
      <c r="AH91" s="43"/>
      <c r="AI91" s="43"/>
      <c r="AJ91" s="47"/>
    </row>
    <row r="92" spans="17:36" x14ac:dyDescent="0.25">
      <c r="Q92" s="43">
        <v>270</v>
      </c>
      <c r="R92" s="95">
        <v>20</v>
      </c>
      <c r="S92" s="95">
        <v>54</v>
      </c>
      <c r="T92" s="95">
        <v>20</v>
      </c>
      <c r="U92" s="95">
        <v>0.84722222222222221</v>
      </c>
      <c r="V92" s="96">
        <v>0.42499999999999999</v>
      </c>
      <c r="W92" s="96" t="s">
        <v>339</v>
      </c>
      <c r="X92" s="95">
        <v>9000</v>
      </c>
      <c r="Y92" s="95" t="s">
        <v>40</v>
      </c>
      <c r="Z92" s="95">
        <v>8</v>
      </c>
      <c r="AA92" s="95" t="s">
        <v>134</v>
      </c>
      <c r="AB92" s="95" t="s">
        <v>134</v>
      </c>
      <c r="AC92" s="95">
        <v>3</v>
      </c>
      <c r="AD92" s="95" t="s">
        <v>220</v>
      </c>
      <c r="AE92" s="95" t="s">
        <v>221</v>
      </c>
      <c r="AF92" s="96">
        <v>2.8402777777777777</v>
      </c>
      <c r="AG92" s="96">
        <v>1.2722222222222221</v>
      </c>
      <c r="AH92" s="43"/>
      <c r="AI92" s="43"/>
      <c r="AJ92" s="47"/>
    </row>
    <row r="93" spans="17:36" x14ac:dyDescent="0.25">
      <c r="S93" s="2"/>
      <c r="T93" s="2"/>
      <c r="U93" s="2"/>
      <c r="V93" s="2"/>
      <c r="W93" s="86"/>
      <c r="X93" s="52"/>
      <c r="Y93" s="52"/>
      <c r="Z93" s="84"/>
      <c r="AA93" s="2"/>
      <c r="AB93" s="2"/>
      <c r="AC93" s="2"/>
      <c r="AD93" s="2"/>
      <c r="AE93" s="2"/>
    </row>
  </sheetData>
  <dataConsolidate>
    <dataRefs count="2">
      <dataRef ref="Q3:AG92" sheet="phantich_nhiemvu"/>
      <dataRef ref="A4:M11" sheet="phantich_nhiemvu"/>
    </dataRefs>
  </dataConsolidate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4:J95"/>
  <sheetViews>
    <sheetView tabSelected="1" workbookViewId="0">
      <selection activeCell="K8" sqref="K8"/>
    </sheetView>
  </sheetViews>
  <sheetFormatPr defaultRowHeight="15" x14ac:dyDescent="0.25"/>
  <cols>
    <col min="1" max="1" width="21.42578125" bestFit="1" customWidth="1"/>
    <col min="2" max="2" width="22" bestFit="1" customWidth="1"/>
    <col min="3" max="3" width="23.7109375" bestFit="1" customWidth="1"/>
    <col min="4" max="4" width="13" bestFit="1" customWidth="1"/>
    <col min="5" max="5" width="11.42578125" bestFit="1" customWidth="1"/>
    <col min="6" max="6" width="12.28515625" customWidth="1"/>
    <col min="7" max="7" width="12.42578125" customWidth="1"/>
    <col min="8" max="8" width="16" customWidth="1"/>
    <col min="9" max="9" width="13.5703125" bestFit="1" customWidth="1"/>
    <col min="10" max="10" width="20.7109375" bestFit="1" customWidth="1"/>
    <col min="11" max="12" width="20.7109375" customWidth="1"/>
  </cols>
  <sheetData>
    <row r="4" spans="1:10" x14ac:dyDescent="0.25">
      <c r="A4" s="97" t="s">
        <v>385</v>
      </c>
      <c r="B4" s="97" t="s">
        <v>387</v>
      </c>
      <c r="C4" s="97" t="s">
        <v>383</v>
      </c>
      <c r="D4" s="97" t="s">
        <v>361</v>
      </c>
      <c r="E4" s="97" t="s">
        <v>362</v>
      </c>
      <c r="F4" s="97" t="s">
        <v>364</v>
      </c>
      <c r="G4" s="97" t="s">
        <v>457</v>
      </c>
      <c r="H4" s="97" t="s">
        <v>458</v>
      </c>
      <c r="I4" s="97" t="s">
        <v>459</v>
      </c>
      <c r="J4" s="97" t="s">
        <v>460</v>
      </c>
    </row>
    <row r="5" spans="1:10" x14ac:dyDescent="0.25">
      <c r="A5" t="s">
        <v>166</v>
      </c>
      <c r="B5" t="s">
        <v>270</v>
      </c>
      <c r="C5" t="s">
        <v>270</v>
      </c>
      <c r="D5" s="94">
        <v>0.84722222222222221</v>
      </c>
      <c r="E5" s="94">
        <v>0.42499999999999999</v>
      </c>
      <c r="F5">
        <v>9000</v>
      </c>
      <c r="G5">
        <v>0</v>
      </c>
      <c r="H5">
        <v>0</v>
      </c>
      <c r="I5" s="94">
        <v>0</v>
      </c>
      <c r="J5" s="94">
        <v>0</v>
      </c>
    </row>
    <row r="6" spans="1:10" x14ac:dyDescent="0.25">
      <c r="C6" t="s">
        <v>275</v>
      </c>
      <c r="D6" s="94">
        <v>0.84722222222222221</v>
      </c>
      <c r="E6" s="94">
        <v>0.42499999999999999</v>
      </c>
      <c r="F6">
        <v>9000</v>
      </c>
      <c r="G6">
        <v>0</v>
      </c>
      <c r="H6">
        <v>0</v>
      </c>
      <c r="I6" s="94">
        <v>0</v>
      </c>
      <c r="J6" s="94">
        <v>0</v>
      </c>
    </row>
    <row r="7" spans="1:10" x14ac:dyDescent="0.25">
      <c r="C7" t="s">
        <v>278</v>
      </c>
      <c r="D7" s="94">
        <v>0.84722222222222221</v>
      </c>
      <c r="E7" s="94">
        <v>0.42499999999999999</v>
      </c>
      <c r="F7">
        <v>9000</v>
      </c>
      <c r="G7">
        <v>0</v>
      </c>
      <c r="H7">
        <v>0</v>
      </c>
      <c r="I7" s="94">
        <v>0</v>
      </c>
      <c r="J7" s="94">
        <v>0</v>
      </c>
    </row>
    <row r="8" spans="1:10" x14ac:dyDescent="0.25">
      <c r="B8" t="s">
        <v>273</v>
      </c>
      <c r="C8" t="s">
        <v>274</v>
      </c>
      <c r="D8" s="94">
        <v>0.84722222222222221</v>
      </c>
      <c r="E8" s="94">
        <v>0.42499999999999999</v>
      </c>
      <c r="F8">
        <v>9000</v>
      </c>
      <c r="G8">
        <v>0</v>
      </c>
      <c r="H8">
        <v>0</v>
      </c>
      <c r="I8" s="94">
        <v>0</v>
      </c>
      <c r="J8" s="94">
        <v>0</v>
      </c>
    </row>
    <row r="9" spans="1:10" x14ac:dyDescent="0.25">
      <c r="C9" t="s">
        <v>277</v>
      </c>
      <c r="D9" s="94">
        <v>0.84722222222222221</v>
      </c>
      <c r="E9" s="94">
        <v>0.42499999999999999</v>
      </c>
      <c r="F9">
        <v>9000</v>
      </c>
      <c r="G9">
        <v>0</v>
      </c>
      <c r="H9">
        <v>0</v>
      </c>
      <c r="I9" s="94">
        <v>0</v>
      </c>
      <c r="J9" s="94">
        <v>0</v>
      </c>
    </row>
    <row r="10" spans="1:10" x14ac:dyDescent="0.25">
      <c r="B10" t="s">
        <v>269</v>
      </c>
      <c r="C10" t="s">
        <v>269</v>
      </c>
      <c r="D10" s="94">
        <v>0.84722222222222221</v>
      </c>
      <c r="E10" s="94">
        <v>0.42499999999999999</v>
      </c>
      <c r="F10">
        <v>9000</v>
      </c>
      <c r="G10">
        <v>0</v>
      </c>
      <c r="H10">
        <v>0</v>
      </c>
      <c r="I10" s="94">
        <v>0</v>
      </c>
      <c r="J10" s="94">
        <v>0</v>
      </c>
    </row>
    <row r="11" spans="1:10" x14ac:dyDescent="0.25">
      <c r="B11" t="s">
        <v>271</v>
      </c>
      <c r="C11" t="s">
        <v>271</v>
      </c>
      <c r="D11" s="94">
        <v>0.84722222222222221</v>
      </c>
      <c r="E11" s="94">
        <v>0.42499999999999999</v>
      </c>
      <c r="F11">
        <v>9000</v>
      </c>
      <c r="G11">
        <v>0</v>
      </c>
      <c r="H11">
        <v>0</v>
      </c>
      <c r="I11" s="94">
        <v>0</v>
      </c>
      <c r="J11" s="94">
        <v>0</v>
      </c>
    </row>
    <row r="12" spans="1:10" x14ac:dyDescent="0.25">
      <c r="B12" t="s">
        <v>272</v>
      </c>
      <c r="C12" t="s">
        <v>272</v>
      </c>
      <c r="D12" s="94">
        <v>0.84722222222222221</v>
      </c>
      <c r="E12" s="94">
        <v>0.42499999999999999</v>
      </c>
      <c r="F12">
        <v>9000</v>
      </c>
      <c r="G12">
        <v>0</v>
      </c>
      <c r="H12">
        <v>0</v>
      </c>
      <c r="I12" s="94">
        <v>0</v>
      </c>
      <c r="J12" s="94">
        <v>0</v>
      </c>
    </row>
    <row r="13" spans="1:10" x14ac:dyDescent="0.25">
      <c r="B13" t="s">
        <v>267</v>
      </c>
      <c r="C13" t="s">
        <v>268</v>
      </c>
      <c r="D13" s="94">
        <v>0.84722222222222221</v>
      </c>
      <c r="E13" s="94">
        <v>0.42499999999999999</v>
      </c>
      <c r="F13">
        <v>9000</v>
      </c>
      <c r="G13">
        <v>0</v>
      </c>
      <c r="H13">
        <v>0</v>
      </c>
      <c r="I13" s="94">
        <v>0</v>
      </c>
      <c r="J13" s="94">
        <v>0</v>
      </c>
    </row>
    <row r="14" spans="1:10" x14ac:dyDescent="0.25">
      <c r="B14" t="s">
        <v>134</v>
      </c>
      <c r="C14" t="s">
        <v>134</v>
      </c>
      <c r="D14" s="94">
        <v>0.84722222222222221</v>
      </c>
      <c r="E14" s="94">
        <v>0.42499999999999999</v>
      </c>
      <c r="F14">
        <v>9000</v>
      </c>
      <c r="G14">
        <v>0</v>
      </c>
      <c r="H14">
        <v>0</v>
      </c>
      <c r="I14" s="94">
        <v>0</v>
      </c>
      <c r="J14" s="94">
        <v>0</v>
      </c>
    </row>
    <row r="15" spans="1:10" x14ac:dyDescent="0.25">
      <c r="A15" t="s">
        <v>168</v>
      </c>
      <c r="B15" t="s">
        <v>270</v>
      </c>
      <c r="C15" t="s">
        <v>270</v>
      </c>
      <c r="D15" s="94">
        <v>0.84722222222222221</v>
      </c>
      <c r="E15" s="94">
        <v>0.42499999999999999</v>
      </c>
      <c r="F15">
        <v>9000</v>
      </c>
      <c r="G15">
        <v>0</v>
      </c>
      <c r="H15">
        <v>0</v>
      </c>
      <c r="I15" s="94">
        <v>0</v>
      </c>
      <c r="J15" s="94">
        <v>0</v>
      </c>
    </row>
    <row r="16" spans="1:10" x14ac:dyDescent="0.25">
      <c r="C16" t="s">
        <v>275</v>
      </c>
      <c r="D16" s="94">
        <v>0.84722222222222221</v>
      </c>
      <c r="E16" s="94">
        <v>0.42499999999999999</v>
      </c>
      <c r="F16">
        <v>9000</v>
      </c>
      <c r="G16">
        <v>0</v>
      </c>
      <c r="H16">
        <v>0</v>
      </c>
      <c r="I16" s="94">
        <v>0</v>
      </c>
      <c r="J16" s="94">
        <v>0</v>
      </c>
    </row>
    <row r="17" spans="1:10" x14ac:dyDescent="0.25">
      <c r="C17" t="s">
        <v>278</v>
      </c>
      <c r="D17" s="94">
        <v>0.84722222222222221</v>
      </c>
      <c r="E17" s="94">
        <v>0.42499999999999999</v>
      </c>
      <c r="F17">
        <v>9000</v>
      </c>
      <c r="G17">
        <v>0</v>
      </c>
      <c r="H17">
        <v>0</v>
      </c>
      <c r="I17" s="94">
        <v>0</v>
      </c>
      <c r="J17" s="94">
        <v>0</v>
      </c>
    </row>
    <row r="18" spans="1:10" x14ac:dyDescent="0.25">
      <c r="B18" t="s">
        <v>273</v>
      </c>
      <c r="C18" t="s">
        <v>274</v>
      </c>
      <c r="D18" s="94">
        <v>0.84722222222222221</v>
      </c>
      <c r="E18" s="94">
        <v>0.42499999999999999</v>
      </c>
      <c r="F18">
        <v>9000</v>
      </c>
      <c r="G18">
        <v>0</v>
      </c>
      <c r="H18">
        <v>0</v>
      </c>
      <c r="I18" s="94">
        <v>0</v>
      </c>
      <c r="J18" s="94">
        <v>0</v>
      </c>
    </row>
    <row r="19" spans="1:10" x14ac:dyDescent="0.25">
      <c r="C19" t="s">
        <v>277</v>
      </c>
      <c r="D19" s="94">
        <v>0.84722222222222221</v>
      </c>
      <c r="E19" s="94">
        <v>0.42499999999999999</v>
      </c>
      <c r="F19">
        <v>9000</v>
      </c>
      <c r="G19">
        <v>0</v>
      </c>
      <c r="H19">
        <v>0</v>
      </c>
      <c r="I19" s="94">
        <v>0</v>
      </c>
      <c r="J19" s="94">
        <v>0</v>
      </c>
    </row>
    <row r="20" spans="1:10" x14ac:dyDescent="0.25">
      <c r="B20" t="s">
        <v>269</v>
      </c>
      <c r="C20" t="s">
        <v>269</v>
      </c>
      <c r="D20" s="94">
        <v>0.84722222222222221</v>
      </c>
      <c r="E20" s="94">
        <v>0.42499999999999999</v>
      </c>
      <c r="F20">
        <v>9000</v>
      </c>
      <c r="G20">
        <v>0</v>
      </c>
      <c r="H20">
        <v>0</v>
      </c>
      <c r="I20" s="94">
        <v>0</v>
      </c>
      <c r="J20" s="94">
        <v>0</v>
      </c>
    </row>
    <row r="21" spans="1:10" x14ac:dyDescent="0.25">
      <c r="B21" t="s">
        <v>271</v>
      </c>
      <c r="C21" t="s">
        <v>271</v>
      </c>
      <c r="D21" s="94">
        <v>0.84722222222222221</v>
      </c>
      <c r="E21" s="94">
        <v>0.42499999999999999</v>
      </c>
      <c r="F21">
        <v>9000</v>
      </c>
      <c r="G21">
        <v>0</v>
      </c>
      <c r="H21">
        <v>0</v>
      </c>
      <c r="I21" s="94">
        <v>0</v>
      </c>
      <c r="J21" s="94">
        <v>0</v>
      </c>
    </row>
    <row r="22" spans="1:10" x14ac:dyDescent="0.25">
      <c r="B22" t="s">
        <v>272</v>
      </c>
      <c r="C22" t="s">
        <v>272</v>
      </c>
      <c r="D22" s="94">
        <v>0.84722222222222221</v>
      </c>
      <c r="E22" s="94">
        <v>0.42499999999999999</v>
      </c>
      <c r="F22">
        <v>9000</v>
      </c>
      <c r="G22">
        <v>0</v>
      </c>
      <c r="H22">
        <v>0</v>
      </c>
      <c r="I22" s="94">
        <v>0</v>
      </c>
      <c r="J22" s="94">
        <v>0</v>
      </c>
    </row>
    <row r="23" spans="1:10" x14ac:dyDescent="0.25">
      <c r="B23" t="s">
        <v>267</v>
      </c>
      <c r="C23" t="s">
        <v>268</v>
      </c>
      <c r="D23" s="94">
        <v>0.84722222222222221</v>
      </c>
      <c r="E23" s="94">
        <v>0.42499999999999999</v>
      </c>
      <c r="F23">
        <v>9000</v>
      </c>
      <c r="G23">
        <v>0</v>
      </c>
      <c r="H23">
        <v>0</v>
      </c>
      <c r="I23" s="94">
        <v>0</v>
      </c>
      <c r="J23" s="94">
        <v>0</v>
      </c>
    </row>
    <row r="24" spans="1:10" x14ac:dyDescent="0.25">
      <c r="B24" t="s">
        <v>134</v>
      </c>
      <c r="C24" t="s">
        <v>134</v>
      </c>
      <c r="D24" s="94">
        <v>0.84722222222222221</v>
      </c>
      <c r="E24" s="94">
        <v>0.42499999999999999</v>
      </c>
      <c r="F24">
        <v>9000</v>
      </c>
      <c r="G24">
        <v>0</v>
      </c>
      <c r="H24">
        <v>0</v>
      </c>
      <c r="I24" s="94">
        <v>0</v>
      </c>
      <c r="J24" s="94">
        <v>0</v>
      </c>
    </row>
    <row r="25" spans="1:10" x14ac:dyDescent="0.25">
      <c r="A25" t="s">
        <v>169</v>
      </c>
      <c r="B25" t="s">
        <v>270</v>
      </c>
      <c r="C25" t="s">
        <v>270</v>
      </c>
      <c r="D25" s="94">
        <v>0.84722222222222221</v>
      </c>
      <c r="E25" s="94">
        <v>0.42499999999999999</v>
      </c>
      <c r="F25">
        <v>9000</v>
      </c>
      <c r="G25">
        <v>0</v>
      </c>
      <c r="H25">
        <v>0</v>
      </c>
      <c r="I25" s="94">
        <v>0</v>
      </c>
      <c r="J25" s="94">
        <v>0</v>
      </c>
    </row>
    <row r="26" spans="1:10" x14ac:dyDescent="0.25">
      <c r="C26" t="s">
        <v>275</v>
      </c>
      <c r="D26" s="94">
        <v>0.84722222222222221</v>
      </c>
      <c r="E26" s="94">
        <v>0.42499999999999999</v>
      </c>
      <c r="F26">
        <v>9000</v>
      </c>
      <c r="G26">
        <v>0</v>
      </c>
      <c r="H26">
        <v>0</v>
      </c>
      <c r="I26" s="94">
        <v>0</v>
      </c>
      <c r="J26" s="94">
        <v>0</v>
      </c>
    </row>
    <row r="27" spans="1:10" x14ac:dyDescent="0.25">
      <c r="C27" t="s">
        <v>278</v>
      </c>
      <c r="D27" s="94">
        <v>0.84722222222222221</v>
      </c>
      <c r="E27" s="94">
        <v>0.42499999999999999</v>
      </c>
      <c r="F27">
        <v>9000</v>
      </c>
      <c r="G27">
        <v>0</v>
      </c>
      <c r="H27">
        <v>0</v>
      </c>
      <c r="I27" s="94">
        <v>0</v>
      </c>
      <c r="J27" s="94">
        <v>0</v>
      </c>
    </row>
    <row r="28" spans="1:10" x14ac:dyDescent="0.25">
      <c r="B28" t="s">
        <v>273</v>
      </c>
      <c r="C28" t="s">
        <v>274</v>
      </c>
      <c r="D28" s="94">
        <v>0.84722222222222221</v>
      </c>
      <c r="E28" s="94">
        <v>0.42499999999999999</v>
      </c>
      <c r="F28">
        <v>9000</v>
      </c>
      <c r="G28">
        <v>0</v>
      </c>
      <c r="H28">
        <v>0</v>
      </c>
      <c r="I28" s="94">
        <v>0</v>
      </c>
      <c r="J28" s="94">
        <v>0</v>
      </c>
    </row>
    <row r="29" spans="1:10" x14ac:dyDescent="0.25">
      <c r="C29" t="s">
        <v>277</v>
      </c>
      <c r="D29" s="94">
        <v>0.84722222222222221</v>
      </c>
      <c r="E29" s="94">
        <v>0.42499999999999999</v>
      </c>
      <c r="F29">
        <v>9000</v>
      </c>
      <c r="G29">
        <v>0</v>
      </c>
      <c r="H29">
        <v>0</v>
      </c>
      <c r="I29" s="94">
        <v>0</v>
      </c>
      <c r="J29" s="94">
        <v>0</v>
      </c>
    </row>
    <row r="30" spans="1:10" x14ac:dyDescent="0.25">
      <c r="B30" t="s">
        <v>269</v>
      </c>
      <c r="C30" t="s">
        <v>269</v>
      </c>
      <c r="D30" s="94">
        <v>0.84722222222222221</v>
      </c>
      <c r="E30" s="94">
        <v>0.42499999999999999</v>
      </c>
      <c r="F30">
        <v>9000</v>
      </c>
      <c r="G30">
        <v>0</v>
      </c>
      <c r="H30">
        <v>0</v>
      </c>
      <c r="I30" s="94">
        <v>0</v>
      </c>
      <c r="J30" s="94">
        <v>0</v>
      </c>
    </row>
    <row r="31" spans="1:10" x14ac:dyDescent="0.25">
      <c r="B31" t="s">
        <v>271</v>
      </c>
      <c r="C31" t="s">
        <v>271</v>
      </c>
      <c r="D31" s="94">
        <v>0.84722222222222221</v>
      </c>
      <c r="E31" s="94">
        <v>0.42499999999999999</v>
      </c>
      <c r="F31">
        <v>9000</v>
      </c>
      <c r="G31">
        <v>0</v>
      </c>
      <c r="H31">
        <v>0</v>
      </c>
      <c r="I31" s="94">
        <v>0</v>
      </c>
      <c r="J31" s="94">
        <v>0</v>
      </c>
    </row>
    <row r="32" spans="1:10" x14ac:dyDescent="0.25">
      <c r="B32" t="s">
        <v>272</v>
      </c>
      <c r="C32" t="s">
        <v>272</v>
      </c>
      <c r="D32" s="94">
        <v>0.84722222222222221</v>
      </c>
      <c r="E32" s="94">
        <v>0.42499999999999999</v>
      </c>
      <c r="F32">
        <v>9000</v>
      </c>
      <c r="G32">
        <v>0</v>
      </c>
      <c r="H32">
        <v>0</v>
      </c>
      <c r="I32" s="94">
        <v>0</v>
      </c>
      <c r="J32" s="94">
        <v>0</v>
      </c>
    </row>
    <row r="33" spans="1:10" x14ac:dyDescent="0.25">
      <c r="B33" t="s">
        <v>267</v>
      </c>
      <c r="C33" t="s">
        <v>268</v>
      </c>
      <c r="D33" s="94">
        <v>0.84722222222222221</v>
      </c>
      <c r="E33" s="94">
        <v>0.42499999999999999</v>
      </c>
      <c r="F33">
        <v>9000</v>
      </c>
      <c r="G33">
        <v>0</v>
      </c>
      <c r="H33">
        <v>0</v>
      </c>
      <c r="I33" s="94">
        <v>0</v>
      </c>
      <c r="J33" s="94">
        <v>0</v>
      </c>
    </row>
    <row r="34" spans="1:10" x14ac:dyDescent="0.25">
      <c r="B34" t="s">
        <v>134</v>
      </c>
      <c r="C34" t="s">
        <v>134</v>
      </c>
      <c r="D34" s="94">
        <v>0.84722222222222221</v>
      </c>
      <c r="E34" s="94">
        <v>0.42499999999999999</v>
      </c>
      <c r="F34">
        <v>9000</v>
      </c>
      <c r="G34">
        <v>0</v>
      </c>
      <c r="H34">
        <v>0</v>
      </c>
      <c r="I34" s="94">
        <v>0</v>
      </c>
      <c r="J34" s="94">
        <v>0</v>
      </c>
    </row>
    <row r="35" spans="1:10" x14ac:dyDescent="0.25">
      <c r="A35" t="s">
        <v>167</v>
      </c>
      <c r="B35" t="s">
        <v>270</v>
      </c>
      <c r="C35" t="s">
        <v>270</v>
      </c>
      <c r="D35" s="94">
        <v>0.84722222222222221</v>
      </c>
      <c r="E35" s="94">
        <v>0.42499999999999999</v>
      </c>
      <c r="F35">
        <v>9000</v>
      </c>
      <c r="G35">
        <v>0</v>
      </c>
      <c r="H35">
        <v>0</v>
      </c>
      <c r="I35" s="94">
        <v>0</v>
      </c>
      <c r="J35" s="94">
        <v>0</v>
      </c>
    </row>
    <row r="36" spans="1:10" x14ac:dyDescent="0.25">
      <c r="C36" t="s">
        <v>275</v>
      </c>
      <c r="D36" s="94">
        <v>0.84722222222222221</v>
      </c>
      <c r="E36" s="94">
        <v>0.42499999999999999</v>
      </c>
      <c r="F36">
        <v>9000</v>
      </c>
      <c r="G36">
        <v>0</v>
      </c>
      <c r="H36">
        <v>0</v>
      </c>
      <c r="I36" s="94">
        <v>0</v>
      </c>
      <c r="J36" s="94">
        <v>0</v>
      </c>
    </row>
    <row r="37" spans="1:10" x14ac:dyDescent="0.25">
      <c r="C37" t="s">
        <v>278</v>
      </c>
      <c r="D37" s="94">
        <v>0.84722222222222221</v>
      </c>
      <c r="E37" s="94">
        <v>0.42499999999999999</v>
      </c>
      <c r="F37">
        <v>9000</v>
      </c>
      <c r="G37">
        <v>0</v>
      </c>
      <c r="H37">
        <v>0</v>
      </c>
      <c r="I37" s="94">
        <v>0</v>
      </c>
      <c r="J37" s="94">
        <v>0</v>
      </c>
    </row>
    <row r="38" spans="1:10" x14ac:dyDescent="0.25">
      <c r="B38" t="s">
        <v>273</v>
      </c>
      <c r="C38" t="s">
        <v>274</v>
      </c>
      <c r="D38" s="94">
        <v>0.84722222222222221</v>
      </c>
      <c r="E38" s="94">
        <v>0.42499999999999999</v>
      </c>
      <c r="F38">
        <v>9000</v>
      </c>
      <c r="G38">
        <v>0</v>
      </c>
      <c r="H38">
        <v>0</v>
      </c>
      <c r="I38" s="94">
        <v>0</v>
      </c>
      <c r="J38" s="94">
        <v>0</v>
      </c>
    </row>
    <row r="39" spans="1:10" x14ac:dyDescent="0.25">
      <c r="C39" t="s">
        <v>277</v>
      </c>
      <c r="D39" s="94">
        <v>0.84722222222222221</v>
      </c>
      <c r="E39" s="94">
        <v>0.42499999999999999</v>
      </c>
      <c r="F39">
        <v>9000</v>
      </c>
      <c r="G39">
        <v>0</v>
      </c>
      <c r="H39">
        <v>0</v>
      </c>
      <c r="I39" s="94">
        <v>0</v>
      </c>
      <c r="J39" s="94">
        <v>0</v>
      </c>
    </row>
    <row r="40" spans="1:10" x14ac:dyDescent="0.25">
      <c r="B40" t="s">
        <v>269</v>
      </c>
      <c r="C40" t="s">
        <v>269</v>
      </c>
      <c r="D40" s="94">
        <v>0.84722222222222221</v>
      </c>
      <c r="E40" s="94">
        <v>0.42499999999999999</v>
      </c>
      <c r="F40">
        <v>9000</v>
      </c>
      <c r="G40">
        <v>0</v>
      </c>
      <c r="H40">
        <v>0</v>
      </c>
      <c r="I40" s="94">
        <v>0</v>
      </c>
      <c r="J40" s="94">
        <v>0</v>
      </c>
    </row>
    <row r="41" spans="1:10" x14ac:dyDescent="0.25">
      <c r="B41" t="s">
        <v>271</v>
      </c>
      <c r="C41" t="s">
        <v>271</v>
      </c>
      <c r="D41" s="94">
        <v>0.84722222222222221</v>
      </c>
      <c r="E41" s="94">
        <v>0.42499999999999999</v>
      </c>
      <c r="F41">
        <v>9000</v>
      </c>
      <c r="G41">
        <v>0</v>
      </c>
      <c r="H41">
        <v>0</v>
      </c>
      <c r="I41" s="94">
        <v>0</v>
      </c>
      <c r="J41" s="94">
        <v>0</v>
      </c>
    </row>
    <row r="42" spans="1:10" x14ac:dyDescent="0.25">
      <c r="B42" t="s">
        <v>272</v>
      </c>
      <c r="C42" t="s">
        <v>272</v>
      </c>
      <c r="D42" s="94">
        <v>0.84722222222222221</v>
      </c>
      <c r="E42" s="94">
        <v>0.42499999999999999</v>
      </c>
      <c r="F42">
        <v>9000</v>
      </c>
      <c r="G42">
        <v>0</v>
      </c>
      <c r="H42">
        <v>0</v>
      </c>
      <c r="I42" s="94">
        <v>0</v>
      </c>
      <c r="J42" s="94">
        <v>0</v>
      </c>
    </row>
    <row r="43" spans="1:10" x14ac:dyDescent="0.25">
      <c r="B43" t="s">
        <v>267</v>
      </c>
      <c r="C43" t="s">
        <v>268</v>
      </c>
      <c r="D43" s="94">
        <v>0.84722222222222221</v>
      </c>
      <c r="E43" s="94">
        <v>0.42499999999999999</v>
      </c>
      <c r="F43">
        <v>9000</v>
      </c>
      <c r="G43">
        <v>0</v>
      </c>
      <c r="H43">
        <v>0</v>
      </c>
      <c r="I43" s="94">
        <v>0</v>
      </c>
      <c r="J43" s="94">
        <v>0</v>
      </c>
    </row>
    <row r="44" spans="1:10" x14ac:dyDescent="0.25">
      <c r="B44" t="s">
        <v>134</v>
      </c>
      <c r="C44" t="s">
        <v>134</v>
      </c>
      <c r="D44" s="94">
        <v>0.84722222222222221</v>
      </c>
      <c r="E44" s="94">
        <v>0.42499999999999999</v>
      </c>
      <c r="F44">
        <v>9000</v>
      </c>
      <c r="G44">
        <v>0</v>
      </c>
      <c r="H44">
        <v>0</v>
      </c>
      <c r="I44" s="94">
        <v>0</v>
      </c>
      <c r="J44" s="94">
        <v>0</v>
      </c>
    </row>
    <row r="45" spans="1:10" x14ac:dyDescent="0.25">
      <c r="A45" t="s">
        <v>163</v>
      </c>
      <c r="B45" t="s">
        <v>270</v>
      </c>
      <c r="C45" t="s">
        <v>270</v>
      </c>
      <c r="D45" s="94">
        <v>0.84722222222222221</v>
      </c>
      <c r="E45" s="94">
        <v>0.42499999999999999</v>
      </c>
      <c r="F45">
        <v>9000</v>
      </c>
      <c r="G45">
        <v>0</v>
      </c>
      <c r="H45">
        <v>6675</v>
      </c>
      <c r="I45" s="94">
        <v>0</v>
      </c>
      <c r="J45" s="94">
        <v>1.0729166666666667</v>
      </c>
    </row>
    <row r="46" spans="1:10" x14ac:dyDescent="0.25">
      <c r="C46" t="s">
        <v>275</v>
      </c>
      <c r="D46" s="94">
        <v>0.84722222222222221</v>
      </c>
      <c r="E46" s="94">
        <v>0.42499999999999999</v>
      </c>
      <c r="F46">
        <v>9000</v>
      </c>
      <c r="G46">
        <v>0</v>
      </c>
      <c r="H46">
        <v>4322</v>
      </c>
      <c r="I46" s="94">
        <v>0</v>
      </c>
      <c r="J46" s="94">
        <v>0.47361111111111109</v>
      </c>
    </row>
    <row r="47" spans="1:10" x14ac:dyDescent="0.25">
      <c r="C47" t="s">
        <v>278</v>
      </c>
      <c r="D47" s="94">
        <v>0.84722222222222221</v>
      </c>
      <c r="E47" s="94">
        <v>0.42499999999999999</v>
      </c>
      <c r="F47">
        <v>9000</v>
      </c>
      <c r="G47">
        <v>0</v>
      </c>
      <c r="H47">
        <v>0</v>
      </c>
      <c r="I47" s="94">
        <v>0</v>
      </c>
      <c r="J47" s="94">
        <v>0</v>
      </c>
    </row>
    <row r="48" spans="1:10" x14ac:dyDescent="0.25">
      <c r="B48" t="s">
        <v>273</v>
      </c>
      <c r="C48" t="s">
        <v>274</v>
      </c>
      <c r="D48" s="94">
        <v>0.84722222222222221</v>
      </c>
      <c r="E48" s="94">
        <v>0.42499999999999999</v>
      </c>
      <c r="F48">
        <v>9000</v>
      </c>
      <c r="G48">
        <v>0</v>
      </c>
      <c r="H48">
        <v>0</v>
      </c>
      <c r="I48" s="94">
        <v>0</v>
      </c>
      <c r="J48" s="94">
        <v>0</v>
      </c>
    </row>
    <row r="49" spans="1:10" x14ac:dyDescent="0.25">
      <c r="C49" t="s">
        <v>277</v>
      </c>
      <c r="D49" s="94">
        <v>0.84722222222222221</v>
      </c>
      <c r="E49" s="94">
        <v>0.42499999999999999</v>
      </c>
      <c r="F49">
        <v>9000</v>
      </c>
      <c r="G49">
        <v>0</v>
      </c>
      <c r="H49">
        <v>0</v>
      </c>
      <c r="I49" s="94">
        <v>0</v>
      </c>
      <c r="J49" s="94">
        <v>0</v>
      </c>
    </row>
    <row r="50" spans="1:10" x14ac:dyDescent="0.25">
      <c r="B50" t="s">
        <v>269</v>
      </c>
      <c r="C50" t="s">
        <v>269</v>
      </c>
      <c r="D50" s="94">
        <v>0.84722222222222221</v>
      </c>
      <c r="E50" s="94">
        <v>0.42499999999999999</v>
      </c>
      <c r="F50">
        <v>9000</v>
      </c>
      <c r="G50">
        <v>0</v>
      </c>
      <c r="H50">
        <v>0</v>
      </c>
      <c r="I50" s="94">
        <v>0</v>
      </c>
      <c r="J50" s="94">
        <v>0</v>
      </c>
    </row>
    <row r="51" spans="1:10" x14ac:dyDescent="0.25">
      <c r="B51" t="s">
        <v>271</v>
      </c>
      <c r="C51" t="s">
        <v>271</v>
      </c>
      <c r="D51" s="94">
        <v>0.84722222222222221</v>
      </c>
      <c r="E51" s="94">
        <v>0.42499999999999999</v>
      </c>
      <c r="F51">
        <v>9000</v>
      </c>
      <c r="G51">
        <v>0</v>
      </c>
      <c r="H51">
        <v>0</v>
      </c>
      <c r="I51" s="94">
        <v>0</v>
      </c>
      <c r="J51" s="94">
        <v>0</v>
      </c>
    </row>
    <row r="52" spans="1:10" x14ac:dyDescent="0.25">
      <c r="B52" t="s">
        <v>272</v>
      </c>
      <c r="C52" t="s">
        <v>272</v>
      </c>
      <c r="D52" s="94">
        <v>0.84722222222222221</v>
      </c>
      <c r="E52" s="94">
        <v>0.42499999999999999</v>
      </c>
      <c r="F52">
        <v>9000</v>
      </c>
      <c r="G52">
        <v>0</v>
      </c>
      <c r="H52">
        <v>0</v>
      </c>
      <c r="I52" s="94">
        <v>0</v>
      </c>
      <c r="J52" s="94">
        <v>0</v>
      </c>
    </row>
    <row r="53" spans="1:10" x14ac:dyDescent="0.25">
      <c r="B53" t="s">
        <v>267</v>
      </c>
      <c r="C53" t="s">
        <v>268</v>
      </c>
      <c r="D53" s="94">
        <v>0.84722222222222221</v>
      </c>
      <c r="E53" s="94">
        <v>0.42499999999999999</v>
      </c>
      <c r="F53">
        <v>9000</v>
      </c>
      <c r="G53">
        <v>1231</v>
      </c>
      <c r="H53">
        <v>0</v>
      </c>
      <c r="I53" s="94">
        <v>0.87638888888888899</v>
      </c>
      <c r="J53" s="94">
        <v>0</v>
      </c>
    </row>
    <row r="54" spans="1:10" x14ac:dyDescent="0.25">
      <c r="B54" t="s">
        <v>134</v>
      </c>
      <c r="C54" t="s">
        <v>134</v>
      </c>
      <c r="D54" s="94">
        <v>0.84722222222222221</v>
      </c>
      <c r="E54" s="94">
        <v>0.42499999999999999</v>
      </c>
      <c r="F54">
        <v>9000</v>
      </c>
      <c r="G54">
        <v>0</v>
      </c>
      <c r="H54">
        <v>0</v>
      </c>
      <c r="I54" s="94">
        <v>0</v>
      </c>
      <c r="J54" s="94">
        <v>0</v>
      </c>
    </row>
    <row r="55" spans="1:10" x14ac:dyDescent="0.25">
      <c r="A55" t="s">
        <v>162</v>
      </c>
      <c r="B55" t="s">
        <v>270</v>
      </c>
      <c r="C55" t="s">
        <v>270</v>
      </c>
      <c r="D55" s="94">
        <v>0.84722222222222221</v>
      </c>
      <c r="E55" s="94">
        <v>0.42499999999999999</v>
      </c>
      <c r="F55">
        <v>9000</v>
      </c>
      <c r="G55">
        <v>5564</v>
      </c>
      <c r="H55">
        <v>2000</v>
      </c>
      <c r="I55" s="94">
        <v>0.65625</v>
      </c>
      <c r="J55" s="94">
        <v>8.5416666666666669E-2</v>
      </c>
    </row>
    <row r="56" spans="1:10" x14ac:dyDescent="0.25">
      <c r="C56" t="s">
        <v>275</v>
      </c>
      <c r="D56" s="94">
        <v>0.84722222222222221</v>
      </c>
      <c r="E56" s="94">
        <v>0.42499999999999999</v>
      </c>
      <c r="F56">
        <v>9000</v>
      </c>
      <c r="G56">
        <v>0</v>
      </c>
      <c r="H56">
        <v>0</v>
      </c>
      <c r="I56" s="94">
        <v>0</v>
      </c>
      <c r="J56" s="94">
        <v>0</v>
      </c>
    </row>
    <row r="57" spans="1:10" x14ac:dyDescent="0.25">
      <c r="C57" t="s">
        <v>278</v>
      </c>
      <c r="D57" s="94">
        <v>0.84722222222222221</v>
      </c>
      <c r="E57" s="94">
        <v>0.42499999999999999</v>
      </c>
      <c r="F57">
        <v>9000</v>
      </c>
      <c r="G57">
        <v>0</v>
      </c>
      <c r="H57">
        <v>3574</v>
      </c>
      <c r="I57" s="94">
        <v>0</v>
      </c>
      <c r="J57" s="94">
        <v>1.0229166666666667</v>
      </c>
    </row>
    <row r="58" spans="1:10" x14ac:dyDescent="0.25">
      <c r="B58" t="s">
        <v>273</v>
      </c>
      <c r="C58" t="s">
        <v>274</v>
      </c>
      <c r="D58" s="94">
        <v>0.84722222222222221</v>
      </c>
      <c r="E58" s="94">
        <v>0.42499999999999999</v>
      </c>
      <c r="F58">
        <v>9000</v>
      </c>
      <c r="G58">
        <v>0</v>
      </c>
      <c r="H58">
        <v>0</v>
      </c>
      <c r="I58" s="94">
        <v>0</v>
      </c>
      <c r="J58" s="94">
        <v>0</v>
      </c>
    </row>
    <row r="59" spans="1:10" x14ac:dyDescent="0.25">
      <c r="C59" t="s">
        <v>277</v>
      </c>
      <c r="D59" s="94">
        <v>0.84722222222222221</v>
      </c>
      <c r="E59" s="94">
        <v>0.42499999999999999</v>
      </c>
      <c r="F59">
        <v>9000</v>
      </c>
      <c r="G59">
        <v>0</v>
      </c>
      <c r="H59">
        <v>0</v>
      </c>
      <c r="I59" s="94">
        <v>0</v>
      </c>
      <c r="J59" s="94">
        <v>0</v>
      </c>
    </row>
    <row r="60" spans="1:10" x14ac:dyDescent="0.25">
      <c r="B60" t="s">
        <v>269</v>
      </c>
      <c r="C60" t="s">
        <v>269</v>
      </c>
      <c r="D60" s="94">
        <v>0.84722222222222221</v>
      </c>
      <c r="E60" s="94">
        <v>0.42499999999999999</v>
      </c>
      <c r="F60">
        <v>9000</v>
      </c>
      <c r="G60">
        <v>0</v>
      </c>
      <c r="H60">
        <v>0</v>
      </c>
      <c r="I60" s="94">
        <v>0</v>
      </c>
      <c r="J60" s="94">
        <v>0</v>
      </c>
    </row>
    <row r="61" spans="1:10" x14ac:dyDescent="0.25">
      <c r="B61" t="s">
        <v>271</v>
      </c>
      <c r="C61" t="s">
        <v>271</v>
      </c>
      <c r="D61" s="94">
        <v>0.84722222222222221</v>
      </c>
      <c r="E61" s="94">
        <v>0.42499999999999999</v>
      </c>
      <c r="F61">
        <v>9000</v>
      </c>
      <c r="G61">
        <v>0</v>
      </c>
      <c r="H61">
        <v>0</v>
      </c>
      <c r="I61" s="94">
        <v>0</v>
      </c>
      <c r="J61" s="94">
        <v>0</v>
      </c>
    </row>
    <row r="62" spans="1:10" x14ac:dyDescent="0.25">
      <c r="B62" t="s">
        <v>272</v>
      </c>
      <c r="C62" t="s">
        <v>272</v>
      </c>
      <c r="D62" s="94">
        <v>0.84722222222222221</v>
      </c>
      <c r="E62" s="94">
        <v>0.42499999999999999</v>
      </c>
      <c r="F62">
        <v>9000</v>
      </c>
      <c r="G62">
        <v>0</v>
      </c>
      <c r="H62">
        <v>0</v>
      </c>
      <c r="I62" s="94">
        <v>0</v>
      </c>
      <c r="J62" s="94">
        <v>0</v>
      </c>
    </row>
    <row r="63" spans="1:10" x14ac:dyDescent="0.25">
      <c r="B63" t="s">
        <v>267</v>
      </c>
      <c r="C63" t="s">
        <v>268</v>
      </c>
      <c r="D63" s="94">
        <v>0.84722222222222221</v>
      </c>
      <c r="E63" s="94">
        <v>0.42499999999999999</v>
      </c>
      <c r="F63">
        <v>9000</v>
      </c>
      <c r="G63">
        <v>1232</v>
      </c>
      <c r="H63">
        <v>1321</v>
      </c>
      <c r="I63" s="94">
        <v>0.93263888888888891</v>
      </c>
      <c r="J63" s="94">
        <v>9.7916666666666666E-2</v>
      </c>
    </row>
    <row r="64" spans="1:10" x14ac:dyDescent="0.25">
      <c r="B64" t="s">
        <v>134</v>
      </c>
      <c r="C64" t="s">
        <v>134</v>
      </c>
      <c r="D64" s="94">
        <v>0.84722222222222221</v>
      </c>
      <c r="E64" s="94">
        <v>0.42499999999999999</v>
      </c>
      <c r="F64">
        <v>9000</v>
      </c>
      <c r="G64">
        <v>0</v>
      </c>
      <c r="H64">
        <v>0</v>
      </c>
      <c r="I64" s="94">
        <v>0</v>
      </c>
      <c r="J64" s="94">
        <v>0</v>
      </c>
    </row>
    <row r="65" spans="1:10" x14ac:dyDescent="0.25">
      <c r="A65" t="s">
        <v>164</v>
      </c>
      <c r="B65" t="s">
        <v>270</v>
      </c>
      <c r="C65" t="s">
        <v>270</v>
      </c>
      <c r="D65" s="94">
        <v>0.84722222222222221</v>
      </c>
      <c r="E65" s="94">
        <v>0.42499999999999999</v>
      </c>
      <c r="F65">
        <v>9000</v>
      </c>
      <c r="G65">
        <v>0</v>
      </c>
      <c r="H65">
        <v>0</v>
      </c>
      <c r="I65" s="94">
        <v>0</v>
      </c>
      <c r="J65" s="94">
        <v>0</v>
      </c>
    </row>
    <row r="66" spans="1:10" x14ac:dyDescent="0.25">
      <c r="C66" t="s">
        <v>275</v>
      </c>
      <c r="D66" s="94">
        <v>0.84722222222222221</v>
      </c>
      <c r="E66" s="94">
        <v>0.42499999999999999</v>
      </c>
      <c r="F66">
        <v>9000</v>
      </c>
      <c r="G66">
        <v>0</v>
      </c>
      <c r="H66">
        <v>0</v>
      </c>
      <c r="I66" s="94">
        <v>0</v>
      </c>
      <c r="J66" s="94">
        <v>0</v>
      </c>
    </row>
    <row r="67" spans="1:10" x14ac:dyDescent="0.25">
      <c r="C67" t="s">
        <v>278</v>
      </c>
      <c r="D67" s="94">
        <v>0.84722222222222221</v>
      </c>
      <c r="E67" s="94">
        <v>0.42499999999999999</v>
      </c>
      <c r="F67">
        <v>9000</v>
      </c>
      <c r="G67">
        <v>0</v>
      </c>
      <c r="H67">
        <v>0</v>
      </c>
      <c r="I67" s="94">
        <v>0</v>
      </c>
      <c r="J67" s="94">
        <v>0</v>
      </c>
    </row>
    <row r="68" spans="1:10" x14ac:dyDescent="0.25">
      <c r="B68" t="s">
        <v>273</v>
      </c>
      <c r="C68" t="s">
        <v>274</v>
      </c>
      <c r="D68" s="94">
        <v>0.84722222222222221</v>
      </c>
      <c r="E68" s="94">
        <v>0.42499999999999999</v>
      </c>
      <c r="F68">
        <v>9000</v>
      </c>
      <c r="G68">
        <v>0</v>
      </c>
      <c r="H68">
        <v>0</v>
      </c>
      <c r="I68" s="94">
        <v>0</v>
      </c>
      <c r="J68" s="94">
        <v>0</v>
      </c>
    </row>
    <row r="69" spans="1:10" x14ac:dyDescent="0.25">
      <c r="C69" t="s">
        <v>277</v>
      </c>
      <c r="D69" s="94">
        <v>0.84722222222222221</v>
      </c>
      <c r="E69" s="94">
        <v>0.42499999999999999</v>
      </c>
      <c r="F69">
        <v>9000</v>
      </c>
      <c r="G69">
        <v>0</v>
      </c>
      <c r="H69">
        <v>0</v>
      </c>
      <c r="I69" s="94">
        <v>0</v>
      </c>
      <c r="J69" s="94">
        <v>0</v>
      </c>
    </row>
    <row r="70" spans="1:10" x14ac:dyDescent="0.25">
      <c r="B70" t="s">
        <v>269</v>
      </c>
      <c r="C70" t="s">
        <v>269</v>
      </c>
      <c r="D70" s="94">
        <v>0.84722222222222221</v>
      </c>
      <c r="E70" s="94">
        <v>0.42499999999999999</v>
      </c>
      <c r="F70">
        <v>9000</v>
      </c>
      <c r="G70">
        <v>0</v>
      </c>
      <c r="H70">
        <v>0</v>
      </c>
      <c r="I70" s="94">
        <v>0</v>
      </c>
      <c r="J70" s="94">
        <v>0</v>
      </c>
    </row>
    <row r="71" spans="1:10" x14ac:dyDescent="0.25">
      <c r="B71" t="s">
        <v>271</v>
      </c>
      <c r="C71" t="s">
        <v>271</v>
      </c>
      <c r="D71" s="94">
        <v>0.84722222222222221</v>
      </c>
      <c r="E71" s="94">
        <v>0.42499999999999999</v>
      </c>
      <c r="F71">
        <v>9000</v>
      </c>
      <c r="G71">
        <v>0</v>
      </c>
      <c r="H71">
        <v>0</v>
      </c>
      <c r="I71" s="94">
        <v>0</v>
      </c>
      <c r="J71" s="94">
        <v>0</v>
      </c>
    </row>
    <row r="72" spans="1:10" x14ac:dyDescent="0.25">
      <c r="B72" t="s">
        <v>272</v>
      </c>
      <c r="C72" t="s">
        <v>272</v>
      </c>
      <c r="D72" s="94">
        <v>0.84722222222222221</v>
      </c>
      <c r="E72" s="94">
        <v>0.42499999999999999</v>
      </c>
      <c r="F72">
        <v>9000</v>
      </c>
      <c r="G72">
        <v>0</v>
      </c>
      <c r="H72">
        <v>0</v>
      </c>
      <c r="I72" s="94">
        <v>0</v>
      </c>
      <c r="J72" s="94">
        <v>0</v>
      </c>
    </row>
    <row r="73" spans="1:10" x14ac:dyDescent="0.25">
      <c r="B73" t="s">
        <v>267</v>
      </c>
      <c r="C73" t="s">
        <v>268</v>
      </c>
      <c r="D73" s="94">
        <v>0.84722222222222221</v>
      </c>
      <c r="E73" s="94">
        <v>0.42499999999999999</v>
      </c>
      <c r="F73">
        <v>9000</v>
      </c>
      <c r="G73">
        <v>0</v>
      </c>
      <c r="H73">
        <v>1234</v>
      </c>
      <c r="I73" s="94">
        <v>0</v>
      </c>
      <c r="J73" s="94">
        <v>0.50763888888888886</v>
      </c>
    </row>
    <row r="74" spans="1:10" x14ac:dyDescent="0.25">
      <c r="B74" t="s">
        <v>134</v>
      </c>
      <c r="C74" t="s">
        <v>134</v>
      </c>
      <c r="D74" s="94">
        <v>0.84722222222222221</v>
      </c>
      <c r="E74" s="94">
        <v>0.42499999999999999</v>
      </c>
      <c r="F74">
        <v>9000</v>
      </c>
      <c r="G74">
        <v>0</v>
      </c>
      <c r="H74">
        <v>0</v>
      </c>
      <c r="I74" s="94">
        <v>0</v>
      </c>
      <c r="J74" s="94">
        <v>0</v>
      </c>
    </row>
    <row r="75" spans="1:10" x14ac:dyDescent="0.25">
      <c r="A75" t="s">
        <v>165</v>
      </c>
      <c r="B75" t="s">
        <v>270</v>
      </c>
      <c r="C75" t="s">
        <v>270</v>
      </c>
      <c r="D75" s="94">
        <v>0.84722222222222221</v>
      </c>
      <c r="E75" s="94">
        <v>0.42499999999999999</v>
      </c>
      <c r="F75">
        <v>9000</v>
      </c>
      <c r="G75">
        <v>0</v>
      </c>
      <c r="H75">
        <v>0</v>
      </c>
      <c r="I75" s="94">
        <v>0</v>
      </c>
      <c r="J75" s="94">
        <v>0</v>
      </c>
    </row>
    <row r="76" spans="1:10" x14ac:dyDescent="0.25">
      <c r="C76" t="s">
        <v>275</v>
      </c>
      <c r="D76" s="94">
        <v>0.84722222222222221</v>
      </c>
      <c r="E76" s="94">
        <v>0.42499999999999999</v>
      </c>
      <c r="F76">
        <v>9000</v>
      </c>
      <c r="G76">
        <v>0</v>
      </c>
      <c r="H76">
        <v>0</v>
      </c>
      <c r="I76" s="94">
        <v>0</v>
      </c>
      <c r="J76" s="94">
        <v>0</v>
      </c>
    </row>
    <row r="77" spans="1:10" x14ac:dyDescent="0.25">
      <c r="C77" t="s">
        <v>278</v>
      </c>
      <c r="D77" s="94">
        <v>0.84722222222222221</v>
      </c>
      <c r="E77" s="94">
        <v>0.42499999999999999</v>
      </c>
      <c r="F77">
        <v>9000</v>
      </c>
      <c r="G77">
        <v>0</v>
      </c>
      <c r="H77">
        <v>0</v>
      </c>
      <c r="I77" s="94">
        <v>0</v>
      </c>
      <c r="J77" s="94">
        <v>0</v>
      </c>
    </row>
    <row r="78" spans="1:10" x14ac:dyDescent="0.25">
      <c r="B78" t="s">
        <v>273</v>
      </c>
      <c r="C78" t="s">
        <v>274</v>
      </c>
      <c r="D78" s="94">
        <v>0.84722222222222221</v>
      </c>
      <c r="E78" s="94">
        <v>0.42499999999999999</v>
      </c>
      <c r="F78">
        <v>9000</v>
      </c>
      <c r="G78">
        <v>0</v>
      </c>
      <c r="H78">
        <v>0</v>
      </c>
      <c r="I78" s="94">
        <v>0</v>
      </c>
      <c r="J78" s="94">
        <v>0</v>
      </c>
    </row>
    <row r="79" spans="1:10" x14ac:dyDescent="0.25">
      <c r="C79" t="s">
        <v>277</v>
      </c>
      <c r="D79" s="94">
        <v>0.84722222222222221</v>
      </c>
      <c r="E79" s="94">
        <v>0.42499999999999999</v>
      </c>
      <c r="F79">
        <v>9000</v>
      </c>
      <c r="G79">
        <v>0</v>
      </c>
      <c r="H79">
        <v>0</v>
      </c>
      <c r="I79" s="94">
        <v>0</v>
      </c>
      <c r="J79" s="94">
        <v>0</v>
      </c>
    </row>
    <row r="80" spans="1:10" x14ac:dyDescent="0.25">
      <c r="B80" t="s">
        <v>269</v>
      </c>
      <c r="C80" t="s">
        <v>269</v>
      </c>
      <c r="D80" s="94">
        <v>0.84722222222222221</v>
      </c>
      <c r="E80" s="94">
        <v>0.42499999999999999</v>
      </c>
      <c r="F80">
        <v>9000</v>
      </c>
      <c r="G80">
        <v>0</v>
      </c>
      <c r="H80">
        <v>0</v>
      </c>
      <c r="I80" s="94">
        <v>0</v>
      </c>
      <c r="J80" s="94">
        <v>0</v>
      </c>
    </row>
    <row r="81" spans="1:10" x14ac:dyDescent="0.25">
      <c r="B81" t="s">
        <v>271</v>
      </c>
      <c r="C81" t="s">
        <v>271</v>
      </c>
      <c r="D81" s="94">
        <v>0.84722222222222221</v>
      </c>
      <c r="E81" s="94">
        <v>0.42499999999999999</v>
      </c>
      <c r="F81">
        <v>9000</v>
      </c>
      <c r="G81">
        <v>0</v>
      </c>
      <c r="H81">
        <v>0</v>
      </c>
      <c r="I81" s="94">
        <v>0</v>
      </c>
      <c r="J81" s="94">
        <v>0</v>
      </c>
    </row>
    <row r="82" spans="1:10" x14ac:dyDescent="0.25">
      <c r="B82" t="s">
        <v>272</v>
      </c>
      <c r="C82" t="s">
        <v>272</v>
      </c>
      <c r="D82" s="94">
        <v>0.84722222222222221</v>
      </c>
      <c r="E82" s="94">
        <v>0.42499999999999999</v>
      </c>
      <c r="F82">
        <v>9000</v>
      </c>
      <c r="G82">
        <v>0</v>
      </c>
      <c r="H82">
        <v>0</v>
      </c>
      <c r="I82" s="94">
        <v>0</v>
      </c>
      <c r="J82" s="94">
        <v>0</v>
      </c>
    </row>
    <row r="83" spans="1:10" x14ac:dyDescent="0.25">
      <c r="B83" t="s">
        <v>267</v>
      </c>
      <c r="C83" t="s">
        <v>268</v>
      </c>
      <c r="D83" s="94">
        <v>0.84722222222222221</v>
      </c>
      <c r="E83" s="94">
        <v>0.42499999999999999</v>
      </c>
      <c r="F83">
        <v>9000</v>
      </c>
      <c r="G83">
        <v>0</v>
      </c>
      <c r="H83">
        <v>0</v>
      </c>
      <c r="I83" s="94">
        <v>0</v>
      </c>
      <c r="J83" s="94">
        <v>0</v>
      </c>
    </row>
    <row r="84" spans="1:10" x14ac:dyDescent="0.25">
      <c r="B84" t="s">
        <v>134</v>
      </c>
      <c r="C84" t="s">
        <v>134</v>
      </c>
      <c r="D84" s="94">
        <v>0.84722222222222221</v>
      </c>
      <c r="E84" s="94">
        <v>0.42499999999999999</v>
      </c>
      <c r="F84">
        <v>9000</v>
      </c>
      <c r="G84">
        <v>0</v>
      </c>
      <c r="H84">
        <v>0</v>
      </c>
      <c r="I84" s="94">
        <v>0</v>
      </c>
      <c r="J84" s="94">
        <v>0</v>
      </c>
    </row>
    <row r="85" spans="1:10" x14ac:dyDescent="0.25">
      <c r="A85" t="s">
        <v>40</v>
      </c>
      <c r="B85" t="s">
        <v>270</v>
      </c>
      <c r="C85" t="s">
        <v>270</v>
      </c>
      <c r="D85" s="94">
        <v>0.84722222222222221</v>
      </c>
      <c r="E85" s="94">
        <v>0.42499999999999999</v>
      </c>
      <c r="F85">
        <v>9000</v>
      </c>
      <c r="G85">
        <v>0</v>
      </c>
      <c r="H85">
        <v>0</v>
      </c>
      <c r="I85" s="94">
        <v>0</v>
      </c>
      <c r="J85" s="94">
        <v>0</v>
      </c>
    </row>
    <row r="86" spans="1:10" x14ac:dyDescent="0.25">
      <c r="C86" t="s">
        <v>275</v>
      </c>
      <c r="D86" s="94">
        <v>0.84722222222222221</v>
      </c>
      <c r="E86" s="94">
        <v>0.42499999999999999</v>
      </c>
      <c r="F86">
        <v>9000</v>
      </c>
      <c r="G86">
        <v>0</v>
      </c>
      <c r="H86">
        <v>0</v>
      </c>
      <c r="I86" s="94">
        <v>0</v>
      </c>
      <c r="J86" s="94">
        <v>0</v>
      </c>
    </row>
    <row r="87" spans="1:10" x14ac:dyDescent="0.25">
      <c r="C87" t="s">
        <v>278</v>
      </c>
      <c r="D87" s="94">
        <v>0.84722222222222221</v>
      </c>
      <c r="E87" s="94">
        <v>0.42499999999999999</v>
      </c>
      <c r="F87">
        <v>9000</v>
      </c>
      <c r="G87">
        <v>0</v>
      </c>
      <c r="H87">
        <v>0</v>
      </c>
      <c r="I87" s="94">
        <v>0</v>
      </c>
      <c r="J87" s="94">
        <v>0</v>
      </c>
    </row>
    <row r="88" spans="1:10" x14ac:dyDescent="0.25">
      <c r="B88" t="s">
        <v>273</v>
      </c>
      <c r="C88" t="s">
        <v>274</v>
      </c>
      <c r="D88" s="94">
        <v>0.84722222222222221</v>
      </c>
      <c r="E88" s="94">
        <v>0.42499999999999999</v>
      </c>
      <c r="F88">
        <v>9000</v>
      </c>
      <c r="G88">
        <v>0</v>
      </c>
      <c r="H88">
        <v>0</v>
      </c>
      <c r="I88" s="94">
        <v>0</v>
      </c>
      <c r="J88" s="94">
        <v>0</v>
      </c>
    </row>
    <row r="89" spans="1:10" x14ac:dyDescent="0.25">
      <c r="C89" t="s">
        <v>277</v>
      </c>
      <c r="D89" s="94">
        <v>0.84722222222222221</v>
      </c>
      <c r="E89" s="94">
        <v>0.42499999999999999</v>
      </c>
      <c r="F89">
        <v>9000</v>
      </c>
      <c r="G89">
        <v>0</v>
      </c>
      <c r="H89">
        <v>0</v>
      </c>
      <c r="I89" s="94">
        <v>0</v>
      </c>
      <c r="J89" s="94">
        <v>0</v>
      </c>
    </row>
    <row r="90" spans="1:10" x14ac:dyDescent="0.25">
      <c r="B90" t="s">
        <v>269</v>
      </c>
      <c r="C90" t="s">
        <v>269</v>
      </c>
      <c r="D90" s="94">
        <v>0.84722222222222221</v>
      </c>
      <c r="E90" s="94">
        <v>0.42499999999999999</v>
      </c>
      <c r="F90">
        <v>9000</v>
      </c>
      <c r="G90">
        <v>0</v>
      </c>
      <c r="H90">
        <v>0</v>
      </c>
      <c r="I90" s="94">
        <v>0</v>
      </c>
      <c r="J90" s="94">
        <v>0</v>
      </c>
    </row>
    <row r="91" spans="1:10" x14ac:dyDescent="0.25">
      <c r="B91" t="s">
        <v>271</v>
      </c>
      <c r="C91" t="s">
        <v>271</v>
      </c>
      <c r="D91" s="94">
        <v>0.84722222222222221</v>
      </c>
      <c r="E91" s="94">
        <v>0.42499999999999999</v>
      </c>
      <c r="F91">
        <v>9000</v>
      </c>
      <c r="G91">
        <v>0</v>
      </c>
      <c r="H91">
        <v>0</v>
      </c>
      <c r="I91" s="94">
        <v>0</v>
      </c>
      <c r="J91" s="94">
        <v>0</v>
      </c>
    </row>
    <row r="92" spans="1:10" x14ac:dyDescent="0.25">
      <c r="B92" t="s">
        <v>272</v>
      </c>
      <c r="C92" t="s">
        <v>272</v>
      </c>
      <c r="D92" s="94">
        <v>0.84722222222222221</v>
      </c>
      <c r="E92" s="94">
        <v>0.42499999999999999</v>
      </c>
      <c r="F92">
        <v>9000</v>
      </c>
      <c r="G92">
        <v>0</v>
      </c>
      <c r="H92">
        <v>0</v>
      </c>
      <c r="I92" s="94">
        <v>0</v>
      </c>
      <c r="J92" s="94">
        <v>0</v>
      </c>
    </row>
    <row r="93" spans="1:10" x14ac:dyDescent="0.25">
      <c r="B93" t="s">
        <v>267</v>
      </c>
      <c r="C93" t="s">
        <v>268</v>
      </c>
      <c r="D93" s="94">
        <v>0.84722222222222221</v>
      </c>
      <c r="E93" s="94">
        <v>0.42499999999999999</v>
      </c>
      <c r="F93">
        <v>9000</v>
      </c>
      <c r="G93">
        <v>0</v>
      </c>
      <c r="H93">
        <v>0</v>
      </c>
      <c r="I93" s="94">
        <v>0</v>
      </c>
      <c r="J93" s="94">
        <v>0</v>
      </c>
    </row>
    <row r="94" spans="1:10" x14ac:dyDescent="0.25">
      <c r="B94" t="s">
        <v>134</v>
      </c>
      <c r="C94" t="s">
        <v>134</v>
      </c>
      <c r="D94" s="94">
        <v>0.84722222222222221</v>
      </c>
      <c r="E94" s="94">
        <v>0.42499999999999999</v>
      </c>
      <c r="F94">
        <v>9000</v>
      </c>
      <c r="G94">
        <v>0</v>
      </c>
      <c r="H94">
        <v>0</v>
      </c>
      <c r="I94" s="94">
        <v>0</v>
      </c>
      <c r="J94" s="94">
        <v>0</v>
      </c>
    </row>
    <row r="95" spans="1:10" x14ac:dyDescent="0.25">
      <c r="A95" t="s">
        <v>456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91"/>
  <sheetViews>
    <sheetView topLeftCell="G31" workbookViewId="0">
      <selection activeCell="N59" sqref="N59"/>
    </sheetView>
  </sheetViews>
  <sheetFormatPr defaultRowHeight="15" x14ac:dyDescent="0.25"/>
  <cols>
    <col min="1" max="1" width="5" bestFit="1" customWidth="1"/>
    <col min="2" max="2" width="13" bestFit="1" customWidth="1"/>
    <col min="3" max="3" width="9.7109375" bestFit="1" customWidth="1"/>
    <col min="4" max="4" width="14.140625" bestFit="1" customWidth="1"/>
    <col min="5" max="6" width="9.42578125" bestFit="1" customWidth="1"/>
    <col min="7" max="7" width="10" bestFit="1" customWidth="1"/>
    <col min="8" max="8" width="12.28515625" bestFit="1" customWidth="1"/>
    <col min="9" max="9" width="18.42578125" bestFit="1" customWidth="1"/>
    <col min="10" max="10" width="26.5703125" bestFit="1" customWidth="1"/>
    <col min="11" max="11" width="23.7109375" bestFit="1" customWidth="1"/>
    <col min="12" max="12" width="22" bestFit="1" customWidth="1"/>
    <col min="13" max="13" width="23" customWidth="1"/>
    <col min="14" max="14" width="20.5703125" bestFit="1" customWidth="1"/>
    <col min="15" max="15" width="12.42578125" bestFit="1" customWidth="1"/>
    <col min="16" max="16" width="16" bestFit="1" customWidth="1"/>
    <col min="17" max="17" width="13.5703125" bestFit="1" customWidth="1"/>
    <col min="18" max="18" width="20.7109375" bestFit="1" customWidth="1"/>
    <col min="19" max="22" width="11.7109375" bestFit="1" customWidth="1"/>
  </cols>
  <sheetData>
    <row r="1" spans="1:22" x14ac:dyDescent="0.25">
      <c r="A1" s="43" t="s">
        <v>22</v>
      </c>
      <c r="B1" s="43" t="s">
        <v>29</v>
      </c>
      <c r="C1" s="43" t="s">
        <v>360</v>
      </c>
      <c r="D1" s="43" t="s">
        <v>32</v>
      </c>
      <c r="E1" s="43" t="s">
        <v>361</v>
      </c>
      <c r="F1" s="43" t="s">
        <v>362</v>
      </c>
      <c r="G1" s="43" t="s">
        <v>363</v>
      </c>
      <c r="H1" s="43" t="s">
        <v>364</v>
      </c>
      <c r="I1" s="43" t="s">
        <v>385</v>
      </c>
      <c r="J1" s="43" t="s">
        <v>386</v>
      </c>
      <c r="K1" s="43" t="s">
        <v>383</v>
      </c>
      <c r="L1" s="43" t="s">
        <v>387</v>
      </c>
      <c r="M1" s="43" t="s">
        <v>388</v>
      </c>
      <c r="N1" s="43" t="s">
        <v>389</v>
      </c>
      <c r="O1" s="43" t="s">
        <v>457</v>
      </c>
      <c r="P1" s="43" t="s">
        <v>458</v>
      </c>
      <c r="Q1" s="43" t="s">
        <v>459</v>
      </c>
      <c r="R1" s="43" t="s">
        <v>460</v>
      </c>
      <c r="S1" s="43" t="s">
        <v>461</v>
      </c>
      <c r="T1" s="43" t="s">
        <v>462</v>
      </c>
      <c r="U1" s="43" t="s">
        <v>463</v>
      </c>
      <c r="V1" s="43" t="s">
        <v>464</v>
      </c>
    </row>
    <row r="2" spans="1:22" x14ac:dyDescent="0.25">
      <c r="A2" s="43">
        <v>181</v>
      </c>
      <c r="B2" s="43">
        <v>20</v>
      </c>
      <c r="C2" s="43">
        <v>28</v>
      </c>
      <c r="D2" s="43">
        <v>1</v>
      </c>
      <c r="E2" s="94">
        <v>0.84722222222222221</v>
      </c>
      <c r="F2" s="94">
        <v>0.42499999999999999</v>
      </c>
      <c r="G2" s="43" t="s">
        <v>339</v>
      </c>
      <c r="H2" s="43">
        <v>9000</v>
      </c>
      <c r="I2" s="43" t="s">
        <v>169</v>
      </c>
      <c r="J2" s="43">
        <v>1</v>
      </c>
      <c r="K2" s="43" t="s">
        <v>268</v>
      </c>
      <c r="L2" s="43" t="s">
        <v>267</v>
      </c>
      <c r="M2" s="43">
        <v>3</v>
      </c>
      <c r="N2" s="43" t="s">
        <v>220</v>
      </c>
      <c r="O2" s="43">
        <v>0</v>
      </c>
      <c r="P2" s="43">
        <v>0</v>
      </c>
      <c r="Q2" s="94">
        <v>0</v>
      </c>
      <c r="R2" s="43">
        <v>0</v>
      </c>
      <c r="S2" s="43"/>
      <c r="T2" s="43"/>
      <c r="U2" s="94"/>
      <c r="V2" s="94"/>
    </row>
    <row r="3" spans="1:22" x14ac:dyDescent="0.25">
      <c r="A3" s="43">
        <v>191</v>
      </c>
      <c r="B3" s="43">
        <v>20</v>
      </c>
      <c r="C3" s="43">
        <v>10</v>
      </c>
      <c r="D3" s="43">
        <v>1</v>
      </c>
      <c r="E3" s="94">
        <v>0.84722222222222221</v>
      </c>
      <c r="F3" s="94">
        <v>0.42499999999999999</v>
      </c>
      <c r="G3" s="43" t="s">
        <v>339</v>
      </c>
      <c r="H3" s="43">
        <v>9000</v>
      </c>
      <c r="I3" s="43" t="s">
        <v>168</v>
      </c>
      <c r="J3" s="43">
        <v>1</v>
      </c>
      <c r="K3" s="43" t="s">
        <v>268</v>
      </c>
      <c r="L3" s="43" t="s">
        <v>267</v>
      </c>
      <c r="M3" s="43">
        <v>3</v>
      </c>
      <c r="N3" s="43" t="s">
        <v>220</v>
      </c>
      <c r="O3" s="43">
        <v>0</v>
      </c>
      <c r="P3" s="43">
        <v>0</v>
      </c>
      <c r="Q3" s="94">
        <v>0</v>
      </c>
      <c r="R3" s="43">
        <v>0</v>
      </c>
      <c r="S3" s="43"/>
      <c r="T3" s="43"/>
      <c r="U3" s="94"/>
      <c r="V3" s="94"/>
    </row>
    <row r="4" spans="1:22" x14ac:dyDescent="0.25">
      <c r="A4" s="43">
        <v>201</v>
      </c>
      <c r="B4" s="43">
        <v>20</v>
      </c>
      <c r="C4" s="43">
        <v>9</v>
      </c>
      <c r="D4" s="43">
        <v>1</v>
      </c>
      <c r="E4" s="94">
        <v>0.84722222222222221</v>
      </c>
      <c r="F4" s="94">
        <v>0.42499999999999999</v>
      </c>
      <c r="G4" s="43" t="s">
        <v>339</v>
      </c>
      <c r="H4" s="43">
        <v>9000</v>
      </c>
      <c r="I4" s="43" t="s">
        <v>167</v>
      </c>
      <c r="J4" s="43">
        <v>1</v>
      </c>
      <c r="K4" s="43" t="s">
        <v>268</v>
      </c>
      <c r="L4" s="43" t="s">
        <v>267</v>
      </c>
      <c r="M4" s="43">
        <v>3</v>
      </c>
      <c r="N4" s="43" t="s">
        <v>220</v>
      </c>
      <c r="O4" s="43">
        <v>0</v>
      </c>
      <c r="P4" s="43">
        <v>0</v>
      </c>
      <c r="Q4" s="94">
        <v>0</v>
      </c>
      <c r="R4" s="43">
        <v>0</v>
      </c>
      <c r="S4" s="43"/>
      <c r="T4" s="43"/>
      <c r="U4" s="94"/>
      <c r="V4" s="94"/>
    </row>
    <row r="5" spans="1:22" x14ac:dyDescent="0.25">
      <c r="A5" s="43">
        <v>211</v>
      </c>
      <c r="B5" s="43">
        <v>20</v>
      </c>
      <c r="C5" s="43">
        <v>8</v>
      </c>
      <c r="D5" s="43">
        <v>1</v>
      </c>
      <c r="E5" s="94">
        <v>0.84722222222222221</v>
      </c>
      <c r="F5" s="94">
        <v>0.42499999999999999</v>
      </c>
      <c r="G5" s="43" t="s">
        <v>339</v>
      </c>
      <c r="H5" s="43">
        <v>9000</v>
      </c>
      <c r="I5" s="43" t="s">
        <v>166</v>
      </c>
      <c r="J5" s="43">
        <v>1</v>
      </c>
      <c r="K5" s="43" t="s">
        <v>268</v>
      </c>
      <c r="L5" s="43" t="s">
        <v>267</v>
      </c>
      <c r="M5" s="43">
        <v>3</v>
      </c>
      <c r="N5" s="43" t="s">
        <v>220</v>
      </c>
      <c r="O5" s="43">
        <v>0</v>
      </c>
      <c r="P5" s="43">
        <v>0</v>
      </c>
      <c r="Q5" s="94">
        <v>0</v>
      </c>
      <c r="R5" s="43">
        <v>0</v>
      </c>
      <c r="S5" s="43"/>
      <c r="T5" s="43"/>
      <c r="U5" s="94"/>
      <c r="V5" s="94"/>
    </row>
    <row r="6" spans="1:22" x14ac:dyDescent="0.25">
      <c r="A6" s="43">
        <v>221</v>
      </c>
      <c r="B6" s="43">
        <v>20</v>
      </c>
      <c r="C6" s="43">
        <v>6</v>
      </c>
      <c r="D6" s="43">
        <v>1</v>
      </c>
      <c r="E6" s="94">
        <v>0.84722222222222221</v>
      </c>
      <c r="F6" s="94">
        <v>0.42499999999999999</v>
      </c>
      <c r="G6" s="43" t="s">
        <v>339</v>
      </c>
      <c r="H6" s="43">
        <v>9000</v>
      </c>
      <c r="I6" s="43" t="s">
        <v>165</v>
      </c>
      <c r="J6" s="43">
        <v>1</v>
      </c>
      <c r="K6" s="43" t="s">
        <v>268</v>
      </c>
      <c r="L6" s="43" t="s">
        <v>267</v>
      </c>
      <c r="M6" s="43">
        <v>3</v>
      </c>
      <c r="N6" s="43" t="s">
        <v>220</v>
      </c>
      <c r="O6" s="43">
        <v>0</v>
      </c>
      <c r="P6" s="43">
        <v>0</v>
      </c>
      <c r="Q6" s="94">
        <v>0</v>
      </c>
      <c r="R6" s="43">
        <v>0</v>
      </c>
      <c r="S6" s="43"/>
      <c r="T6" s="43"/>
      <c r="U6" s="94"/>
      <c r="V6" s="94"/>
    </row>
    <row r="7" spans="1:22" x14ac:dyDescent="0.25">
      <c r="A7" s="43">
        <v>182</v>
      </c>
      <c r="B7" s="43">
        <v>20</v>
      </c>
      <c r="C7" s="43">
        <v>28</v>
      </c>
      <c r="D7" s="43">
        <v>2</v>
      </c>
      <c r="E7" s="94">
        <v>0.84722222222222221</v>
      </c>
      <c r="F7" s="94">
        <v>0.42499999999999999</v>
      </c>
      <c r="G7" s="43" t="s">
        <v>339</v>
      </c>
      <c r="H7" s="43">
        <v>9000</v>
      </c>
      <c r="I7" s="43" t="s">
        <v>169</v>
      </c>
      <c r="J7" s="43">
        <v>2</v>
      </c>
      <c r="K7" s="43" t="s">
        <v>269</v>
      </c>
      <c r="L7" s="43" t="s">
        <v>269</v>
      </c>
      <c r="M7" s="43">
        <v>3</v>
      </c>
      <c r="N7" s="43" t="s">
        <v>220</v>
      </c>
      <c r="O7" s="43">
        <v>0</v>
      </c>
      <c r="P7" s="43">
        <v>0</v>
      </c>
      <c r="Q7" s="94">
        <v>0</v>
      </c>
      <c r="R7" s="43">
        <v>0</v>
      </c>
      <c r="S7" s="43"/>
      <c r="T7" s="43"/>
      <c r="U7" s="94"/>
      <c r="V7" s="94"/>
    </row>
    <row r="8" spans="1:22" x14ac:dyDescent="0.25">
      <c r="A8" s="43">
        <v>192</v>
      </c>
      <c r="B8" s="43">
        <v>20</v>
      </c>
      <c r="C8" s="43">
        <v>10</v>
      </c>
      <c r="D8" s="43">
        <v>2</v>
      </c>
      <c r="E8" s="94">
        <v>0.84722222222222221</v>
      </c>
      <c r="F8" s="94">
        <v>0.42499999999999999</v>
      </c>
      <c r="G8" s="43" t="s">
        <v>339</v>
      </c>
      <c r="H8" s="43">
        <v>9000</v>
      </c>
      <c r="I8" s="43" t="s">
        <v>168</v>
      </c>
      <c r="J8" s="43">
        <v>2</v>
      </c>
      <c r="K8" s="43" t="s">
        <v>269</v>
      </c>
      <c r="L8" s="43" t="s">
        <v>269</v>
      </c>
      <c r="M8" s="43">
        <v>3</v>
      </c>
      <c r="N8" s="43" t="s">
        <v>220</v>
      </c>
      <c r="O8" s="43">
        <v>0</v>
      </c>
      <c r="P8" s="43">
        <v>0</v>
      </c>
      <c r="Q8" s="94">
        <v>0</v>
      </c>
      <c r="R8" s="43">
        <v>0</v>
      </c>
      <c r="S8" s="43"/>
      <c r="T8" s="43"/>
      <c r="U8" s="94"/>
      <c r="V8" s="94"/>
    </row>
    <row r="9" spans="1:22" x14ac:dyDescent="0.25">
      <c r="A9" s="43">
        <v>202</v>
      </c>
      <c r="B9" s="43">
        <v>20</v>
      </c>
      <c r="C9" s="43">
        <v>9</v>
      </c>
      <c r="D9" s="43">
        <v>2</v>
      </c>
      <c r="E9" s="94">
        <v>0.84722222222222221</v>
      </c>
      <c r="F9" s="94">
        <v>0.42499999999999999</v>
      </c>
      <c r="G9" s="43" t="s">
        <v>339</v>
      </c>
      <c r="H9" s="43">
        <v>9000</v>
      </c>
      <c r="I9" s="43" t="s">
        <v>167</v>
      </c>
      <c r="J9" s="43">
        <v>2</v>
      </c>
      <c r="K9" s="43" t="s">
        <v>269</v>
      </c>
      <c r="L9" s="43" t="s">
        <v>269</v>
      </c>
      <c r="M9" s="43">
        <v>3</v>
      </c>
      <c r="N9" s="43" t="s">
        <v>220</v>
      </c>
      <c r="O9" s="43">
        <v>0</v>
      </c>
      <c r="P9" s="43">
        <v>0</v>
      </c>
      <c r="Q9" s="94">
        <v>0</v>
      </c>
      <c r="R9" s="43">
        <v>0</v>
      </c>
      <c r="S9" s="43"/>
      <c r="T9" s="43"/>
      <c r="U9" s="94"/>
      <c r="V9" s="94"/>
    </row>
    <row r="10" spans="1:22" x14ac:dyDescent="0.25">
      <c r="A10" s="43">
        <v>212</v>
      </c>
      <c r="B10" s="43">
        <v>20</v>
      </c>
      <c r="C10" s="43">
        <v>8</v>
      </c>
      <c r="D10" s="43">
        <v>2</v>
      </c>
      <c r="E10" s="94">
        <v>0.84722222222222221</v>
      </c>
      <c r="F10" s="94">
        <v>0.42499999999999999</v>
      </c>
      <c r="G10" s="43" t="s">
        <v>339</v>
      </c>
      <c r="H10" s="43">
        <v>9000</v>
      </c>
      <c r="I10" s="43" t="s">
        <v>166</v>
      </c>
      <c r="J10" s="43">
        <v>2</v>
      </c>
      <c r="K10" s="43" t="s">
        <v>269</v>
      </c>
      <c r="L10" s="43" t="s">
        <v>269</v>
      </c>
      <c r="M10" s="43">
        <v>3</v>
      </c>
      <c r="N10" s="43" t="s">
        <v>220</v>
      </c>
      <c r="O10" s="43">
        <v>0</v>
      </c>
      <c r="P10" s="43">
        <v>0</v>
      </c>
      <c r="Q10" s="94">
        <v>0</v>
      </c>
      <c r="R10" s="43">
        <v>0</v>
      </c>
      <c r="S10" s="43"/>
      <c r="T10" s="43"/>
      <c r="U10" s="94"/>
      <c r="V10" s="94"/>
    </row>
    <row r="11" spans="1:22" x14ac:dyDescent="0.25">
      <c r="A11" s="43">
        <v>222</v>
      </c>
      <c r="B11" s="43">
        <v>20</v>
      </c>
      <c r="C11" s="43">
        <v>6</v>
      </c>
      <c r="D11" s="43">
        <v>2</v>
      </c>
      <c r="E11" s="94">
        <v>0.84722222222222221</v>
      </c>
      <c r="F11" s="94">
        <v>0.42499999999999999</v>
      </c>
      <c r="G11" s="43" t="s">
        <v>339</v>
      </c>
      <c r="H11" s="43">
        <v>9000</v>
      </c>
      <c r="I11" s="43" t="s">
        <v>165</v>
      </c>
      <c r="J11" s="43">
        <v>2</v>
      </c>
      <c r="K11" s="43" t="s">
        <v>269</v>
      </c>
      <c r="L11" s="43" t="s">
        <v>269</v>
      </c>
      <c r="M11" s="43">
        <v>3</v>
      </c>
      <c r="N11" s="43" t="s">
        <v>220</v>
      </c>
      <c r="O11" s="43">
        <v>0</v>
      </c>
      <c r="P11" s="43">
        <v>0</v>
      </c>
      <c r="Q11" s="94">
        <v>0</v>
      </c>
      <c r="R11" s="43">
        <v>0</v>
      </c>
      <c r="S11" s="43"/>
      <c r="T11" s="43"/>
      <c r="U11" s="94"/>
      <c r="V11" s="94"/>
    </row>
    <row r="12" spans="1:22" x14ac:dyDescent="0.25">
      <c r="A12" s="43">
        <v>183</v>
      </c>
      <c r="B12" s="43">
        <v>20</v>
      </c>
      <c r="C12" s="43">
        <v>28</v>
      </c>
      <c r="D12" s="43">
        <v>3</v>
      </c>
      <c r="E12" s="94">
        <v>0.84722222222222221</v>
      </c>
      <c r="F12" s="94">
        <v>0.42499999999999999</v>
      </c>
      <c r="G12" s="43" t="s">
        <v>339</v>
      </c>
      <c r="H12" s="43">
        <v>9000</v>
      </c>
      <c r="I12" s="43" t="s">
        <v>169</v>
      </c>
      <c r="J12" s="43">
        <v>6</v>
      </c>
      <c r="K12" s="43" t="s">
        <v>274</v>
      </c>
      <c r="L12" s="43" t="s">
        <v>273</v>
      </c>
      <c r="M12" s="43">
        <v>3</v>
      </c>
      <c r="N12" s="43" t="s">
        <v>220</v>
      </c>
      <c r="O12" s="43">
        <v>0</v>
      </c>
      <c r="P12" s="43">
        <v>0</v>
      </c>
      <c r="Q12" s="94">
        <v>0</v>
      </c>
      <c r="R12" s="43">
        <v>0</v>
      </c>
      <c r="S12" s="43"/>
      <c r="T12" s="43"/>
      <c r="U12" s="94"/>
      <c r="V12" s="94"/>
    </row>
    <row r="13" spans="1:22" x14ac:dyDescent="0.25">
      <c r="A13" s="43">
        <v>193</v>
      </c>
      <c r="B13" s="43">
        <v>20</v>
      </c>
      <c r="C13" s="43">
        <v>10</v>
      </c>
      <c r="D13" s="43">
        <v>3</v>
      </c>
      <c r="E13" s="94">
        <v>0.84722222222222221</v>
      </c>
      <c r="F13" s="94">
        <v>0.42499999999999999</v>
      </c>
      <c r="G13" s="43" t="s">
        <v>339</v>
      </c>
      <c r="H13" s="43">
        <v>9000</v>
      </c>
      <c r="I13" s="43" t="s">
        <v>168</v>
      </c>
      <c r="J13" s="43">
        <v>6</v>
      </c>
      <c r="K13" s="43" t="s">
        <v>274</v>
      </c>
      <c r="L13" s="43" t="s">
        <v>273</v>
      </c>
      <c r="M13" s="43">
        <v>3</v>
      </c>
      <c r="N13" s="43" t="s">
        <v>220</v>
      </c>
      <c r="O13" s="43">
        <v>0</v>
      </c>
      <c r="P13" s="43">
        <v>0</v>
      </c>
      <c r="Q13" s="94">
        <v>0</v>
      </c>
      <c r="R13" s="43">
        <v>0</v>
      </c>
      <c r="S13" s="43"/>
      <c r="T13" s="43"/>
      <c r="U13" s="94"/>
      <c r="V13" s="94"/>
    </row>
    <row r="14" spans="1:22" x14ac:dyDescent="0.25">
      <c r="A14" s="43">
        <v>203</v>
      </c>
      <c r="B14" s="43">
        <v>20</v>
      </c>
      <c r="C14" s="43">
        <v>9</v>
      </c>
      <c r="D14" s="43">
        <v>3</v>
      </c>
      <c r="E14" s="94">
        <v>0.84722222222222221</v>
      </c>
      <c r="F14" s="94">
        <v>0.42499999999999999</v>
      </c>
      <c r="G14" s="43" t="s">
        <v>339</v>
      </c>
      <c r="H14" s="43">
        <v>9000</v>
      </c>
      <c r="I14" s="43" t="s">
        <v>167</v>
      </c>
      <c r="J14" s="43">
        <v>6</v>
      </c>
      <c r="K14" s="43" t="s">
        <v>274</v>
      </c>
      <c r="L14" s="43" t="s">
        <v>273</v>
      </c>
      <c r="M14" s="43">
        <v>3</v>
      </c>
      <c r="N14" s="43" t="s">
        <v>220</v>
      </c>
      <c r="O14" s="43">
        <v>0</v>
      </c>
      <c r="P14" s="43">
        <v>0</v>
      </c>
      <c r="Q14" s="94">
        <v>0</v>
      </c>
      <c r="R14" s="43">
        <v>0</v>
      </c>
      <c r="S14" s="43"/>
      <c r="T14" s="43"/>
      <c r="U14" s="94"/>
      <c r="V14" s="94"/>
    </row>
    <row r="15" spans="1:22" x14ac:dyDescent="0.25">
      <c r="A15" s="43">
        <v>213</v>
      </c>
      <c r="B15" s="43">
        <v>20</v>
      </c>
      <c r="C15" s="43">
        <v>8</v>
      </c>
      <c r="D15" s="43">
        <v>3</v>
      </c>
      <c r="E15" s="94">
        <v>0.84722222222222221</v>
      </c>
      <c r="F15" s="94">
        <v>0.42499999999999999</v>
      </c>
      <c r="G15" s="43" t="s">
        <v>339</v>
      </c>
      <c r="H15" s="43">
        <v>9000</v>
      </c>
      <c r="I15" s="43" t="s">
        <v>166</v>
      </c>
      <c r="J15" s="43">
        <v>6</v>
      </c>
      <c r="K15" s="43" t="s">
        <v>274</v>
      </c>
      <c r="L15" s="43" t="s">
        <v>273</v>
      </c>
      <c r="M15" s="43">
        <v>3</v>
      </c>
      <c r="N15" s="43" t="s">
        <v>220</v>
      </c>
      <c r="O15" s="43">
        <v>0</v>
      </c>
      <c r="P15" s="43">
        <v>0</v>
      </c>
      <c r="Q15" s="94">
        <v>0</v>
      </c>
      <c r="R15" s="43">
        <v>0</v>
      </c>
      <c r="S15" s="43"/>
      <c r="T15" s="43"/>
      <c r="U15" s="94"/>
      <c r="V15" s="94"/>
    </row>
    <row r="16" spans="1:22" x14ac:dyDescent="0.25">
      <c r="A16" s="43">
        <v>223</v>
      </c>
      <c r="B16" s="43">
        <v>20</v>
      </c>
      <c r="C16" s="43">
        <v>6</v>
      </c>
      <c r="D16" s="43">
        <v>3</v>
      </c>
      <c r="E16" s="94">
        <v>0.84722222222222221</v>
      </c>
      <c r="F16" s="94">
        <v>0.42499999999999999</v>
      </c>
      <c r="G16" s="43" t="s">
        <v>339</v>
      </c>
      <c r="H16" s="43">
        <v>9000</v>
      </c>
      <c r="I16" s="43" t="s">
        <v>165</v>
      </c>
      <c r="J16" s="43">
        <v>6</v>
      </c>
      <c r="K16" s="43" t="s">
        <v>274</v>
      </c>
      <c r="L16" s="43" t="s">
        <v>273</v>
      </c>
      <c r="M16" s="43">
        <v>3</v>
      </c>
      <c r="N16" s="43" t="s">
        <v>220</v>
      </c>
      <c r="O16" s="43">
        <v>0</v>
      </c>
      <c r="P16" s="43">
        <v>0</v>
      </c>
      <c r="Q16" s="94">
        <v>0</v>
      </c>
      <c r="R16" s="43">
        <v>0</v>
      </c>
      <c r="S16" s="43"/>
      <c r="T16" s="43"/>
      <c r="U16" s="94"/>
      <c r="V16" s="94"/>
    </row>
    <row r="17" spans="1:22" x14ac:dyDescent="0.25">
      <c r="A17" s="43">
        <v>184</v>
      </c>
      <c r="B17" s="43">
        <v>20</v>
      </c>
      <c r="C17" s="43">
        <v>28</v>
      </c>
      <c r="D17" s="43">
        <v>4</v>
      </c>
      <c r="E17" s="94">
        <v>0.84722222222222221</v>
      </c>
      <c r="F17" s="94">
        <v>0.42499999999999999</v>
      </c>
      <c r="G17" s="43" t="s">
        <v>339</v>
      </c>
      <c r="H17" s="43">
        <v>9000</v>
      </c>
      <c r="I17" s="43" t="s">
        <v>169</v>
      </c>
      <c r="J17" s="43">
        <v>6</v>
      </c>
      <c r="K17" s="43" t="s">
        <v>277</v>
      </c>
      <c r="L17" s="43" t="s">
        <v>273</v>
      </c>
      <c r="M17" s="43">
        <v>3</v>
      </c>
      <c r="N17" s="43" t="s">
        <v>220</v>
      </c>
      <c r="O17" s="43">
        <v>0</v>
      </c>
      <c r="P17" s="43">
        <v>0</v>
      </c>
      <c r="Q17" s="94">
        <v>0</v>
      </c>
      <c r="R17" s="43">
        <v>0</v>
      </c>
      <c r="S17" s="43"/>
      <c r="T17" s="43"/>
      <c r="U17" s="94"/>
      <c r="V17" s="94"/>
    </row>
    <row r="18" spans="1:22" x14ac:dyDescent="0.25">
      <c r="A18" s="43">
        <v>194</v>
      </c>
      <c r="B18" s="43">
        <v>20</v>
      </c>
      <c r="C18" s="43">
        <v>10</v>
      </c>
      <c r="D18" s="43">
        <v>4</v>
      </c>
      <c r="E18" s="94">
        <v>0.84722222222222221</v>
      </c>
      <c r="F18" s="94">
        <v>0.42499999999999999</v>
      </c>
      <c r="G18" s="43" t="s">
        <v>339</v>
      </c>
      <c r="H18" s="43">
        <v>9000</v>
      </c>
      <c r="I18" s="43" t="s">
        <v>168</v>
      </c>
      <c r="J18" s="43">
        <v>6</v>
      </c>
      <c r="K18" s="43" t="s">
        <v>277</v>
      </c>
      <c r="L18" s="43" t="s">
        <v>273</v>
      </c>
      <c r="M18" s="43">
        <v>3</v>
      </c>
      <c r="N18" s="43" t="s">
        <v>220</v>
      </c>
      <c r="O18" s="43">
        <v>0</v>
      </c>
      <c r="P18" s="43">
        <v>0</v>
      </c>
      <c r="Q18" s="94">
        <v>0</v>
      </c>
      <c r="R18" s="43">
        <v>0</v>
      </c>
      <c r="S18" s="43"/>
      <c r="T18" s="43"/>
      <c r="U18" s="94"/>
      <c r="V18" s="94"/>
    </row>
    <row r="19" spans="1:22" x14ac:dyDescent="0.25">
      <c r="A19" s="43">
        <v>204</v>
      </c>
      <c r="B19" s="43">
        <v>20</v>
      </c>
      <c r="C19" s="43">
        <v>9</v>
      </c>
      <c r="D19" s="43">
        <v>4</v>
      </c>
      <c r="E19" s="94">
        <v>0.84722222222222221</v>
      </c>
      <c r="F19" s="94">
        <v>0.42499999999999999</v>
      </c>
      <c r="G19" s="43" t="s">
        <v>339</v>
      </c>
      <c r="H19" s="43">
        <v>9000</v>
      </c>
      <c r="I19" s="43" t="s">
        <v>167</v>
      </c>
      <c r="J19" s="43">
        <v>6</v>
      </c>
      <c r="K19" s="43" t="s">
        <v>277</v>
      </c>
      <c r="L19" s="43" t="s">
        <v>273</v>
      </c>
      <c r="M19" s="43">
        <v>3</v>
      </c>
      <c r="N19" s="43" t="s">
        <v>220</v>
      </c>
      <c r="O19" s="43">
        <v>0</v>
      </c>
      <c r="P19" s="43">
        <v>0</v>
      </c>
      <c r="Q19" s="94">
        <v>0</v>
      </c>
      <c r="R19" s="43">
        <v>0</v>
      </c>
      <c r="S19" s="43"/>
      <c r="T19" s="43"/>
      <c r="U19" s="94"/>
      <c r="V19" s="94"/>
    </row>
    <row r="20" spans="1:22" x14ac:dyDescent="0.25">
      <c r="A20" s="43">
        <v>214</v>
      </c>
      <c r="B20" s="43">
        <v>20</v>
      </c>
      <c r="C20" s="43">
        <v>8</v>
      </c>
      <c r="D20" s="43">
        <v>4</v>
      </c>
      <c r="E20" s="94">
        <v>0.84722222222222221</v>
      </c>
      <c r="F20" s="94">
        <v>0.42499999999999999</v>
      </c>
      <c r="G20" s="43" t="s">
        <v>339</v>
      </c>
      <c r="H20" s="43">
        <v>9000</v>
      </c>
      <c r="I20" s="43" t="s">
        <v>166</v>
      </c>
      <c r="J20" s="43">
        <v>6</v>
      </c>
      <c r="K20" s="43" t="s">
        <v>277</v>
      </c>
      <c r="L20" s="43" t="s">
        <v>273</v>
      </c>
      <c r="M20" s="43">
        <v>3</v>
      </c>
      <c r="N20" s="43" t="s">
        <v>220</v>
      </c>
      <c r="O20" s="43">
        <v>0</v>
      </c>
      <c r="P20" s="43">
        <v>0</v>
      </c>
      <c r="Q20" s="94">
        <v>0</v>
      </c>
      <c r="R20" s="43">
        <v>0</v>
      </c>
      <c r="S20" s="43"/>
      <c r="T20" s="43"/>
      <c r="U20" s="94"/>
      <c r="V20" s="94"/>
    </row>
    <row r="21" spans="1:22" x14ac:dyDescent="0.25">
      <c r="A21" s="43">
        <v>224</v>
      </c>
      <c r="B21" s="43">
        <v>20</v>
      </c>
      <c r="C21" s="43">
        <v>6</v>
      </c>
      <c r="D21" s="43">
        <v>4</v>
      </c>
      <c r="E21" s="94">
        <v>0.84722222222222221</v>
      </c>
      <c r="F21" s="94">
        <v>0.42499999999999999</v>
      </c>
      <c r="G21" s="43" t="s">
        <v>339</v>
      </c>
      <c r="H21" s="43">
        <v>9000</v>
      </c>
      <c r="I21" s="43" t="s">
        <v>165</v>
      </c>
      <c r="J21" s="43">
        <v>6</v>
      </c>
      <c r="K21" s="43" t="s">
        <v>277</v>
      </c>
      <c r="L21" s="43" t="s">
        <v>273</v>
      </c>
      <c r="M21" s="43">
        <v>3</v>
      </c>
      <c r="N21" s="43" t="s">
        <v>220</v>
      </c>
      <c r="O21" s="43">
        <v>0</v>
      </c>
      <c r="P21" s="43">
        <v>0</v>
      </c>
      <c r="Q21" s="94">
        <v>0</v>
      </c>
      <c r="R21" s="43">
        <v>0</v>
      </c>
      <c r="S21" s="43"/>
      <c r="T21" s="43"/>
      <c r="U21" s="94"/>
      <c r="V21" s="94"/>
    </row>
    <row r="22" spans="1:22" x14ac:dyDescent="0.25">
      <c r="A22" s="43">
        <v>185</v>
      </c>
      <c r="B22" s="43">
        <v>20</v>
      </c>
      <c r="C22" s="43">
        <v>28</v>
      </c>
      <c r="D22" s="43">
        <v>5</v>
      </c>
      <c r="E22" s="94">
        <v>0.84722222222222221</v>
      </c>
      <c r="F22" s="94">
        <v>0.42499999999999999</v>
      </c>
      <c r="G22" s="43" t="s">
        <v>339</v>
      </c>
      <c r="H22" s="43">
        <v>9000</v>
      </c>
      <c r="I22" s="43" t="s">
        <v>169</v>
      </c>
      <c r="J22" s="43">
        <v>9</v>
      </c>
      <c r="K22" s="43" t="s">
        <v>275</v>
      </c>
      <c r="L22" s="43" t="s">
        <v>270</v>
      </c>
      <c r="M22" s="43">
        <v>3</v>
      </c>
      <c r="N22" s="43" t="s">
        <v>220</v>
      </c>
      <c r="O22" s="43">
        <v>0</v>
      </c>
      <c r="P22" s="43">
        <v>0</v>
      </c>
      <c r="Q22" s="94">
        <v>0</v>
      </c>
      <c r="R22" s="43">
        <v>0</v>
      </c>
      <c r="S22" s="43"/>
      <c r="T22" s="43"/>
      <c r="U22" s="94"/>
      <c r="V22" s="94"/>
    </row>
    <row r="23" spans="1:22" x14ac:dyDescent="0.25">
      <c r="A23" s="43">
        <v>195</v>
      </c>
      <c r="B23" s="43">
        <v>20</v>
      </c>
      <c r="C23" s="43">
        <v>10</v>
      </c>
      <c r="D23" s="43">
        <v>5</v>
      </c>
      <c r="E23" s="94">
        <v>0.84722222222222221</v>
      </c>
      <c r="F23" s="94">
        <v>0.42499999999999999</v>
      </c>
      <c r="G23" s="43" t="s">
        <v>339</v>
      </c>
      <c r="H23" s="43">
        <v>9000</v>
      </c>
      <c r="I23" s="43" t="s">
        <v>168</v>
      </c>
      <c r="J23" s="43">
        <v>9</v>
      </c>
      <c r="K23" s="43" t="s">
        <v>275</v>
      </c>
      <c r="L23" s="43" t="s">
        <v>270</v>
      </c>
      <c r="M23" s="43">
        <v>3</v>
      </c>
      <c r="N23" s="43" t="s">
        <v>220</v>
      </c>
      <c r="O23" s="43">
        <v>0</v>
      </c>
      <c r="P23" s="43">
        <v>0</v>
      </c>
      <c r="Q23" s="94">
        <v>0</v>
      </c>
      <c r="R23" s="43">
        <v>0</v>
      </c>
      <c r="S23" s="43"/>
      <c r="T23" s="43"/>
      <c r="U23" s="94"/>
      <c r="V23" s="94"/>
    </row>
    <row r="24" spans="1:22" x14ac:dyDescent="0.25">
      <c r="A24" s="43">
        <v>205</v>
      </c>
      <c r="B24" s="43">
        <v>20</v>
      </c>
      <c r="C24" s="43">
        <v>9</v>
      </c>
      <c r="D24" s="43">
        <v>5</v>
      </c>
      <c r="E24" s="94">
        <v>0.84722222222222221</v>
      </c>
      <c r="F24" s="94">
        <v>0.42499999999999999</v>
      </c>
      <c r="G24" s="43" t="s">
        <v>339</v>
      </c>
      <c r="H24" s="43">
        <v>9000</v>
      </c>
      <c r="I24" s="43" t="s">
        <v>167</v>
      </c>
      <c r="J24" s="43">
        <v>9</v>
      </c>
      <c r="K24" s="43" t="s">
        <v>275</v>
      </c>
      <c r="L24" s="43" t="s">
        <v>270</v>
      </c>
      <c r="M24" s="43">
        <v>3</v>
      </c>
      <c r="N24" s="43" t="s">
        <v>220</v>
      </c>
      <c r="O24" s="43">
        <v>0</v>
      </c>
      <c r="P24" s="43">
        <v>0</v>
      </c>
      <c r="Q24" s="94">
        <v>0</v>
      </c>
      <c r="R24" s="43">
        <v>0</v>
      </c>
      <c r="S24" s="43"/>
      <c r="T24" s="43"/>
      <c r="U24" s="94"/>
      <c r="V24" s="94"/>
    </row>
    <row r="25" spans="1:22" x14ac:dyDescent="0.25">
      <c r="A25" s="43">
        <v>215</v>
      </c>
      <c r="B25" s="43">
        <v>20</v>
      </c>
      <c r="C25" s="43">
        <v>8</v>
      </c>
      <c r="D25" s="43">
        <v>5</v>
      </c>
      <c r="E25" s="94">
        <v>0.84722222222222221</v>
      </c>
      <c r="F25" s="94">
        <v>0.42499999999999999</v>
      </c>
      <c r="G25" s="43" t="s">
        <v>339</v>
      </c>
      <c r="H25" s="43">
        <v>9000</v>
      </c>
      <c r="I25" s="43" t="s">
        <v>166</v>
      </c>
      <c r="J25" s="43">
        <v>9</v>
      </c>
      <c r="K25" s="43" t="s">
        <v>275</v>
      </c>
      <c r="L25" s="43" t="s">
        <v>270</v>
      </c>
      <c r="M25" s="43">
        <v>3</v>
      </c>
      <c r="N25" s="43" t="s">
        <v>220</v>
      </c>
      <c r="O25" s="43">
        <v>0</v>
      </c>
      <c r="P25" s="43">
        <v>0</v>
      </c>
      <c r="Q25" s="94">
        <v>0</v>
      </c>
      <c r="R25" s="43">
        <v>0</v>
      </c>
      <c r="S25" s="43"/>
      <c r="T25" s="43"/>
      <c r="U25" s="94"/>
      <c r="V25" s="94"/>
    </row>
    <row r="26" spans="1:22" x14ac:dyDescent="0.25">
      <c r="A26" s="43">
        <v>225</v>
      </c>
      <c r="B26" s="43">
        <v>20</v>
      </c>
      <c r="C26" s="43">
        <v>6</v>
      </c>
      <c r="D26" s="43">
        <v>5</v>
      </c>
      <c r="E26" s="94">
        <v>0.84722222222222221</v>
      </c>
      <c r="F26" s="94">
        <v>0.42499999999999999</v>
      </c>
      <c r="G26" s="43" t="s">
        <v>339</v>
      </c>
      <c r="H26" s="43">
        <v>9000</v>
      </c>
      <c r="I26" s="43" t="s">
        <v>165</v>
      </c>
      <c r="J26" s="43">
        <v>9</v>
      </c>
      <c r="K26" s="43" t="s">
        <v>275</v>
      </c>
      <c r="L26" s="43" t="s">
        <v>270</v>
      </c>
      <c r="M26" s="43">
        <v>3</v>
      </c>
      <c r="N26" s="43" t="s">
        <v>220</v>
      </c>
      <c r="O26" s="43">
        <v>0</v>
      </c>
      <c r="P26" s="43">
        <v>0</v>
      </c>
      <c r="Q26" s="94">
        <v>0</v>
      </c>
      <c r="R26" s="43">
        <v>0</v>
      </c>
      <c r="S26" s="43"/>
      <c r="T26" s="43"/>
      <c r="U26" s="94"/>
      <c r="V26" s="94"/>
    </row>
    <row r="27" spans="1:22" x14ac:dyDescent="0.25">
      <c r="A27" s="43">
        <v>186</v>
      </c>
      <c r="B27" s="43">
        <v>20</v>
      </c>
      <c r="C27" s="43">
        <v>28</v>
      </c>
      <c r="D27" s="43">
        <v>6</v>
      </c>
      <c r="E27" s="94">
        <v>0.84722222222222221</v>
      </c>
      <c r="F27" s="94">
        <v>0.42499999999999999</v>
      </c>
      <c r="G27" s="43" t="s">
        <v>339</v>
      </c>
      <c r="H27" s="43">
        <v>9000</v>
      </c>
      <c r="I27" s="43" t="s">
        <v>169</v>
      </c>
      <c r="J27" s="43">
        <v>9</v>
      </c>
      <c r="K27" s="43" t="s">
        <v>278</v>
      </c>
      <c r="L27" s="43" t="s">
        <v>270</v>
      </c>
      <c r="M27" s="43">
        <v>3</v>
      </c>
      <c r="N27" s="43" t="s">
        <v>220</v>
      </c>
      <c r="O27" s="43">
        <v>0</v>
      </c>
      <c r="P27" s="43">
        <v>0</v>
      </c>
      <c r="Q27" s="94">
        <v>0</v>
      </c>
      <c r="R27" s="43">
        <v>0</v>
      </c>
      <c r="S27" s="43"/>
      <c r="T27" s="43"/>
      <c r="U27" s="94"/>
      <c r="V27" s="94"/>
    </row>
    <row r="28" spans="1:22" x14ac:dyDescent="0.25">
      <c r="A28" s="43">
        <v>196</v>
      </c>
      <c r="B28" s="43">
        <v>20</v>
      </c>
      <c r="C28" s="43">
        <v>10</v>
      </c>
      <c r="D28" s="43">
        <v>6</v>
      </c>
      <c r="E28" s="94">
        <v>0.84722222222222221</v>
      </c>
      <c r="F28" s="94">
        <v>0.42499999999999999</v>
      </c>
      <c r="G28" s="43" t="s">
        <v>339</v>
      </c>
      <c r="H28" s="43">
        <v>9000</v>
      </c>
      <c r="I28" s="43" t="s">
        <v>168</v>
      </c>
      <c r="J28" s="43">
        <v>9</v>
      </c>
      <c r="K28" s="43" t="s">
        <v>278</v>
      </c>
      <c r="L28" s="43" t="s">
        <v>270</v>
      </c>
      <c r="M28" s="43">
        <v>3</v>
      </c>
      <c r="N28" s="43" t="s">
        <v>220</v>
      </c>
      <c r="O28" s="43">
        <v>0</v>
      </c>
      <c r="P28" s="43">
        <v>0</v>
      </c>
      <c r="Q28" s="94">
        <v>0</v>
      </c>
      <c r="R28" s="43">
        <v>0</v>
      </c>
      <c r="S28" s="43"/>
      <c r="T28" s="43"/>
      <c r="U28" s="94"/>
      <c r="V28" s="94"/>
    </row>
    <row r="29" spans="1:22" x14ac:dyDescent="0.25">
      <c r="A29" s="43">
        <v>206</v>
      </c>
      <c r="B29" s="43">
        <v>20</v>
      </c>
      <c r="C29" s="43">
        <v>9</v>
      </c>
      <c r="D29" s="43">
        <v>6</v>
      </c>
      <c r="E29" s="94">
        <v>0.84722222222222221</v>
      </c>
      <c r="F29" s="94">
        <v>0.42499999999999999</v>
      </c>
      <c r="G29" s="43" t="s">
        <v>339</v>
      </c>
      <c r="H29" s="43">
        <v>9000</v>
      </c>
      <c r="I29" s="43" t="s">
        <v>167</v>
      </c>
      <c r="J29" s="43">
        <v>9</v>
      </c>
      <c r="K29" s="43" t="s">
        <v>278</v>
      </c>
      <c r="L29" s="43" t="s">
        <v>270</v>
      </c>
      <c r="M29" s="43">
        <v>3</v>
      </c>
      <c r="N29" s="43" t="s">
        <v>220</v>
      </c>
      <c r="O29" s="43">
        <v>0</v>
      </c>
      <c r="P29" s="43">
        <v>0</v>
      </c>
      <c r="Q29" s="94">
        <v>0</v>
      </c>
      <c r="R29" s="43">
        <v>0</v>
      </c>
      <c r="S29" s="43"/>
      <c r="T29" s="43"/>
      <c r="U29" s="94"/>
      <c r="V29" s="94"/>
    </row>
    <row r="30" spans="1:22" x14ac:dyDescent="0.25">
      <c r="A30" s="43">
        <v>216</v>
      </c>
      <c r="B30" s="43">
        <v>20</v>
      </c>
      <c r="C30" s="43">
        <v>8</v>
      </c>
      <c r="D30" s="43">
        <v>6</v>
      </c>
      <c r="E30" s="94">
        <v>0.84722222222222221</v>
      </c>
      <c r="F30" s="94">
        <v>0.42499999999999999</v>
      </c>
      <c r="G30" s="43" t="s">
        <v>339</v>
      </c>
      <c r="H30" s="43">
        <v>9000</v>
      </c>
      <c r="I30" s="43" t="s">
        <v>166</v>
      </c>
      <c r="J30" s="43">
        <v>9</v>
      </c>
      <c r="K30" s="43" t="s">
        <v>278</v>
      </c>
      <c r="L30" s="43" t="s">
        <v>270</v>
      </c>
      <c r="M30" s="43">
        <v>3</v>
      </c>
      <c r="N30" s="43" t="s">
        <v>220</v>
      </c>
      <c r="O30" s="43">
        <v>0</v>
      </c>
      <c r="P30" s="43">
        <v>0</v>
      </c>
      <c r="Q30" s="94">
        <v>0</v>
      </c>
      <c r="R30" s="43">
        <v>0</v>
      </c>
      <c r="S30" s="43"/>
      <c r="T30" s="43"/>
      <c r="U30" s="94"/>
      <c r="V30" s="94"/>
    </row>
    <row r="31" spans="1:22" x14ac:dyDescent="0.25">
      <c r="A31" s="43">
        <v>226</v>
      </c>
      <c r="B31" s="43">
        <v>20</v>
      </c>
      <c r="C31" s="43">
        <v>6</v>
      </c>
      <c r="D31" s="43">
        <v>6</v>
      </c>
      <c r="E31" s="94">
        <v>0.84722222222222221</v>
      </c>
      <c r="F31" s="94">
        <v>0.42499999999999999</v>
      </c>
      <c r="G31" s="43" t="s">
        <v>339</v>
      </c>
      <c r="H31" s="43">
        <v>9000</v>
      </c>
      <c r="I31" s="43" t="s">
        <v>165</v>
      </c>
      <c r="J31" s="43">
        <v>9</v>
      </c>
      <c r="K31" s="43" t="s">
        <v>278</v>
      </c>
      <c r="L31" s="43" t="s">
        <v>270</v>
      </c>
      <c r="M31" s="43">
        <v>3</v>
      </c>
      <c r="N31" s="43" t="s">
        <v>220</v>
      </c>
      <c r="O31" s="43">
        <v>0</v>
      </c>
      <c r="P31" s="43">
        <v>0</v>
      </c>
      <c r="Q31" s="94">
        <v>0</v>
      </c>
      <c r="R31" s="43">
        <v>0</v>
      </c>
      <c r="S31" s="43"/>
      <c r="T31" s="43"/>
      <c r="U31" s="94"/>
      <c r="V31" s="94"/>
    </row>
    <row r="32" spans="1:22" x14ac:dyDescent="0.25">
      <c r="A32" s="43">
        <v>187</v>
      </c>
      <c r="B32" s="43">
        <v>20</v>
      </c>
      <c r="C32" s="43">
        <v>28</v>
      </c>
      <c r="D32" s="43">
        <v>17</v>
      </c>
      <c r="E32" s="94">
        <v>0.84722222222222221</v>
      </c>
      <c r="F32" s="94">
        <v>0.42499999999999999</v>
      </c>
      <c r="G32" s="43" t="s">
        <v>339</v>
      </c>
      <c r="H32" s="43">
        <v>9000</v>
      </c>
      <c r="I32" s="43" t="s">
        <v>169</v>
      </c>
      <c r="J32" s="43">
        <v>3</v>
      </c>
      <c r="K32" s="43" t="s">
        <v>270</v>
      </c>
      <c r="L32" s="43" t="s">
        <v>270</v>
      </c>
      <c r="M32" s="43">
        <v>3</v>
      </c>
      <c r="N32" s="43" t="s">
        <v>220</v>
      </c>
      <c r="O32" s="43">
        <v>0</v>
      </c>
      <c r="P32" s="43">
        <v>0</v>
      </c>
      <c r="Q32" s="94">
        <v>0</v>
      </c>
      <c r="R32" s="43">
        <v>0</v>
      </c>
      <c r="S32" s="43"/>
      <c r="T32" s="43"/>
      <c r="U32" s="94"/>
      <c r="V32" s="94"/>
    </row>
    <row r="33" spans="1:22" x14ac:dyDescent="0.25">
      <c r="A33" s="43">
        <v>197</v>
      </c>
      <c r="B33" s="43">
        <v>20</v>
      </c>
      <c r="C33" s="43">
        <v>10</v>
      </c>
      <c r="D33" s="43">
        <v>17</v>
      </c>
      <c r="E33" s="94">
        <v>0.84722222222222221</v>
      </c>
      <c r="F33" s="94">
        <v>0.42499999999999999</v>
      </c>
      <c r="G33" s="43" t="s">
        <v>339</v>
      </c>
      <c r="H33" s="43">
        <v>9000</v>
      </c>
      <c r="I33" s="43" t="s">
        <v>168</v>
      </c>
      <c r="J33" s="43">
        <v>3</v>
      </c>
      <c r="K33" s="43" t="s">
        <v>270</v>
      </c>
      <c r="L33" s="43" t="s">
        <v>270</v>
      </c>
      <c r="M33" s="43">
        <v>3</v>
      </c>
      <c r="N33" s="43" t="s">
        <v>220</v>
      </c>
      <c r="O33" s="43">
        <v>0</v>
      </c>
      <c r="P33" s="43">
        <v>0</v>
      </c>
      <c r="Q33" s="94">
        <v>0</v>
      </c>
      <c r="R33" s="43">
        <v>0</v>
      </c>
      <c r="S33" s="43"/>
      <c r="T33" s="43"/>
      <c r="U33" s="94"/>
      <c r="V33" s="94"/>
    </row>
    <row r="34" spans="1:22" x14ac:dyDescent="0.25">
      <c r="A34" s="43">
        <v>207</v>
      </c>
      <c r="B34" s="43">
        <v>20</v>
      </c>
      <c r="C34" s="43">
        <v>9</v>
      </c>
      <c r="D34" s="43">
        <v>17</v>
      </c>
      <c r="E34" s="94">
        <v>0.84722222222222221</v>
      </c>
      <c r="F34" s="94">
        <v>0.42499999999999999</v>
      </c>
      <c r="G34" s="43" t="s">
        <v>339</v>
      </c>
      <c r="H34" s="43">
        <v>9000</v>
      </c>
      <c r="I34" s="43" t="s">
        <v>167</v>
      </c>
      <c r="J34" s="43">
        <v>3</v>
      </c>
      <c r="K34" s="43" t="s">
        <v>270</v>
      </c>
      <c r="L34" s="43" t="s">
        <v>270</v>
      </c>
      <c r="M34" s="43">
        <v>3</v>
      </c>
      <c r="N34" s="43" t="s">
        <v>220</v>
      </c>
      <c r="O34" s="43">
        <v>0</v>
      </c>
      <c r="P34" s="43">
        <v>0</v>
      </c>
      <c r="Q34" s="94">
        <v>0</v>
      </c>
      <c r="R34" s="43">
        <v>0</v>
      </c>
      <c r="S34" s="43"/>
      <c r="T34" s="43"/>
      <c r="U34" s="94"/>
      <c r="V34" s="94"/>
    </row>
    <row r="35" spans="1:22" x14ac:dyDescent="0.25">
      <c r="A35" s="43">
        <v>217</v>
      </c>
      <c r="B35" s="43">
        <v>20</v>
      </c>
      <c r="C35" s="43">
        <v>8</v>
      </c>
      <c r="D35" s="43">
        <v>17</v>
      </c>
      <c r="E35" s="94">
        <v>0.84722222222222221</v>
      </c>
      <c r="F35" s="94">
        <v>0.42499999999999999</v>
      </c>
      <c r="G35" s="43" t="s">
        <v>339</v>
      </c>
      <c r="H35" s="43">
        <v>9000</v>
      </c>
      <c r="I35" s="43" t="s">
        <v>166</v>
      </c>
      <c r="J35" s="43">
        <v>3</v>
      </c>
      <c r="K35" s="43" t="s">
        <v>270</v>
      </c>
      <c r="L35" s="43" t="s">
        <v>270</v>
      </c>
      <c r="M35" s="43">
        <v>3</v>
      </c>
      <c r="N35" s="43" t="s">
        <v>220</v>
      </c>
      <c r="O35" s="43">
        <v>0</v>
      </c>
      <c r="P35" s="43">
        <v>0</v>
      </c>
      <c r="Q35" s="94">
        <v>0</v>
      </c>
      <c r="R35" s="43">
        <v>0</v>
      </c>
      <c r="S35" s="43"/>
      <c r="T35" s="43"/>
      <c r="U35" s="94"/>
      <c r="V35" s="94"/>
    </row>
    <row r="36" spans="1:22" x14ac:dyDescent="0.25">
      <c r="A36" s="43">
        <v>227</v>
      </c>
      <c r="B36" s="43">
        <v>20</v>
      </c>
      <c r="C36" s="43">
        <v>6</v>
      </c>
      <c r="D36" s="43">
        <v>17</v>
      </c>
      <c r="E36" s="94">
        <v>0.84722222222222221</v>
      </c>
      <c r="F36" s="94">
        <v>0.42499999999999999</v>
      </c>
      <c r="G36" s="43" t="s">
        <v>339</v>
      </c>
      <c r="H36" s="43">
        <v>9000</v>
      </c>
      <c r="I36" s="43" t="s">
        <v>165</v>
      </c>
      <c r="J36" s="43">
        <v>3</v>
      </c>
      <c r="K36" s="43" t="s">
        <v>270</v>
      </c>
      <c r="L36" s="43" t="s">
        <v>270</v>
      </c>
      <c r="M36" s="43">
        <v>3</v>
      </c>
      <c r="N36" s="43" t="s">
        <v>220</v>
      </c>
      <c r="O36" s="43">
        <v>0</v>
      </c>
      <c r="P36" s="43">
        <v>0</v>
      </c>
      <c r="Q36" s="94">
        <v>0</v>
      </c>
      <c r="R36" s="43">
        <v>0</v>
      </c>
      <c r="S36" s="43"/>
      <c r="T36" s="43"/>
      <c r="U36" s="94"/>
      <c r="V36" s="94"/>
    </row>
    <row r="37" spans="1:22" x14ac:dyDescent="0.25">
      <c r="A37" s="43">
        <v>188</v>
      </c>
      <c r="B37" s="43">
        <v>20</v>
      </c>
      <c r="C37" s="43">
        <v>28</v>
      </c>
      <c r="D37" s="43">
        <v>18</v>
      </c>
      <c r="E37" s="94">
        <v>0.84722222222222221</v>
      </c>
      <c r="F37" s="94">
        <v>0.42499999999999999</v>
      </c>
      <c r="G37" s="43" t="s">
        <v>339</v>
      </c>
      <c r="H37" s="43">
        <v>9000</v>
      </c>
      <c r="I37" s="43" t="s">
        <v>169</v>
      </c>
      <c r="J37" s="43">
        <v>4</v>
      </c>
      <c r="K37" s="43" t="s">
        <v>271</v>
      </c>
      <c r="L37" s="43" t="s">
        <v>271</v>
      </c>
      <c r="M37" s="43">
        <v>3</v>
      </c>
      <c r="N37" s="43" t="s">
        <v>220</v>
      </c>
      <c r="O37" s="43">
        <v>0</v>
      </c>
      <c r="P37" s="43">
        <v>0</v>
      </c>
      <c r="Q37" s="94">
        <v>0</v>
      </c>
      <c r="R37" s="43">
        <v>0</v>
      </c>
      <c r="S37" s="43"/>
      <c r="T37" s="43"/>
      <c r="U37" s="94"/>
      <c r="V37" s="94"/>
    </row>
    <row r="38" spans="1:22" x14ac:dyDescent="0.25">
      <c r="A38" s="43">
        <v>198</v>
      </c>
      <c r="B38" s="43">
        <v>20</v>
      </c>
      <c r="C38" s="43">
        <v>10</v>
      </c>
      <c r="D38" s="43">
        <v>18</v>
      </c>
      <c r="E38" s="94">
        <v>0.84722222222222221</v>
      </c>
      <c r="F38" s="94">
        <v>0.42499999999999999</v>
      </c>
      <c r="G38" s="43" t="s">
        <v>339</v>
      </c>
      <c r="H38" s="43">
        <v>9000</v>
      </c>
      <c r="I38" s="43" t="s">
        <v>168</v>
      </c>
      <c r="J38" s="43">
        <v>4</v>
      </c>
      <c r="K38" s="43" t="s">
        <v>271</v>
      </c>
      <c r="L38" s="43" t="s">
        <v>271</v>
      </c>
      <c r="M38" s="43">
        <v>3</v>
      </c>
      <c r="N38" s="43" t="s">
        <v>220</v>
      </c>
      <c r="O38" s="43">
        <v>0</v>
      </c>
      <c r="P38" s="43">
        <v>0</v>
      </c>
      <c r="Q38" s="94">
        <v>0</v>
      </c>
      <c r="R38" s="43">
        <v>0</v>
      </c>
      <c r="S38" s="43"/>
      <c r="T38" s="43"/>
      <c r="U38" s="94"/>
      <c r="V38" s="94"/>
    </row>
    <row r="39" spans="1:22" x14ac:dyDescent="0.25">
      <c r="A39" s="43">
        <v>208</v>
      </c>
      <c r="B39" s="43">
        <v>20</v>
      </c>
      <c r="C39" s="43">
        <v>9</v>
      </c>
      <c r="D39" s="43">
        <v>18</v>
      </c>
      <c r="E39" s="94">
        <v>0.84722222222222221</v>
      </c>
      <c r="F39" s="94">
        <v>0.42499999999999999</v>
      </c>
      <c r="G39" s="43" t="s">
        <v>339</v>
      </c>
      <c r="H39" s="43">
        <v>9000</v>
      </c>
      <c r="I39" s="43" t="s">
        <v>167</v>
      </c>
      <c r="J39" s="43">
        <v>4</v>
      </c>
      <c r="K39" s="43" t="s">
        <v>271</v>
      </c>
      <c r="L39" s="43" t="s">
        <v>271</v>
      </c>
      <c r="M39" s="43">
        <v>3</v>
      </c>
      <c r="N39" s="43" t="s">
        <v>220</v>
      </c>
      <c r="O39" s="43">
        <v>0</v>
      </c>
      <c r="P39" s="43">
        <v>0</v>
      </c>
      <c r="Q39" s="94">
        <v>0</v>
      </c>
      <c r="R39" s="43">
        <v>0</v>
      </c>
      <c r="S39" s="43"/>
      <c r="T39" s="43"/>
      <c r="U39" s="94"/>
      <c r="V39" s="94"/>
    </row>
    <row r="40" spans="1:22" x14ac:dyDescent="0.25">
      <c r="A40" s="43">
        <v>218</v>
      </c>
      <c r="B40" s="43">
        <v>20</v>
      </c>
      <c r="C40" s="43">
        <v>8</v>
      </c>
      <c r="D40" s="43">
        <v>18</v>
      </c>
      <c r="E40" s="94">
        <v>0.84722222222222221</v>
      </c>
      <c r="F40" s="94">
        <v>0.42499999999999999</v>
      </c>
      <c r="G40" s="43" t="s">
        <v>339</v>
      </c>
      <c r="H40" s="43">
        <v>9000</v>
      </c>
      <c r="I40" s="43" t="s">
        <v>166</v>
      </c>
      <c r="J40" s="43">
        <v>4</v>
      </c>
      <c r="K40" s="43" t="s">
        <v>271</v>
      </c>
      <c r="L40" s="43" t="s">
        <v>271</v>
      </c>
      <c r="M40" s="43">
        <v>3</v>
      </c>
      <c r="N40" s="43" t="s">
        <v>220</v>
      </c>
      <c r="O40" s="43">
        <v>0</v>
      </c>
      <c r="P40" s="43">
        <v>0</v>
      </c>
      <c r="Q40" s="94">
        <v>0</v>
      </c>
      <c r="R40" s="43">
        <v>0</v>
      </c>
      <c r="S40" s="43"/>
      <c r="T40" s="43"/>
      <c r="U40" s="94"/>
      <c r="V40" s="94"/>
    </row>
    <row r="41" spans="1:22" x14ac:dyDescent="0.25">
      <c r="A41" s="43">
        <v>228</v>
      </c>
      <c r="B41" s="43">
        <v>20</v>
      </c>
      <c r="C41" s="43">
        <v>6</v>
      </c>
      <c r="D41" s="43">
        <v>18</v>
      </c>
      <c r="E41" s="94">
        <v>0.84722222222222221</v>
      </c>
      <c r="F41" s="94">
        <v>0.42499999999999999</v>
      </c>
      <c r="G41" s="43" t="s">
        <v>339</v>
      </c>
      <c r="H41" s="43">
        <v>9000</v>
      </c>
      <c r="I41" s="43" t="s">
        <v>165</v>
      </c>
      <c r="J41" s="43">
        <v>4</v>
      </c>
      <c r="K41" s="43" t="s">
        <v>271</v>
      </c>
      <c r="L41" s="43" t="s">
        <v>271</v>
      </c>
      <c r="M41" s="43">
        <v>3</v>
      </c>
      <c r="N41" s="43" t="s">
        <v>220</v>
      </c>
      <c r="O41" s="43">
        <v>0</v>
      </c>
      <c r="P41" s="43">
        <v>0</v>
      </c>
      <c r="Q41" s="94">
        <v>0</v>
      </c>
      <c r="R41" s="43">
        <v>0</v>
      </c>
      <c r="S41" s="43"/>
      <c r="T41" s="43"/>
      <c r="U41" s="94"/>
      <c r="V41" s="94"/>
    </row>
    <row r="42" spans="1:22" x14ac:dyDescent="0.25">
      <c r="A42" s="43">
        <v>189</v>
      </c>
      <c r="B42" s="43">
        <v>20</v>
      </c>
      <c r="C42" s="43">
        <v>28</v>
      </c>
      <c r="D42" s="43">
        <v>19</v>
      </c>
      <c r="E42" s="94">
        <v>0.84722222222222221</v>
      </c>
      <c r="F42" s="94">
        <v>0.42499999999999999</v>
      </c>
      <c r="G42" s="43" t="s">
        <v>339</v>
      </c>
      <c r="H42" s="43">
        <v>9000</v>
      </c>
      <c r="I42" s="43" t="s">
        <v>169</v>
      </c>
      <c r="J42" s="43">
        <v>5</v>
      </c>
      <c r="K42" s="43" t="s">
        <v>272</v>
      </c>
      <c r="L42" s="43" t="s">
        <v>272</v>
      </c>
      <c r="M42" s="43">
        <v>3</v>
      </c>
      <c r="N42" s="43" t="s">
        <v>220</v>
      </c>
      <c r="O42" s="43">
        <v>0</v>
      </c>
      <c r="P42" s="43">
        <v>0</v>
      </c>
      <c r="Q42" s="94">
        <v>0</v>
      </c>
      <c r="R42" s="43">
        <v>0</v>
      </c>
      <c r="S42" s="43"/>
      <c r="T42" s="43"/>
      <c r="U42" s="94"/>
      <c r="V42" s="94"/>
    </row>
    <row r="43" spans="1:22" x14ac:dyDescent="0.25">
      <c r="A43" s="43">
        <v>199</v>
      </c>
      <c r="B43" s="43">
        <v>20</v>
      </c>
      <c r="C43" s="43">
        <v>10</v>
      </c>
      <c r="D43" s="43">
        <v>19</v>
      </c>
      <c r="E43" s="94">
        <v>0.84722222222222221</v>
      </c>
      <c r="F43" s="94">
        <v>0.42499999999999999</v>
      </c>
      <c r="G43" s="43" t="s">
        <v>339</v>
      </c>
      <c r="H43" s="43">
        <v>9000</v>
      </c>
      <c r="I43" s="43" t="s">
        <v>168</v>
      </c>
      <c r="J43" s="43">
        <v>5</v>
      </c>
      <c r="K43" s="43" t="s">
        <v>272</v>
      </c>
      <c r="L43" s="43" t="s">
        <v>272</v>
      </c>
      <c r="M43" s="43">
        <v>3</v>
      </c>
      <c r="N43" s="43" t="s">
        <v>220</v>
      </c>
      <c r="O43" s="43">
        <v>0</v>
      </c>
      <c r="P43" s="43">
        <v>0</v>
      </c>
      <c r="Q43" s="94">
        <v>0</v>
      </c>
      <c r="R43" s="43">
        <v>0</v>
      </c>
      <c r="S43" s="43"/>
      <c r="T43" s="43"/>
      <c r="U43" s="94"/>
      <c r="V43" s="94"/>
    </row>
    <row r="44" spans="1:22" x14ac:dyDescent="0.25">
      <c r="A44" s="43">
        <v>209</v>
      </c>
      <c r="B44" s="43">
        <v>20</v>
      </c>
      <c r="C44" s="43">
        <v>9</v>
      </c>
      <c r="D44" s="43">
        <v>19</v>
      </c>
      <c r="E44" s="94">
        <v>0.84722222222222221</v>
      </c>
      <c r="F44" s="94">
        <v>0.42499999999999999</v>
      </c>
      <c r="G44" s="43" t="s">
        <v>339</v>
      </c>
      <c r="H44" s="43">
        <v>9000</v>
      </c>
      <c r="I44" s="43" t="s">
        <v>167</v>
      </c>
      <c r="J44" s="43">
        <v>5</v>
      </c>
      <c r="K44" s="43" t="s">
        <v>272</v>
      </c>
      <c r="L44" s="43" t="s">
        <v>272</v>
      </c>
      <c r="M44" s="43">
        <v>3</v>
      </c>
      <c r="N44" s="43" t="s">
        <v>220</v>
      </c>
      <c r="O44" s="43">
        <v>0</v>
      </c>
      <c r="P44" s="43">
        <v>0</v>
      </c>
      <c r="Q44" s="94">
        <v>0</v>
      </c>
      <c r="R44" s="43">
        <v>0</v>
      </c>
      <c r="S44" s="43"/>
      <c r="T44" s="43"/>
      <c r="U44" s="94"/>
      <c r="V44" s="94"/>
    </row>
    <row r="45" spans="1:22" x14ac:dyDescent="0.25">
      <c r="A45" s="43">
        <v>219</v>
      </c>
      <c r="B45" s="43">
        <v>20</v>
      </c>
      <c r="C45" s="43">
        <v>8</v>
      </c>
      <c r="D45" s="43">
        <v>19</v>
      </c>
      <c r="E45" s="94">
        <v>0.84722222222222221</v>
      </c>
      <c r="F45" s="94">
        <v>0.42499999999999999</v>
      </c>
      <c r="G45" s="43" t="s">
        <v>339</v>
      </c>
      <c r="H45" s="43">
        <v>9000</v>
      </c>
      <c r="I45" s="43" t="s">
        <v>166</v>
      </c>
      <c r="J45" s="43">
        <v>5</v>
      </c>
      <c r="K45" s="43" t="s">
        <v>272</v>
      </c>
      <c r="L45" s="43" t="s">
        <v>272</v>
      </c>
      <c r="M45" s="43">
        <v>3</v>
      </c>
      <c r="N45" s="43" t="s">
        <v>220</v>
      </c>
      <c r="O45" s="43">
        <v>0</v>
      </c>
      <c r="P45" s="43">
        <v>0</v>
      </c>
      <c r="Q45" s="94">
        <v>0</v>
      </c>
      <c r="R45" s="43">
        <v>0</v>
      </c>
      <c r="S45" s="43"/>
      <c r="T45" s="43"/>
      <c r="U45" s="94"/>
      <c r="V45" s="94"/>
    </row>
    <row r="46" spans="1:22" x14ac:dyDescent="0.25">
      <c r="A46" s="43">
        <v>229</v>
      </c>
      <c r="B46" s="43">
        <v>20</v>
      </c>
      <c r="C46" s="43">
        <v>6</v>
      </c>
      <c r="D46" s="43">
        <v>19</v>
      </c>
      <c r="E46" s="94">
        <v>0.84722222222222221</v>
      </c>
      <c r="F46" s="94">
        <v>0.42499999999999999</v>
      </c>
      <c r="G46" s="43" t="s">
        <v>339</v>
      </c>
      <c r="H46" s="43">
        <v>9000</v>
      </c>
      <c r="I46" s="43" t="s">
        <v>165</v>
      </c>
      <c r="J46" s="43">
        <v>5</v>
      </c>
      <c r="K46" s="43" t="s">
        <v>272</v>
      </c>
      <c r="L46" s="43" t="s">
        <v>272</v>
      </c>
      <c r="M46" s="43">
        <v>3</v>
      </c>
      <c r="N46" s="43" t="s">
        <v>220</v>
      </c>
      <c r="O46" s="43">
        <v>0</v>
      </c>
      <c r="P46" s="43">
        <v>0</v>
      </c>
      <c r="Q46" s="94">
        <v>0</v>
      </c>
      <c r="R46" s="43">
        <v>0</v>
      </c>
      <c r="S46" s="43"/>
      <c r="T46" s="43"/>
      <c r="U46" s="94"/>
      <c r="V46" s="94"/>
    </row>
    <row r="47" spans="1:22" x14ac:dyDescent="0.25">
      <c r="A47" s="43">
        <v>190</v>
      </c>
      <c r="B47" s="43">
        <v>20</v>
      </c>
      <c r="C47" s="43">
        <v>28</v>
      </c>
      <c r="D47" s="43">
        <v>20</v>
      </c>
      <c r="E47" s="94">
        <v>0.84722222222222221</v>
      </c>
      <c r="F47" s="94">
        <v>0.42499999999999999</v>
      </c>
      <c r="G47" s="43" t="s">
        <v>339</v>
      </c>
      <c r="H47" s="43">
        <v>9000</v>
      </c>
      <c r="I47" s="43" t="s">
        <v>169</v>
      </c>
      <c r="J47" s="43">
        <v>8</v>
      </c>
      <c r="K47" s="43" t="s">
        <v>134</v>
      </c>
      <c r="L47" s="43" t="s">
        <v>134</v>
      </c>
      <c r="M47" s="43">
        <v>3</v>
      </c>
      <c r="N47" s="43" t="s">
        <v>220</v>
      </c>
      <c r="O47" s="43">
        <v>0</v>
      </c>
      <c r="P47" s="43">
        <v>0</v>
      </c>
      <c r="Q47" s="94">
        <v>0</v>
      </c>
      <c r="R47" s="43">
        <v>0</v>
      </c>
      <c r="S47" s="43"/>
      <c r="T47" s="43"/>
      <c r="U47" s="94"/>
      <c r="V47" s="94"/>
    </row>
    <row r="48" spans="1:22" x14ac:dyDescent="0.25">
      <c r="A48" s="43">
        <v>200</v>
      </c>
      <c r="B48" s="43">
        <v>20</v>
      </c>
      <c r="C48" s="43">
        <v>10</v>
      </c>
      <c r="D48" s="43">
        <v>20</v>
      </c>
      <c r="E48" s="94">
        <v>0.84722222222222221</v>
      </c>
      <c r="F48" s="94">
        <v>0.42499999999999999</v>
      </c>
      <c r="G48" s="43" t="s">
        <v>339</v>
      </c>
      <c r="H48" s="43">
        <v>9000</v>
      </c>
      <c r="I48" s="43" t="s">
        <v>168</v>
      </c>
      <c r="J48" s="43">
        <v>8</v>
      </c>
      <c r="K48" s="43" t="s">
        <v>134</v>
      </c>
      <c r="L48" s="43" t="s">
        <v>134</v>
      </c>
      <c r="M48" s="43">
        <v>3</v>
      </c>
      <c r="N48" s="43" t="s">
        <v>220</v>
      </c>
      <c r="O48" s="43">
        <v>0</v>
      </c>
      <c r="P48" s="43">
        <v>0</v>
      </c>
      <c r="Q48" s="94">
        <v>0</v>
      </c>
      <c r="R48" s="43">
        <v>0</v>
      </c>
      <c r="S48" s="43"/>
      <c r="T48" s="43"/>
      <c r="U48" s="94"/>
      <c r="V48" s="94"/>
    </row>
    <row r="49" spans="1:22" x14ac:dyDescent="0.25">
      <c r="A49" s="43">
        <v>210</v>
      </c>
      <c r="B49" s="43">
        <v>20</v>
      </c>
      <c r="C49" s="43">
        <v>9</v>
      </c>
      <c r="D49" s="43">
        <v>20</v>
      </c>
      <c r="E49" s="94">
        <v>0.84722222222222221</v>
      </c>
      <c r="F49" s="94">
        <v>0.42499999999999999</v>
      </c>
      <c r="G49" s="43" t="s">
        <v>339</v>
      </c>
      <c r="H49" s="43">
        <v>9000</v>
      </c>
      <c r="I49" s="43" t="s">
        <v>167</v>
      </c>
      <c r="J49" s="43">
        <v>8</v>
      </c>
      <c r="K49" s="43" t="s">
        <v>134</v>
      </c>
      <c r="L49" s="43" t="s">
        <v>134</v>
      </c>
      <c r="M49" s="43">
        <v>3</v>
      </c>
      <c r="N49" s="43" t="s">
        <v>220</v>
      </c>
      <c r="O49" s="43">
        <v>0</v>
      </c>
      <c r="P49" s="43">
        <v>0</v>
      </c>
      <c r="Q49" s="94">
        <v>0</v>
      </c>
      <c r="R49" s="43">
        <v>0</v>
      </c>
      <c r="S49" s="43"/>
      <c r="T49" s="43"/>
      <c r="U49" s="94"/>
      <c r="V49" s="94"/>
    </row>
    <row r="50" spans="1:22" x14ac:dyDescent="0.25">
      <c r="A50" s="43">
        <v>220</v>
      </c>
      <c r="B50" s="43">
        <v>20</v>
      </c>
      <c r="C50" s="43">
        <v>8</v>
      </c>
      <c r="D50" s="43">
        <v>20</v>
      </c>
      <c r="E50" s="94">
        <v>0.84722222222222221</v>
      </c>
      <c r="F50" s="94">
        <v>0.42499999999999999</v>
      </c>
      <c r="G50" s="43" t="s">
        <v>339</v>
      </c>
      <c r="H50" s="43">
        <v>9000</v>
      </c>
      <c r="I50" s="43" t="s">
        <v>166</v>
      </c>
      <c r="J50" s="43">
        <v>8</v>
      </c>
      <c r="K50" s="43" t="s">
        <v>134</v>
      </c>
      <c r="L50" s="43" t="s">
        <v>134</v>
      </c>
      <c r="M50" s="43">
        <v>3</v>
      </c>
      <c r="N50" s="43" t="s">
        <v>220</v>
      </c>
      <c r="O50" s="43">
        <v>0</v>
      </c>
      <c r="P50" s="43">
        <v>0</v>
      </c>
      <c r="Q50" s="94">
        <v>0</v>
      </c>
      <c r="R50" s="43">
        <v>0</v>
      </c>
      <c r="S50" s="43"/>
      <c r="T50" s="43"/>
      <c r="U50" s="94"/>
      <c r="V50" s="94"/>
    </row>
    <row r="51" spans="1:22" x14ac:dyDescent="0.25">
      <c r="A51" s="43">
        <v>230</v>
      </c>
      <c r="B51" s="43">
        <v>20</v>
      </c>
      <c r="C51" s="43">
        <v>6</v>
      </c>
      <c r="D51" s="43">
        <v>20</v>
      </c>
      <c r="E51" s="94">
        <v>0.84722222222222221</v>
      </c>
      <c r="F51" s="94">
        <v>0.42499999999999999</v>
      </c>
      <c r="G51" s="43" t="s">
        <v>339</v>
      </c>
      <c r="H51" s="43">
        <v>9000</v>
      </c>
      <c r="I51" s="43" t="s">
        <v>165</v>
      </c>
      <c r="J51" s="43">
        <v>8</v>
      </c>
      <c r="K51" s="43" t="s">
        <v>134</v>
      </c>
      <c r="L51" s="43" t="s">
        <v>134</v>
      </c>
      <c r="M51" s="43">
        <v>3</v>
      </c>
      <c r="N51" s="43" t="s">
        <v>220</v>
      </c>
      <c r="O51" s="43">
        <v>0</v>
      </c>
      <c r="P51" s="43">
        <v>0</v>
      </c>
      <c r="Q51" s="94">
        <v>0</v>
      </c>
      <c r="R51" s="43">
        <v>0</v>
      </c>
      <c r="S51" s="43"/>
      <c r="T51" s="43"/>
      <c r="U51" s="94"/>
      <c r="V51" s="94"/>
    </row>
    <row r="52" spans="1:22" x14ac:dyDescent="0.25">
      <c r="A52" s="43">
        <v>231</v>
      </c>
      <c r="B52" s="43">
        <v>20</v>
      </c>
      <c r="C52" s="43">
        <v>5</v>
      </c>
      <c r="D52" s="43">
        <v>1</v>
      </c>
      <c r="E52" s="94">
        <v>0.84722222222222221</v>
      </c>
      <c r="F52" s="94">
        <v>0.42499999999999999</v>
      </c>
      <c r="G52" s="43" t="s">
        <v>339</v>
      </c>
      <c r="H52" s="43">
        <v>9000</v>
      </c>
      <c r="I52" s="43" t="s">
        <v>164</v>
      </c>
      <c r="J52" s="43">
        <v>1</v>
      </c>
      <c r="K52" s="43" t="s">
        <v>268</v>
      </c>
      <c r="L52" s="43" t="s">
        <v>267</v>
      </c>
      <c r="M52" s="43">
        <v>3</v>
      </c>
      <c r="N52" s="43" t="s">
        <v>220</v>
      </c>
      <c r="O52" s="43">
        <v>0</v>
      </c>
      <c r="P52" s="43">
        <v>1234</v>
      </c>
      <c r="Q52" s="94">
        <v>0</v>
      </c>
      <c r="R52" s="43">
        <v>0.50763888888888886</v>
      </c>
      <c r="S52" s="43"/>
      <c r="T52" s="43"/>
      <c r="U52" s="94"/>
      <c r="V52" s="94"/>
    </row>
    <row r="53" spans="1:22" x14ac:dyDescent="0.25">
      <c r="A53" s="43">
        <v>232</v>
      </c>
      <c r="B53" s="43">
        <v>20</v>
      </c>
      <c r="C53" s="43">
        <v>5</v>
      </c>
      <c r="D53" s="43">
        <v>2</v>
      </c>
      <c r="E53" s="94">
        <v>0.84722222222222221</v>
      </c>
      <c r="F53" s="94">
        <v>0.42499999999999999</v>
      </c>
      <c r="G53" s="43" t="s">
        <v>339</v>
      </c>
      <c r="H53" s="43">
        <v>9000</v>
      </c>
      <c r="I53" s="43" t="s">
        <v>164</v>
      </c>
      <c r="J53" s="43">
        <v>2</v>
      </c>
      <c r="K53" s="43" t="s">
        <v>269</v>
      </c>
      <c r="L53" s="43" t="s">
        <v>269</v>
      </c>
      <c r="M53" s="43">
        <v>3</v>
      </c>
      <c r="N53" s="43" t="s">
        <v>220</v>
      </c>
      <c r="O53" s="43">
        <v>0</v>
      </c>
      <c r="P53" s="43">
        <v>0</v>
      </c>
      <c r="Q53" s="94">
        <v>0</v>
      </c>
      <c r="R53" s="43">
        <v>0</v>
      </c>
      <c r="S53" s="43"/>
      <c r="T53" s="43"/>
      <c r="U53" s="94"/>
      <c r="V53" s="94"/>
    </row>
    <row r="54" spans="1:22" x14ac:dyDescent="0.25">
      <c r="A54" s="43">
        <v>233</v>
      </c>
      <c r="B54" s="43">
        <v>20</v>
      </c>
      <c r="C54" s="43">
        <v>5</v>
      </c>
      <c r="D54" s="43">
        <v>3</v>
      </c>
      <c r="E54" s="94">
        <v>0.84722222222222221</v>
      </c>
      <c r="F54" s="94">
        <v>0.42499999999999999</v>
      </c>
      <c r="G54" s="43" t="s">
        <v>339</v>
      </c>
      <c r="H54" s="43">
        <v>9000</v>
      </c>
      <c r="I54" s="43" t="s">
        <v>164</v>
      </c>
      <c r="J54" s="43">
        <v>6</v>
      </c>
      <c r="K54" s="43" t="s">
        <v>274</v>
      </c>
      <c r="L54" s="43" t="s">
        <v>273</v>
      </c>
      <c r="M54" s="43">
        <v>3</v>
      </c>
      <c r="N54" s="43" t="s">
        <v>220</v>
      </c>
      <c r="O54" s="43">
        <v>0</v>
      </c>
      <c r="P54" s="43">
        <v>0</v>
      </c>
      <c r="Q54" s="94">
        <v>0</v>
      </c>
      <c r="R54" s="43">
        <v>0</v>
      </c>
      <c r="S54" s="43"/>
      <c r="T54" s="43"/>
      <c r="U54" s="94"/>
      <c r="V54" s="94"/>
    </row>
    <row r="55" spans="1:22" x14ac:dyDescent="0.25">
      <c r="A55" s="43">
        <v>234</v>
      </c>
      <c r="B55" s="43">
        <v>20</v>
      </c>
      <c r="C55" s="43">
        <v>5</v>
      </c>
      <c r="D55" s="43">
        <v>4</v>
      </c>
      <c r="E55" s="94">
        <v>0.84722222222222221</v>
      </c>
      <c r="F55" s="94">
        <v>0.42499999999999999</v>
      </c>
      <c r="G55" s="43" t="s">
        <v>339</v>
      </c>
      <c r="H55" s="43">
        <v>9000</v>
      </c>
      <c r="I55" s="43" t="s">
        <v>164</v>
      </c>
      <c r="J55" s="43">
        <v>6</v>
      </c>
      <c r="K55" s="43" t="s">
        <v>277</v>
      </c>
      <c r="L55" s="43" t="s">
        <v>273</v>
      </c>
      <c r="M55" s="43">
        <v>3</v>
      </c>
      <c r="N55" s="43" t="s">
        <v>220</v>
      </c>
      <c r="O55" s="43">
        <v>0</v>
      </c>
      <c r="P55" s="43">
        <v>0</v>
      </c>
      <c r="Q55" s="94">
        <v>0</v>
      </c>
      <c r="R55" s="43">
        <v>0</v>
      </c>
      <c r="S55" s="43"/>
      <c r="T55" s="43"/>
      <c r="U55" s="94"/>
      <c r="V55" s="94"/>
    </row>
    <row r="56" spans="1:22" x14ac:dyDescent="0.25">
      <c r="A56" s="43">
        <v>235</v>
      </c>
      <c r="B56" s="43">
        <v>20</v>
      </c>
      <c r="C56" s="43">
        <v>5</v>
      </c>
      <c r="D56" s="43">
        <v>5</v>
      </c>
      <c r="E56" s="94">
        <v>0.84722222222222221</v>
      </c>
      <c r="F56" s="94">
        <v>0.42499999999999999</v>
      </c>
      <c r="G56" s="43" t="s">
        <v>339</v>
      </c>
      <c r="H56" s="43">
        <v>9000</v>
      </c>
      <c r="I56" s="43" t="s">
        <v>164</v>
      </c>
      <c r="J56" s="43">
        <v>9</v>
      </c>
      <c r="K56" s="43" t="s">
        <v>275</v>
      </c>
      <c r="L56" s="43" t="s">
        <v>270</v>
      </c>
      <c r="M56" s="43">
        <v>3</v>
      </c>
      <c r="N56" s="43" t="s">
        <v>220</v>
      </c>
      <c r="O56" s="43">
        <v>0</v>
      </c>
      <c r="P56" s="43">
        <v>0</v>
      </c>
      <c r="Q56" s="94">
        <v>0</v>
      </c>
      <c r="R56" s="43">
        <v>0</v>
      </c>
      <c r="S56" s="43"/>
      <c r="T56" s="43"/>
      <c r="U56" s="94"/>
      <c r="V56" s="94"/>
    </row>
    <row r="57" spans="1:22" x14ac:dyDescent="0.25">
      <c r="A57" s="43">
        <v>236</v>
      </c>
      <c r="B57" s="43">
        <v>20</v>
      </c>
      <c r="C57" s="43">
        <v>5</v>
      </c>
      <c r="D57" s="43">
        <v>6</v>
      </c>
      <c r="E57" s="94">
        <v>0.84722222222222221</v>
      </c>
      <c r="F57" s="94">
        <v>0.42499999999999999</v>
      </c>
      <c r="G57" s="43" t="s">
        <v>339</v>
      </c>
      <c r="H57" s="43">
        <v>9000</v>
      </c>
      <c r="I57" s="43" t="s">
        <v>164</v>
      </c>
      <c r="J57" s="43">
        <v>9</v>
      </c>
      <c r="K57" s="43" t="s">
        <v>278</v>
      </c>
      <c r="L57" s="43" t="s">
        <v>270</v>
      </c>
      <c r="M57" s="43">
        <v>3</v>
      </c>
      <c r="N57" s="43" t="s">
        <v>220</v>
      </c>
      <c r="O57" s="43">
        <v>0</v>
      </c>
      <c r="P57" s="43">
        <v>0</v>
      </c>
      <c r="Q57" s="94">
        <v>0</v>
      </c>
      <c r="R57" s="43">
        <v>0</v>
      </c>
      <c r="S57" s="43"/>
      <c r="T57" s="43"/>
      <c r="U57" s="94"/>
      <c r="V57" s="94"/>
    </row>
    <row r="58" spans="1:22" x14ac:dyDescent="0.25">
      <c r="A58" s="43">
        <v>237</v>
      </c>
      <c r="B58" s="43">
        <v>20</v>
      </c>
      <c r="C58" s="43">
        <v>5</v>
      </c>
      <c r="D58" s="43">
        <v>17</v>
      </c>
      <c r="E58" s="94">
        <v>0.84722222222222221</v>
      </c>
      <c r="F58" s="94">
        <v>0.42499999999999999</v>
      </c>
      <c r="G58" s="43" t="s">
        <v>339</v>
      </c>
      <c r="H58" s="43">
        <v>9000</v>
      </c>
      <c r="I58" s="43" t="s">
        <v>164</v>
      </c>
      <c r="J58" s="43">
        <v>3</v>
      </c>
      <c r="K58" s="43" t="s">
        <v>270</v>
      </c>
      <c r="L58" s="43" t="s">
        <v>270</v>
      </c>
      <c r="M58" s="43">
        <v>3</v>
      </c>
      <c r="N58" s="43" t="s">
        <v>220</v>
      </c>
      <c r="O58" s="43">
        <v>0</v>
      </c>
      <c r="P58" s="43">
        <v>0</v>
      </c>
      <c r="Q58" s="94">
        <v>0</v>
      </c>
      <c r="R58" s="43">
        <v>0</v>
      </c>
      <c r="S58" s="43"/>
      <c r="T58" s="43"/>
      <c r="U58" s="94"/>
      <c r="V58" s="94"/>
    </row>
    <row r="59" spans="1:22" x14ac:dyDescent="0.25">
      <c r="A59" s="43">
        <v>238</v>
      </c>
      <c r="B59" s="43">
        <v>20</v>
      </c>
      <c r="C59" s="43">
        <v>5</v>
      </c>
      <c r="D59" s="43">
        <v>18</v>
      </c>
      <c r="E59" s="94">
        <v>0.84722222222222221</v>
      </c>
      <c r="F59" s="94">
        <v>0.42499999999999999</v>
      </c>
      <c r="G59" s="43" t="s">
        <v>339</v>
      </c>
      <c r="H59" s="43">
        <v>9000</v>
      </c>
      <c r="I59" s="43" t="s">
        <v>164</v>
      </c>
      <c r="J59" s="43">
        <v>4</v>
      </c>
      <c r="K59" s="43" t="s">
        <v>271</v>
      </c>
      <c r="L59" s="43" t="s">
        <v>271</v>
      </c>
      <c r="M59" s="43">
        <v>3</v>
      </c>
      <c r="N59" s="43" t="s">
        <v>220</v>
      </c>
      <c r="O59" s="43">
        <v>0</v>
      </c>
      <c r="P59" s="43">
        <v>0</v>
      </c>
      <c r="Q59" s="94">
        <v>0</v>
      </c>
      <c r="R59" s="43">
        <v>0</v>
      </c>
      <c r="S59" s="43"/>
      <c r="T59" s="43"/>
      <c r="U59" s="94"/>
      <c r="V59" s="94"/>
    </row>
    <row r="60" spans="1:22" x14ac:dyDescent="0.25">
      <c r="A60" s="43">
        <v>239</v>
      </c>
      <c r="B60" s="43">
        <v>20</v>
      </c>
      <c r="C60" s="43">
        <v>5</v>
      </c>
      <c r="D60" s="43">
        <v>19</v>
      </c>
      <c r="E60" s="94">
        <v>0.84722222222222221</v>
      </c>
      <c r="F60" s="94">
        <v>0.42499999999999999</v>
      </c>
      <c r="G60" s="43" t="s">
        <v>339</v>
      </c>
      <c r="H60" s="43">
        <v>9000</v>
      </c>
      <c r="I60" s="43" t="s">
        <v>164</v>
      </c>
      <c r="J60" s="43">
        <v>5</v>
      </c>
      <c r="K60" s="43" t="s">
        <v>272</v>
      </c>
      <c r="L60" s="43" t="s">
        <v>272</v>
      </c>
      <c r="M60" s="43">
        <v>3</v>
      </c>
      <c r="N60" s="43" t="s">
        <v>220</v>
      </c>
      <c r="O60" s="43">
        <v>0</v>
      </c>
      <c r="P60" s="43">
        <v>0</v>
      </c>
      <c r="Q60" s="94">
        <v>0</v>
      </c>
      <c r="R60" s="43">
        <v>0</v>
      </c>
      <c r="S60" s="43"/>
      <c r="T60" s="43"/>
      <c r="U60" s="94"/>
      <c r="V60" s="94"/>
    </row>
    <row r="61" spans="1:22" x14ac:dyDescent="0.25">
      <c r="A61" s="43">
        <v>240</v>
      </c>
      <c r="B61" s="43">
        <v>20</v>
      </c>
      <c r="C61" s="43">
        <v>5</v>
      </c>
      <c r="D61" s="43">
        <v>20</v>
      </c>
      <c r="E61" s="94">
        <v>0.84722222222222221</v>
      </c>
      <c r="F61" s="94">
        <v>0.42499999999999999</v>
      </c>
      <c r="G61" s="43" t="s">
        <v>339</v>
      </c>
      <c r="H61" s="43">
        <v>9000</v>
      </c>
      <c r="I61" s="43" t="s">
        <v>164</v>
      </c>
      <c r="J61" s="43">
        <v>8</v>
      </c>
      <c r="K61" s="43" t="s">
        <v>134</v>
      </c>
      <c r="L61" s="43" t="s">
        <v>134</v>
      </c>
      <c r="M61" s="43">
        <v>3</v>
      </c>
      <c r="N61" s="43" t="s">
        <v>220</v>
      </c>
      <c r="O61" s="43">
        <v>0</v>
      </c>
      <c r="P61" s="43">
        <v>0</v>
      </c>
      <c r="Q61" s="94">
        <v>0</v>
      </c>
      <c r="R61" s="43">
        <v>0</v>
      </c>
      <c r="S61" s="43"/>
      <c r="T61" s="43"/>
      <c r="U61" s="94"/>
      <c r="V61" s="94"/>
    </row>
    <row r="62" spans="1:22" x14ac:dyDescent="0.25">
      <c r="A62" s="43">
        <v>241</v>
      </c>
      <c r="B62" s="43">
        <v>20</v>
      </c>
      <c r="C62" s="43">
        <v>4</v>
      </c>
      <c r="D62" s="43">
        <v>1</v>
      </c>
      <c r="E62" s="94">
        <v>0.84722222222222221</v>
      </c>
      <c r="F62" s="94">
        <v>0.42499999999999999</v>
      </c>
      <c r="G62" s="43" t="s">
        <v>339</v>
      </c>
      <c r="H62" s="43">
        <v>9000</v>
      </c>
      <c r="I62" s="43" t="s">
        <v>163</v>
      </c>
      <c r="J62" s="43">
        <v>1</v>
      </c>
      <c r="K62" s="43" t="s">
        <v>268</v>
      </c>
      <c r="L62" s="43" t="s">
        <v>267</v>
      </c>
      <c r="M62" s="43">
        <v>3</v>
      </c>
      <c r="N62" s="43" t="s">
        <v>220</v>
      </c>
      <c r="O62" s="43">
        <v>1231</v>
      </c>
      <c r="P62" s="43">
        <v>0</v>
      </c>
      <c r="Q62" s="94">
        <v>0.87638888888888888</v>
      </c>
      <c r="R62" s="43">
        <v>0</v>
      </c>
      <c r="S62" s="43"/>
      <c r="T62" s="43"/>
      <c r="U62" s="94"/>
      <c r="V62" s="94"/>
    </row>
    <row r="63" spans="1:22" x14ac:dyDescent="0.25">
      <c r="A63" s="43">
        <v>242</v>
      </c>
      <c r="B63" s="43">
        <v>20</v>
      </c>
      <c r="C63" s="43">
        <v>4</v>
      </c>
      <c r="D63" s="43">
        <v>2</v>
      </c>
      <c r="E63" s="94">
        <v>0.84722222222222221</v>
      </c>
      <c r="F63" s="94">
        <v>0.42499999999999999</v>
      </c>
      <c r="G63" s="43" t="s">
        <v>339</v>
      </c>
      <c r="H63" s="43">
        <v>9000</v>
      </c>
      <c r="I63" s="43" t="s">
        <v>163</v>
      </c>
      <c r="J63" s="43">
        <v>2</v>
      </c>
      <c r="K63" s="43" t="s">
        <v>269</v>
      </c>
      <c r="L63" s="43" t="s">
        <v>269</v>
      </c>
      <c r="M63" s="43">
        <v>3</v>
      </c>
      <c r="N63" s="43" t="s">
        <v>220</v>
      </c>
      <c r="O63" s="43">
        <v>0</v>
      </c>
      <c r="P63" s="43">
        <v>0</v>
      </c>
      <c r="Q63" s="94">
        <v>0</v>
      </c>
      <c r="R63" s="43">
        <v>0</v>
      </c>
      <c r="S63" s="43"/>
      <c r="T63" s="43"/>
      <c r="U63" s="94"/>
      <c r="V63" s="94"/>
    </row>
    <row r="64" spans="1:22" x14ac:dyDescent="0.25">
      <c r="A64" s="43">
        <v>243</v>
      </c>
      <c r="B64" s="43">
        <v>20</v>
      </c>
      <c r="C64" s="43">
        <v>4</v>
      </c>
      <c r="D64" s="43">
        <v>3</v>
      </c>
      <c r="E64" s="94">
        <v>0.84722222222222221</v>
      </c>
      <c r="F64" s="94">
        <v>0.42499999999999999</v>
      </c>
      <c r="G64" s="43" t="s">
        <v>339</v>
      </c>
      <c r="H64" s="43">
        <v>9000</v>
      </c>
      <c r="I64" s="43" t="s">
        <v>163</v>
      </c>
      <c r="J64" s="43">
        <v>6</v>
      </c>
      <c r="K64" s="43" t="s">
        <v>274</v>
      </c>
      <c r="L64" s="43" t="s">
        <v>273</v>
      </c>
      <c r="M64" s="43">
        <v>3</v>
      </c>
      <c r="N64" s="43" t="s">
        <v>220</v>
      </c>
      <c r="O64" s="43">
        <v>0</v>
      </c>
      <c r="P64" s="43">
        <v>0</v>
      </c>
      <c r="Q64" s="94">
        <v>0</v>
      </c>
      <c r="R64" s="43">
        <v>0</v>
      </c>
      <c r="S64" s="43"/>
      <c r="T64" s="43"/>
      <c r="U64" s="94"/>
      <c r="V64" s="94"/>
    </row>
    <row r="65" spans="1:22" x14ac:dyDescent="0.25">
      <c r="A65" s="43">
        <v>244</v>
      </c>
      <c r="B65" s="43">
        <v>20</v>
      </c>
      <c r="C65" s="43">
        <v>4</v>
      </c>
      <c r="D65" s="43">
        <v>4</v>
      </c>
      <c r="E65" s="94">
        <v>0.84722222222222221</v>
      </c>
      <c r="F65" s="94">
        <v>0.42499999999999999</v>
      </c>
      <c r="G65" s="43" t="s">
        <v>339</v>
      </c>
      <c r="H65" s="43">
        <v>9000</v>
      </c>
      <c r="I65" s="43" t="s">
        <v>163</v>
      </c>
      <c r="J65" s="43">
        <v>6</v>
      </c>
      <c r="K65" s="43" t="s">
        <v>277</v>
      </c>
      <c r="L65" s="43" t="s">
        <v>273</v>
      </c>
      <c r="M65" s="43">
        <v>3</v>
      </c>
      <c r="N65" s="43" t="s">
        <v>220</v>
      </c>
      <c r="O65" s="43">
        <v>0</v>
      </c>
      <c r="P65" s="43">
        <v>0</v>
      </c>
      <c r="Q65" s="94">
        <v>0</v>
      </c>
      <c r="R65" s="43">
        <v>0</v>
      </c>
      <c r="S65" s="43"/>
      <c r="T65" s="43"/>
      <c r="U65" s="94"/>
      <c r="V65" s="94"/>
    </row>
    <row r="66" spans="1:22" x14ac:dyDescent="0.25">
      <c r="A66" s="43">
        <v>245</v>
      </c>
      <c r="B66" s="43">
        <v>20</v>
      </c>
      <c r="C66" s="43">
        <v>4</v>
      </c>
      <c r="D66" s="43">
        <v>5</v>
      </c>
      <c r="E66" s="94">
        <v>0.84722222222222221</v>
      </c>
      <c r="F66" s="94">
        <v>0.42499999999999999</v>
      </c>
      <c r="G66" s="43" t="s">
        <v>339</v>
      </c>
      <c r="H66" s="43">
        <v>9000</v>
      </c>
      <c r="I66" s="43" t="s">
        <v>163</v>
      </c>
      <c r="J66" s="43">
        <v>9</v>
      </c>
      <c r="K66" s="43" t="s">
        <v>275</v>
      </c>
      <c r="L66" s="43" t="s">
        <v>270</v>
      </c>
      <c r="M66" s="43">
        <v>3</v>
      </c>
      <c r="N66" s="43" t="s">
        <v>220</v>
      </c>
      <c r="O66" s="43">
        <v>0</v>
      </c>
      <c r="P66" s="43">
        <v>4322</v>
      </c>
      <c r="Q66" s="94">
        <v>0</v>
      </c>
      <c r="R66" s="43">
        <v>0.47361111111111109</v>
      </c>
      <c r="S66" s="43"/>
      <c r="T66" s="43"/>
      <c r="U66" s="94"/>
      <c r="V66" s="94"/>
    </row>
    <row r="67" spans="1:22" x14ac:dyDescent="0.25">
      <c r="A67" s="43">
        <v>246</v>
      </c>
      <c r="B67" s="43">
        <v>20</v>
      </c>
      <c r="C67" s="43">
        <v>4</v>
      </c>
      <c r="D67" s="43">
        <v>6</v>
      </c>
      <c r="E67" s="94">
        <v>0.84722222222222221</v>
      </c>
      <c r="F67" s="94">
        <v>0.42499999999999999</v>
      </c>
      <c r="G67" s="43" t="s">
        <v>339</v>
      </c>
      <c r="H67" s="43">
        <v>9000</v>
      </c>
      <c r="I67" s="43" t="s">
        <v>163</v>
      </c>
      <c r="J67" s="43">
        <v>9</v>
      </c>
      <c r="K67" s="43" t="s">
        <v>278</v>
      </c>
      <c r="L67" s="43" t="s">
        <v>270</v>
      </c>
      <c r="M67" s="43">
        <v>3</v>
      </c>
      <c r="N67" s="43" t="s">
        <v>220</v>
      </c>
      <c r="O67" s="43">
        <v>0</v>
      </c>
      <c r="P67" s="43">
        <v>0</v>
      </c>
      <c r="Q67" s="94">
        <v>0</v>
      </c>
      <c r="R67" s="43">
        <v>0</v>
      </c>
      <c r="S67" s="43"/>
      <c r="T67" s="43"/>
      <c r="U67" s="94"/>
      <c r="V67" s="94"/>
    </row>
    <row r="68" spans="1:22" x14ac:dyDescent="0.25">
      <c r="A68" s="43">
        <v>247</v>
      </c>
      <c r="B68" s="43">
        <v>20</v>
      </c>
      <c r="C68" s="43">
        <v>4</v>
      </c>
      <c r="D68" s="43">
        <v>17</v>
      </c>
      <c r="E68" s="94">
        <v>0.84722222222222221</v>
      </c>
      <c r="F68" s="94">
        <v>0.42499999999999999</v>
      </c>
      <c r="G68" s="43" t="s">
        <v>339</v>
      </c>
      <c r="H68" s="43">
        <v>9000</v>
      </c>
      <c r="I68" s="43" t="s">
        <v>163</v>
      </c>
      <c r="J68" s="43">
        <v>3</v>
      </c>
      <c r="K68" s="43" t="s">
        <v>270</v>
      </c>
      <c r="L68" s="43" t="s">
        <v>270</v>
      </c>
      <c r="M68" s="43">
        <v>3</v>
      </c>
      <c r="N68" s="43" t="s">
        <v>220</v>
      </c>
      <c r="O68" s="43">
        <v>0</v>
      </c>
      <c r="P68" s="43">
        <v>6675</v>
      </c>
      <c r="Q68" s="94">
        <v>0</v>
      </c>
      <c r="R68" s="43">
        <v>1.0729166666666667</v>
      </c>
      <c r="S68" s="43"/>
      <c r="T68" s="43"/>
      <c r="U68" s="94"/>
      <c r="V68" s="94"/>
    </row>
    <row r="69" spans="1:22" x14ac:dyDescent="0.25">
      <c r="A69" s="43">
        <v>248</v>
      </c>
      <c r="B69" s="43">
        <v>20</v>
      </c>
      <c r="C69" s="43">
        <v>4</v>
      </c>
      <c r="D69" s="43">
        <v>18</v>
      </c>
      <c r="E69" s="94">
        <v>0.84722222222222221</v>
      </c>
      <c r="F69" s="94">
        <v>0.42499999999999999</v>
      </c>
      <c r="G69" s="43" t="s">
        <v>339</v>
      </c>
      <c r="H69" s="43">
        <v>9000</v>
      </c>
      <c r="I69" s="43" t="s">
        <v>163</v>
      </c>
      <c r="J69" s="43">
        <v>4</v>
      </c>
      <c r="K69" s="43" t="s">
        <v>271</v>
      </c>
      <c r="L69" s="43" t="s">
        <v>271</v>
      </c>
      <c r="M69" s="43">
        <v>3</v>
      </c>
      <c r="N69" s="43" t="s">
        <v>220</v>
      </c>
      <c r="O69" s="43">
        <v>0</v>
      </c>
      <c r="P69" s="43">
        <v>0</v>
      </c>
      <c r="Q69" s="94">
        <v>0</v>
      </c>
      <c r="R69" s="43">
        <v>0</v>
      </c>
      <c r="S69" s="43"/>
      <c r="T69" s="43"/>
      <c r="U69" s="94"/>
      <c r="V69" s="94"/>
    </row>
    <row r="70" spans="1:22" x14ac:dyDescent="0.25">
      <c r="A70" s="43">
        <v>249</v>
      </c>
      <c r="B70" s="43">
        <v>20</v>
      </c>
      <c r="C70" s="43">
        <v>4</v>
      </c>
      <c r="D70" s="43">
        <v>19</v>
      </c>
      <c r="E70" s="94">
        <v>0.84722222222222221</v>
      </c>
      <c r="F70" s="94">
        <v>0.42499999999999999</v>
      </c>
      <c r="G70" s="43" t="s">
        <v>339</v>
      </c>
      <c r="H70" s="43">
        <v>9000</v>
      </c>
      <c r="I70" s="43" t="s">
        <v>163</v>
      </c>
      <c r="J70" s="43">
        <v>5</v>
      </c>
      <c r="K70" s="43" t="s">
        <v>272</v>
      </c>
      <c r="L70" s="43" t="s">
        <v>272</v>
      </c>
      <c r="M70" s="43">
        <v>3</v>
      </c>
      <c r="N70" s="43" t="s">
        <v>220</v>
      </c>
      <c r="O70" s="43">
        <v>0</v>
      </c>
      <c r="P70" s="43">
        <v>0</v>
      </c>
      <c r="Q70" s="94">
        <v>0</v>
      </c>
      <c r="R70" s="43">
        <v>0</v>
      </c>
      <c r="S70" s="43"/>
      <c r="T70" s="43"/>
      <c r="U70" s="94"/>
      <c r="V70" s="94"/>
    </row>
    <row r="71" spans="1:22" x14ac:dyDescent="0.25">
      <c r="A71" s="43">
        <v>250</v>
      </c>
      <c r="B71" s="43">
        <v>20</v>
      </c>
      <c r="C71" s="43">
        <v>4</v>
      </c>
      <c r="D71" s="43">
        <v>20</v>
      </c>
      <c r="E71" s="94">
        <v>0.84722222222222221</v>
      </c>
      <c r="F71" s="94">
        <v>0.42499999999999999</v>
      </c>
      <c r="G71" s="43" t="s">
        <v>339</v>
      </c>
      <c r="H71" s="43">
        <v>9000</v>
      </c>
      <c r="I71" s="43" t="s">
        <v>163</v>
      </c>
      <c r="J71" s="43">
        <v>8</v>
      </c>
      <c r="K71" s="43" t="s">
        <v>134</v>
      </c>
      <c r="L71" s="43" t="s">
        <v>134</v>
      </c>
      <c r="M71" s="43">
        <v>3</v>
      </c>
      <c r="N71" s="43" t="s">
        <v>220</v>
      </c>
      <c r="O71" s="43">
        <v>0</v>
      </c>
      <c r="P71" s="43">
        <v>0</v>
      </c>
      <c r="Q71" s="94">
        <v>0</v>
      </c>
      <c r="R71" s="43">
        <v>0</v>
      </c>
      <c r="S71" s="43"/>
      <c r="T71" s="43"/>
      <c r="U71" s="94"/>
      <c r="V71" s="94"/>
    </row>
    <row r="72" spans="1:22" x14ac:dyDescent="0.25">
      <c r="A72" s="43">
        <v>251</v>
      </c>
      <c r="B72" s="43">
        <v>20</v>
      </c>
      <c r="C72" s="43">
        <v>3</v>
      </c>
      <c r="D72" s="43">
        <v>1</v>
      </c>
      <c r="E72" s="94">
        <v>0.84722222222222221</v>
      </c>
      <c r="F72" s="94">
        <v>0.42499999999999999</v>
      </c>
      <c r="G72" s="43" t="s">
        <v>339</v>
      </c>
      <c r="H72" s="43">
        <v>9000</v>
      </c>
      <c r="I72" s="43" t="s">
        <v>162</v>
      </c>
      <c r="J72" s="43">
        <v>1</v>
      </c>
      <c r="K72" s="43" t="s">
        <v>268</v>
      </c>
      <c r="L72" s="43" t="s">
        <v>267</v>
      </c>
      <c r="M72" s="43">
        <v>3</v>
      </c>
      <c r="N72" s="43" t="s">
        <v>220</v>
      </c>
      <c r="O72" s="43">
        <v>1232</v>
      </c>
      <c r="P72" s="43">
        <v>1321</v>
      </c>
      <c r="Q72" s="94">
        <v>0.93263888888888891</v>
      </c>
      <c r="R72" s="43">
        <v>9.7916666666666666E-2</v>
      </c>
      <c r="S72" s="43"/>
      <c r="T72" s="43"/>
      <c r="U72" s="94"/>
      <c r="V72" s="94"/>
    </row>
    <row r="73" spans="1:22" x14ac:dyDescent="0.25">
      <c r="A73" s="43">
        <v>252</v>
      </c>
      <c r="B73" s="43">
        <v>20</v>
      </c>
      <c r="C73" s="43">
        <v>3</v>
      </c>
      <c r="D73" s="43">
        <v>2</v>
      </c>
      <c r="E73" s="94">
        <v>0.84722222222222221</v>
      </c>
      <c r="F73" s="94">
        <v>0.42499999999999999</v>
      </c>
      <c r="G73" s="43" t="s">
        <v>339</v>
      </c>
      <c r="H73" s="43">
        <v>9000</v>
      </c>
      <c r="I73" s="43" t="s">
        <v>162</v>
      </c>
      <c r="J73" s="43">
        <v>2</v>
      </c>
      <c r="K73" s="43" t="s">
        <v>269</v>
      </c>
      <c r="L73" s="43" t="s">
        <v>269</v>
      </c>
      <c r="M73" s="43">
        <v>3</v>
      </c>
      <c r="N73" s="43" t="s">
        <v>220</v>
      </c>
      <c r="O73" s="43">
        <v>0</v>
      </c>
      <c r="P73" s="43">
        <v>0</v>
      </c>
      <c r="Q73" s="94">
        <v>0</v>
      </c>
      <c r="R73" s="43">
        <v>0</v>
      </c>
      <c r="S73" s="43"/>
      <c r="T73" s="43"/>
      <c r="U73" s="94"/>
      <c r="V73" s="94"/>
    </row>
    <row r="74" spans="1:22" x14ac:dyDescent="0.25">
      <c r="A74" s="43">
        <v>253</v>
      </c>
      <c r="B74" s="43">
        <v>20</v>
      </c>
      <c r="C74" s="43">
        <v>3</v>
      </c>
      <c r="D74" s="43">
        <v>3</v>
      </c>
      <c r="E74" s="94">
        <v>0.84722222222222221</v>
      </c>
      <c r="F74" s="94">
        <v>0.42499999999999999</v>
      </c>
      <c r="G74" s="43" t="s">
        <v>339</v>
      </c>
      <c r="H74" s="43">
        <v>9000</v>
      </c>
      <c r="I74" s="43" t="s">
        <v>162</v>
      </c>
      <c r="J74" s="43">
        <v>6</v>
      </c>
      <c r="K74" s="43" t="s">
        <v>274</v>
      </c>
      <c r="L74" s="43" t="s">
        <v>273</v>
      </c>
      <c r="M74" s="43">
        <v>3</v>
      </c>
      <c r="N74" s="43" t="s">
        <v>220</v>
      </c>
      <c r="O74" s="43">
        <v>0</v>
      </c>
      <c r="P74" s="43">
        <v>0</v>
      </c>
      <c r="Q74" s="94">
        <v>0</v>
      </c>
      <c r="R74" s="43">
        <v>0</v>
      </c>
      <c r="S74" s="43"/>
      <c r="T74" s="43"/>
      <c r="U74" s="94"/>
      <c r="V74" s="94"/>
    </row>
    <row r="75" spans="1:22" x14ac:dyDescent="0.25">
      <c r="A75" s="43">
        <v>254</v>
      </c>
      <c r="B75" s="43">
        <v>20</v>
      </c>
      <c r="C75" s="43">
        <v>3</v>
      </c>
      <c r="D75" s="43">
        <v>4</v>
      </c>
      <c r="E75" s="94">
        <v>0.84722222222222221</v>
      </c>
      <c r="F75" s="94">
        <v>0.42499999999999999</v>
      </c>
      <c r="G75" s="43" t="s">
        <v>339</v>
      </c>
      <c r="H75" s="43">
        <v>9000</v>
      </c>
      <c r="I75" s="43" t="s">
        <v>162</v>
      </c>
      <c r="J75" s="43">
        <v>6</v>
      </c>
      <c r="K75" s="43" t="s">
        <v>277</v>
      </c>
      <c r="L75" s="43" t="s">
        <v>273</v>
      </c>
      <c r="M75" s="43">
        <v>3</v>
      </c>
      <c r="N75" s="43" t="s">
        <v>220</v>
      </c>
      <c r="O75" s="43">
        <v>0</v>
      </c>
      <c r="P75" s="43">
        <v>0</v>
      </c>
      <c r="Q75" s="94">
        <v>0</v>
      </c>
      <c r="R75" s="43">
        <v>0</v>
      </c>
      <c r="S75" s="43"/>
      <c r="T75" s="43"/>
      <c r="U75" s="94"/>
      <c r="V75" s="94"/>
    </row>
    <row r="76" spans="1:22" x14ac:dyDescent="0.25">
      <c r="A76" s="43">
        <v>255</v>
      </c>
      <c r="B76" s="43">
        <v>20</v>
      </c>
      <c r="C76" s="43">
        <v>3</v>
      </c>
      <c r="D76" s="43">
        <v>5</v>
      </c>
      <c r="E76" s="94">
        <v>0.84722222222222221</v>
      </c>
      <c r="F76" s="94">
        <v>0.42499999999999999</v>
      </c>
      <c r="G76" s="43" t="s">
        <v>339</v>
      </c>
      <c r="H76" s="43">
        <v>9000</v>
      </c>
      <c r="I76" s="43" t="s">
        <v>162</v>
      </c>
      <c r="J76" s="43">
        <v>9</v>
      </c>
      <c r="K76" s="43" t="s">
        <v>275</v>
      </c>
      <c r="L76" s="43" t="s">
        <v>270</v>
      </c>
      <c r="M76" s="43">
        <v>3</v>
      </c>
      <c r="N76" s="43" t="s">
        <v>220</v>
      </c>
      <c r="O76" s="43">
        <v>0</v>
      </c>
      <c r="P76" s="43">
        <v>0</v>
      </c>
      <c r="Q76" s="94">
        <v>0</v>
      </c>
      <c r="R76" s="43">
        <v>0</v>
      </c>
      <c r="S76" s="43"/>
      <c r="T76" s="43"/>
      <c r="U76" s="94"/>
      <c r="V76" s="94"/>
    </row>
    <row r="77" spans="1:22" x14ac:dyDescent="0.25">
      <c r="A77" s="43">
        <v>256</v>
      </c>
      <c r="B77" s="43">
        <v>20</v>
      </c>
      <c r="C77" s="43">
        <v>3</v>
      </c>
      <c r="D77" s="43">
        <v>6</v>
      </c>
      <c r="E77" s="94">
        <v>0.84722222222222221</v>
      </c>
      <c r="F77" s="94">
        <v>0.42499999999999999</v>
      </c>
      <c r="G77" s="43" t="s">
        <v>339</v>
      </c>
      <c r="H77" s="43">
        <v>9000</v>
      </c>
      <c r="I77" s="43" t="s">
        <v>162</v>
      </c>
      <c r="J77" s="43">
        <v>9</v>
      </c>
      <c r="K77" s="43" t="s">
        <v>278</v>
      </c>
      <c r="L77" s="43" t="s">
        <v>270</v>
      </c>
      <c r="M77" s="43">
        <v>3</v>
      </c>
      <c r="N77" s="43" t="s">
        <v>220</v>
      </c>
      <c r="O77" s="43">
        <v>0</v>
      </c>
      <c r="P77" s="43">
        <v>3574</v>
      </c>
      <c r="Q77" s="94">
        <v>0</v>
      </c>
      <c r="R77" s="43">
        <v>1.0229166666666667</v>
      </c>
      <c r="S77" s="43"/>
      <c r="T77" s="43"/>
      <c r="U77" s="94"/>
      <c r="V77" s="94"/>
    </row>
    <row r="78" spans="1:22" x14ac:dyDescent="0.25">
      <c r="A78" s="43">
        <v>257</v>
      </c>
      <c r="B78" s="43">
        <v>20</v>
      </c>
      <c r="C78" s="43">
        <v>3</v>
      </c>
      <c r="D78" s="43">
        <v>17</v>
      </c>
      <c r="E78" s="94">
        <v>0.84722222222222221</v>
      </c>
      <c r="F78" s="94">
        <v>0.42499999999999999</v>
      </c>
      <c r="G78" s="43" t="s">
        <v>339</v>
      </c>
      <c r="H78" s="43">
        <v>9000</v>
      </c>
      <c r="I78" s="43" t="s">
        <v>162</v>
      </c>
      <c r="J78" s="43">
        <v>3</v>
      </c>
      <c r="K78" s="43" t="s">
        <v>270</v>
      </c>
      <c r="L78" s="43" t="s">
        <v>270</v>
      </c>
      <c r="M78" s="43">
        <v>3</v>
      </c>
      <c r="N78" s="43" t="s">
        <v>220</v>
      </c>
      <c r="O78" s="43">
        <v>5564</v>
      </c>
      <c r="P78" s="43">
        <v>2000</v>
      </c>
      <c r="Q78" s="94">
        <v>0.65625</v>
      </c>
      <c r="R78" s="43">
        <v>8.5416666666666669E-2</v>
      </c>
      <c r="S78" s="43"/>
      <c r="T78" s="43"/>
      <c r="U78" s="94"/>
      <c r="V78" s="94"/>
    </row>
    <row r="79" spans="1:22" x14ac:dyDescent="0.25">
      <c r="A79" s="43">
        <v>258</v>
      </c>
      <c r="B79" s="43">
        <v>20</v>
      </c>
      <c r="C79" s="43">
        <v>3</v>
      </c>
      <c r="D79" s="43">
        <v>18</v>
      </c>
      <c r="E79" s="94">
        <v>0.84722222222222221</v>
      </c>
      <c r="F79" s="94">
        <v>0.42499999999999999</v>
      </c>
      <c r="G79" s="43" t="s">
        <v>339</v>
      </c>
      <c r="H79" s="43">
        <v>9000</v>
      </c>
      <c r="I79" s="43" t="s">
        <v>162</v>
      </c>
      <c r="J79" s="43">
        <v>4</v>
      </c>
      <c r="K79" s="43" t="s">
        <v>271</v>
      </c>
      <c r="L79" s="43" t="s">
        <v>271</v>
      </c>
      <c r="M79" s="43">
        <v>3</v>
      </c>
      <c r="N79" s="43" t="s">
        <v>220</v>
      </c>
      <c r="O79" s="43">
        <v>0</v>
      </c>
      <c r="P79" s="43">
        <v>0</v>
      </c>
      <c r="Q79" s="94">
        <v>0</v>
      </c>
      <c r="R79" s="43">
        <v>0</v>
      </c>
      <c r="S79" s="43"/>
      <c r="T79" s="43"/>
      <c r="U79" s="94"/>
      <c r="V79" s="94"/>
    </row>
    <row r="80" spans="1:22" x14ac:dyDescent="0.25">
      <c r="A80" s="43">
        <v>259</v>
      </c>
      <c r="B80" s="43">
        <v>20</v>
      </c>
      <c r="C80" s="43">
        <v>3</v>
      </c>
      <c r="D80" s="43">
        <v>19</v>
      </c>
      <c r="E80" s="94">
        <v>0.84722222222222221</v>
      </c>
      <c r="F80" s="94">
        <v>0.42499999999999999</v>
      </c>
      <c r="G80" s="43" t="s">
        <v>339</v>
      </c>
      <c r="H80" s="43">
        <v>9000</v>
      </c>
      <c r="I80" s="43" t="s">
        <v>162</v>
      </c>
      <c r="J80" s="43">
        <v>5</v>
      </c>
      <c r="K80" s="43" t="s">
        <v>272</v>
      </c>
      <c r="L80" s="43" t="s">
        <v>272</v>
      </c>
      <c r="M80" s="43">
        <v>3</v>
      </c>
      <c r="N80" s="43" t="s">
        <v>220</v>
      </c>
      <c r="O80" s="43">
        <v>0</v>
      </c>
      <c r="P80" s="43">
        <v>0</v>
      </c>
      <c r="Q80" s="94">
        <v>0</v>
      </c>
      <c r="R80" s="43">
        <v>0</v>
      </c>
      <c r="S80" s="43"/>
      <c r="T80" s="43"/>
      <c r="U80" s="94"/>
      <c r="V80" s="94"/>
    </row>
    <row r="81" spans="1:22" x14ac:dyDescent="0.25">
      <c r="A81" s="43">
        <v>260</v>
      </c>
      <c r="B81" s="43">
        <v>20</v>
      </c>
      <c r="C81" s="43">
        <v>3</v>
      </c>
      <c r="D81" s="43">
        <v>20</v>
      </c>
      <c r="E81" s="94">
        <v>0.84722222222222221</v>
      </c>
      <c r="F81" s="94">
        <v>0.42499999999999999</v>
      </c>
      <c r="G81" s="43" t="s">
        <v>339</v>
      </c>
      <c r="H81" s="43">
        <v>9000</v>
      </c>
      <c r="I81" s="43" t="s">
        <v>162</v>
      </c>
      <c r="J81" s="43">
        <v>8</v>
      </c>
      <c r="K81" s="43" t="s">
        <v>134</v>
      </c>
      <c r="L81" s="43" t="s">
        <v>134</v>
      </c>
      <c r="M81" s="43">
        <v>3</v>
      </c>
      <c r="N81" s="43" t="s">
        <v>220</v>
      </c>
      <c r="O81" s="43">
        <v>0</v>
      </c>
      <c r="P81" s="43">
        <v>0</v>
      </c>
      <c r="Q81" s="94">
        <v>0</v>
      </c>
      <c r="R81" s="43">
        <v>0</v>
      </c>
      <c r="S81" s="43"/>
      <c r="T81" s="43"/>
      <c r="U81" s="94"/>
      <c r="V81" s="94"/>
    </row>
    <row r="82" spans="1:22" x14ac:dyDescent="0.25">
      <c r="A82" s="43">
        <v>261</v>
      </c>
      <c r="B82" s="43">
        <v>20</v>
      </c>
      <c r="C82" s="43">
        <v>54</v>
      </c>
      <c r="D82" s="43">
        <v>1</v>
      </c>
      <c r="E82" s="94">
        <v>0.84722222222222221</v>
      </c>
      <c r="F82" s="94">
        <v>0.42499999999999999</v>
      </c>
      <c r="G82" s="43" t="s">
        <v>339</v>
      </c>
      <c r="H82" s="43">
        <v>9000</v>
      </c>
      <c r="I82" s="43" t="s">
        <v>40</v>
      </c>
      <c r="J82" s="43">
        <v>1</v>
      </c>
      <c r="K82" s="43" t="s">
        <v>268</v>
      </c>
      <c r="L82" s="43" t="s">
        <v>267</v>
      </c>
      <c r="M82" s="43">
        <v>3</v>
      </c>
      <c r="N82" s="43" t="s">
        <v>220</v>
      </c>
      <c r="O82" s="43">
        <v>0</v>
      </c>
      <c r="P82" s="43">
        <v>0</v>
      </c>
      <c r="Q82" s="94">
        <v>0</v>
      </c>
      <c r="R82" s="43">
        <v>0</v>
      </c>
      <c r="S82" s="43"/>
      <c r="T82" s="43"/>
      <c r="U82" s="94"/>
      <c r="V82" s="94"/>
    </row>
    <row r="83" spans="1:22" x14ac:dyDescent="0.25">
      <c r="A83" s="43">
        <v>262</v>
      </c>
      <c r="B83" s="43">
        <v>20</v>
      </c>
      <c r="C83" s="43">
        <v>54</v>
      </c>
      <c r="D83" s="43">
        <v>2</v>
      </c>
      <c r="E83" s="94">
        <v>0.84722222222222221</v>
      </c>
      <c r="F83" s="94">
        <v>0.42499999999999999</v>
      </c>
      <c r="G83" s="43" t="s">
        <v>339</v>
      </c>
      <c r="H83" s="43">
        <v>9000</v>
      </c>
      <c r="I83" s="43" t="s">
        <v>40</v>
      </c>
      <c r="J83" s="43">
        <v>2</v>
      </c>
      <c r="K83" s="43" t="s">
        <v>269</v>
      </c>
      <c r="L83" s="43" t="s">
        <v>269</v>
      </c>
      <c r="M83" s="43">
        <v>3</v>
      </c>
      <c r="N83" s="43" t="s">
        <v>220</v>
      </c>
      <c r="O83" s="43">
        <v>0</v>
      </c>
      <c r="P83" s="43">
        <v>0</v>
      </c>
      <c r="Q83" s="94">
        <v>0</v>
      </c>
      <c r="R83" s="43">
        <v>0</v>
      </c>
      <c r="S83" s="43"/>
      <c r="T83" s="43"/>
      <c r="U83" s="94"/>
      <c r="V83" s="94"/>
    </row>
    <row r="84" spans="1:22" x14ac:dyDescent="0.25">
      <c r="A84" s="43">
        <v>263</v>
      </c>
      <c r="B84" s="43">
        <v>20</v>
      </c>
      <c r="C84" s="43">
        <v>54</v>
      </c>
      <c r="D84" s="43">
        <v>3</v>
      </c>
      <c r="E84" s="94">
        <v>0.84722222222222221</v>
      </c>
      <c r="F84" s="94">
        <v>0.42499999999999999</v>
      </c>
      <c r="G84" s="43" t="s">
        <v>339</v>
      </c>
      <c r="H84" s="43">
        <v>9000</v>
      </c>
      <c r="I84" s="43" t="s">
        <v>40</v>
      </c>
      <c r="J84" s="43">
        <v>6</v>
      </c>
      <c r="K84" s="43" t="s">
        <v>274</v>
      </c>
      <c r="L84" s="43" t="s">
        <v>273</v>
      </c>
      <c r="M84" s="43">
        <v>3</v>
      </c>
      <c r="N84" s="43" t="s">
        <v>220</v>
      </c>
      <c r="O84" s="43">
        <v>0</v>
      </c>
      <c r="P84" s="43">
        <v>0</v>
      </c>
      <c r="Q84" s="94">
        <v>0</v>
      </c>
      <c r="R84" s="43">
        <v>0</v>
      </c>
      <c r="S84" s="43"/>
      <c r="T84" s="43"/>
      <c r="U84" s="94"/>
      <c r="V84" s="94"/>
    </row>
    <row r="85" spans="1:22" x14ac:dyDescent="0.25">
      <c r="A85" s="43">
        <v>264</v>
      </c>
      <c r="B85" s="43">
        <v>20</v>
      </c>
      <c r="C85" s="43">
        <v>54</v>
      </c>
      <c r="D85" s="43">
        <v>4</v>
      </c>
      <c r="E85" s="94">
        <v>0.84722222222222221</v>
      </c>
      <c r="F85" s="94">
        <v>0.42499999999999999</v>
      </c>
      <c r="G85" s="43" t="s">
        <v>339</v>
      </c>
      <c r="H85" s="43">
        <v>9000</v>
      </c>
      <c r="I85" s="43" t="s">
        <v>40</v>
      </c>
      <c r="J85" s="43">
        <v>6</v>
      </c>
      <c r="K85" s="43" t="s">
        <v>277</v>
      </c>
      <c r="L85" s="43" t="s">
        <v>273</v>
      </c>
      <c r="M85" s="43">
        <v>3</v>
      </c>
      <c r="N85" s="43" t="s">
        <v>220</v>
      </c>
      <c r="O85" s="43">
        <v>0</v>
      </c>
      <c r="P85" s="43">
        <v>0</v>
      </c>
      <c r="Q85" s="94">
        <v>0</v>
      </c>
      <c r="R85" s="43">
        <v>0</v>
      </c>
      <c r="S85" s="43"/>
      <c r="T85" s="43"/>
      <c r="U85" s="94"/>
      <c r="V85" s="94"/>
    </row>
    <row r="86" spans="1:22" x14ac:dyDescent="0.25">
      <c r="A86" s="43">
        <v>265</v>
      </c>
      <c r="B86" s="43">
        <v>20</v>
      </c>
      <c r="C86" s="43">
        <v>54</v>
      </c>
      <c r="D86" s="43">
        <v>5</v>
      </c>
      <c r="E86" s="94">
        <v>0.84722222222222221</v>
      </c>
      <c r="F86" s="94">
        <v>0.42499999999999999</v>
      </c>
      <c r="G86" s="43" t="s">
        <v>339</v>
      </c>
      <c r="H86" s="43">
        <v>9000</v>
      </c>
      <c r="I86" s="43" t="s">
        <v>40</v>
      </c>
      <c r="J86" s="43">
        <v>9</v>
      </c>
      <c r="K86" s="43" t="s">
        <v>275</v>
      </c>
      <c r="L86" s="43" t="s">
        <v>270</v>
      </c>
      <c r="M86" s="43">
        <v>3</v>
      </c>
      <c r="N86" s="43" t="s">
        <v>220</v>
      </c>
      <c r="O86" s="43">
        <v>0</v>
      </c>
      <c r="P86" s="43">
        <v>0</v>
      </c>
      <c r="Q86" s="94">
        <v>0</v>
      </c>
      <c r="R86" s="43">
        <v>0</v>
      </c>
      <c r="S86" s="43"/>
      <c r="T86" s="43"/>
      <c r="U86" s="94"/>
      <c r="V86" s="94"/>
    </row>
    <row r="87" spans="1:22" x14ac:dyDescent="0.25">
      <c r="A87" s="43">
        <v>266</v>
      </c>
      <c r="B87" s="43">
        <v>20</v>
      </c>
      <c r="C87" s="43">
        <v>54</v>
      </c>
      <c r="D87" s="43">
        <v>6</v>
      </c>
      <c r="E87" s="94">
        <v>0.84722222222222221</v>
      </c>
      <c r="F87" s="94">
        <v>0.42499999999999999</v>
      </c>
      <c r="G87" s="43" t="s">
        <v>339</v>
      </c>
      <c r="H87" s="43">
        <v>9000</v>
      </c>
      <c r="I87" s="43" t="s">
        <v>40</v>
      </c>
      <c r="J87" s="43">
        <v>9</v>
      </c>
      <c r="K87" s="43" t="s">
        <v>278</v>
      </c>
      <c r="L87" s="43" t="s">
        <v>270</v>
      </c>
      <c r="M87" s="43">
        <v>3</v>
      </c>
      <c r="N87" s="43" t="s">
        <v>220</v>
      </c>
      <c r="O87" s="43">
        <v>0</v>
      </c>
      <c r="P87" s="43">
        <v>0</v>
      </c>
      <c r="Q87" s="94">
        <v>0</v>
      </c>
      <c r="R87" s="43">
        <v>0</v>
      </c>
      <c r="S87" s="43"/>
      <c r="T87" s="43"/>
      <c r="U87" s="94"/>
      <c r="V87" s="94"/>
    </row>
    <row r="88" spans="1:22" x14ac:dyDescent="0.25">
      <c r="A88" s="43">
        <v>267</v>
      </c>
      <c r="B88" s="43">
        <v>20</v>
      </c>
      <c r="C88" s="43">
        <v>54</v>
      </c>
      <c r="D88" s="43">
        <v>17</v>
      </c>
      <c r="E88" s="94">
        <v>0.84722222222222221</v>
      </c>
      <c r="F88" s="94">
        <v>0.42499999999999999</v>
      </c>
      <c r="G88" s="43" t="s">
        <v>339</v>
      </c>
      <c r="H88" s="43">
        <v>9000</v>
      </c>
      <c r="I88" s="43" t="s">
        <v>40</v>
      </c>
      <c r="J88" s="43">
        <v>3</v>
      </c>
      <c r="K88" s="43" t="s">
        <v>270</v>
      </c>
      <c r="L88" s="43" t="s">
        <v>270</v>
      </c>
      <c r="M88" s="43">
        <v>3</v>
      </c>
      <c r="N88" s="43" t="s">
        <v>220</v>
      </c>
      <c r="O88" s="43">
        <v>0</v>
      </c>
      <c r="P88" s="43">
        <v>0</v>
      </c>
      <c r="Q88" s="94">
        <v>0</v>
      </c>
      <c r="R88" s="43">
        <v>0</v>
      </c>
      <c r="S88" s="43"/>
      <c r="T88" s="43"/>
      <c r="U88" s="94"/>
      <c r="V88" s="94"/>
    </row>
    <row r="89" spans="1:22" x14ac:dyDescent="0.25">
      <c r="A89" s="43">
        <v>268</v>
      </c>
      <c r="B89" s="43">
        <v>20</v>
      </c>
      <c r="C89" s="43">
        <v>54</v>
      </c>
      <c r="D89" s="43">
        <v>18</v>
      </c>
      <c r="E89" s="94">
        <v>0.84722222222222221</v>
      </c>
      <c r="F89" s="94">
        <v>0.42499999999999999</v>
      </c>
      <c r="G89" s="43" t="s">
        <v>339</v>
      </c>
      <c r="H89" s="43">
        <v>9000</v>
      </c>
      <c r="I89" s="43" t="s">
        <v>40</v>
      </c>
      <c r="J89" s="43">
        <v>4</v>
      </c>
      <c r="K89" s="43" t="s">
        <v>271</v>
      </c>
      <c r="L89" s="43" t="s">
        <v>271</v>
      </c>
      <c r="M89" s="43">
        <v>3</v>
      </c>
      <c r="N89" s="43" t="s">
        <v>220</v>
      </c>
      <c r="O89" s="43">
        <v>0</v>
      </c>
      <c r="P89" s="43">
        <v>0</v>
      </c>
      <c r="Q89" s="94">
        <v>0</v>
      </c>
      <c r="R89" s="43">
        <v>0</v>
      </c>
      <c r="S89" s="43"/>
      <c r="T89" s="43"/>
      <c r="U89" s="94"/>
      <c r="V89" s="94"/>
    </row>
    <row r="90" spans="1:22" x14ac:dyDescent="0.25">
      <c r="A90" s="43">
        <v>269</v>
      </c>
      <c r="B90" s="43">
        <v>20</v>
      </c>
      <c r="C90" s="43">
        <v>54</v>
      </c>
      <c r="D90" s="43">
        <v>19</v>
      </c>
      <c r="E90" s="94">
        <v>0.84722222222222221</v>
      </c>
      <c r="F90" s="94">
        <v>0.42499999999999999</v>
      </c>
      <c r="G90" s="43" t="s">
        <v>339</v>
      </c>
      <c r="H90" s="43">
        <v>9000</v>
      </c>
      <c r="I90" s="43" t="s">
        <v>40</v>
      </c>
      <c r="J90" s="43">
        <v>5</v>
      </c>
      <c r="K90" s="43" t="s">
        <v>272</v>
      </c>
      <c r="L90" s="43" t="s">
        <v>272</v>
      </c>
      <c r="M90" s="43">
        <v>3</v>
      </c>
      <c r="N90" s="43" t="s">
        <v>220</v>
      </c>
      <c r="O90" s="43">
        <v>0</v>
      </c>
      <c r="P90" s="43">
        <v>0</v>
      </c>
      <c r="Q90" s="94">
        <v>0</v>
      </c>
      <c r="R90" s="43">
        <v>0</v>
      </c>
      <c r="S90" s="43"/>
      <c r="T90" s="43"/>
      <c r="U90" s="94"/>
      <c r="V90" s="94"/>
    </row>
    <row r="91" spans="1:22" x14ac:dyDescent="0.25">
      <c r="A91" s="43">
        <v>270</v>
      </c>
      <c r="B91" s="43">
        <v>20</v>
      </c>
      <c r="C91" s="43">
        <v>54</v>
      </c>
      <c r="D91" s="43">
        <v>20</v>
      </c>
      <c r="E91" s="94">
        <v>0.84722222222222221</v>
      </c>
      <c r="F91" s="94">
        <v>0.42499999999999999</v>
      </c>
      <c r="G91" s="43" t="s">
        <v>339</v>
      </c>
      <c r="H91" s="43">
        <v>9000</v>
      </c>
      <c r="I91" s="43" t="s">
        <v>40</v>
      </c>
      <c r="J91" s="43">
        <v>8</v>
      </c>
      <c r="K91" s="43" t="s">
        <v>134</v>
      </c>
      <c r="L91" s="43" t="s">
        <v>134</v>
      </c>
      <c r="M91" s="43">
        <v>3</v>
      </c>
      <c r="N91" s="43" t="s">
        <v>220</v>
      </c>
      <c r="O91" s="43">
        <v>0</v>
      </c>
      <c r="P91" s="43">
        <v>0</v>
      </c>
      <c r="Q91" s="94">
        <v>0</v>
      </c>
      <c r="R91" s="43">
        <v>0</v>
      </c>
      <c r="S91" s="43"/>
      <c r="T91" s="43"/>
      <c r="U91" s="94"/>
      <c r="V91" s="94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Props1.xml><?xml version="1.0" encoding="utf-8"?>
<ds:datastoreItem xmlns:ds="http://schemas.openxmlformats.org/officeDocument/2006/customXml" ds:itemID="{FD0A6C44-AF39-4A4B-BFD7-0AE76E98E9F7}">
  <ds:schemaRefs/>
</ds:datastoreItem>
</file>

<file path=customXml/itemProps2.xml><?xml version="1.0" encoding="utf-8"?>
<ds:datastoreItem xmlns:ds="http://schemas.openxmlformats.org/officeDocument/2006/customXml" ds:itemID="{0A20D4D1-CA6A-4287-85D5-0928AEDC4B4A}">
  <ds:schemaRefs/>
</ds:datastoreItem>
</file>

<file path=customXml/itemProps3.xml><?xml version="1.0" encoding="utf-8"?>
<ds:datastoreItem xmlns:ds="http://schemas.openxmlformats.org/officeDocument/2006/customXml" ds:itemID="{FBCA5601-7EE3-4582-8AA0-D8C74DE15EDE}">
  <ds:schemaRefs/>
</ds:datastoreItem>
</file>

<file path=customXml/itemProps4.xml><?xml version="1.0" encoding="utf-8"?>
<ds:datastoreItem xmlns:ds="http://schemas.openxmlformats.org/officeDocument/2006/customXml" ds:itemID="{3EA0AC82-CE9C-4DC3-A870-08CF52D54FAB}">
  <ds:schemaRefs/>
</ds:datastoreItem>
</file>

<file path=customXml/itemProps5.xml><?xml version="1.0" encoding="utf-8"?>
<ds:datastoreItem xmlns:ds="http://schemas.openxmlformats.org/officeDocument/2006/customXml" ds:itemID="{C1C78B04-2E82-4E69-ACFA-1E8840679033}">
  <ds:schemaRefs/>
</ds:datastoreItem>
</file>

<file path=customXml/itemProps6.xml><?xml version="1.0" encoding="utf-8"?>
<ds:datastoreItem xmlns:ds="http://schemas.openxmlformats.org/officeDocument/2006/customXml" ds:itemID="{E4A8C763-2B65-4041-BD2B-0EB2E1CE9BDF}">
  <ds:schemaRefs/>
</ds:datastoreItem>
</file>

<file path=customXml/itemProps7.xml><?xml version="1.0" encoding="utf-8"?>
<ds:datastoreItem xmlns:ds="http://schemas.openxmlformats.org/officeDocument/2006/customXml" ds:itemID="{280EBAB0-D6C7-4F3D-8524-462E93F9F52E}">
  <ds:schemaRefs/>
</ds:datastoreItem>
</file>

<file path=customXml/itemProps8.xml><?xml version="1.0" encoding="utf-8"?>
<ds:datastoreItem xmlns:ds="http://schemas.openxmlformats.org/officeDocument/2006/customXml" ds:itemID="{E958E4E3-33AB-41F7-890D-B5A5205C6529}">
  <ds:schemaRefs/>
</ds:datastoreItem>
</file>

<file path=customXml/itemProps9.xml><?xml version="1.0" encoding="utf-8"?>
<ds:datastoreItem xmlns:ds="http://schemas.openxmlformats.org/officeDocument/2006/customXml" ds:itemID="{381C3125-BE14-44E4-B3A7-CBBE1D4067C2}">
  <ds:schemaRefs/>
</ds:datastoreItem>
</file>

<file path=customXml/itemProps10.xml><?xml version="1.0" encoding="utf-8"?>
<ds:datastoreItem xmlns:ds="http://schemas.openxmlformats.org/officeDocument/2006/customXml" ds:itemID="{6F5DE76A-4B46-422B-84C1-6E7E881BE86B}">
  <ds:schemaRefs/>
</ds:datastoreItem>
</file>

<file path=customXml/itemProps11.xml><?xml version="1.0" encoding="utf-8"?>
<ds:datastoreItem xmlns:ds="http://schemas.openxmlformats.org/officeDocument/2006/customXml" ds:itemID="{FE6D700A-3B06-4E11-AC97-F2BE3D47ACBA}">
  <ds:schemaRefs/>
</ds:datastoreItem>
</file>

<file path=customXml/itemProps12.xml><?xml version="1.0" encoding="utf-8"?>
<ds:datastoreItem xmlns:ds="http://schemas.openxmlformats.org/officeDocument/2006/customXml" ds:itemID="{06BD91E6-22A5-462E-910F-A615338FC250}">
  <ds:schemaRefs/>
</ds:datastoreItem>
</file>

<file path=customXml/itemProps13.xml><?xml version="1.0" encoding="utf-8"?>
<ds:datastoreItem xmlns:ds="http://schemas.openxmlformats.org/officeDocument/2006/customXml" ds:itemID="{4FBD1FF2-3050-47F2-8AFA-BDA17A6EAE8E}">
  <ds:schemaRefs/>
</ds:datastoreItem>
</file>

<file path=customXml/itemProps14.xml><?xml version="1.0" encoding="utf-8"?>
<ds:datastoreItem xmlns:ds="http://schemas.openxmlformats.org/officeDocument/2006/customXml" ds:itemID="{751F8F0E-E739-4DE5-AEDB-A7BE39175BD6}">
  <ds:schemaRefs/>
</ds:datastoreItem>
</file>

<file path=customXml/itemProps15.xml><?xml version="1.0" encoding="utf-8"?>
<ds:datastoreItem xmlns:ds="http://schemas.openxmlformats.org/officeDocument/2006/customXml" ds:itemID="{FE71495F-0B72-4872-8105-6EA8524FB8EA}">
  <ds:schemaRefs/>
</ds:datastoreItem>
</file>

<file path=customXml/itemProps16.xml><?xml version="1.0" encoding="utf-8"?>
<ds:datastoreItem xmlns:ds="http://schemas.openxmlformats.org/officeDocument/2006/customXml" ds:itemID="{8992F573-327A-4CD7-A508-A661FDED7744}">
  <ds:schemaRefs/>
</ds:datastoreItem>
</file>

<file path=customXml/itemProps17.xml><?xml version="1.0" encoding="utf-8"?>
<ds:datastoreItem xmlns:ds="http://schemas.openxmlformats.org/officeDocument/2006/customXml" ds:itemID="{82933FF2-63DF-4400-AAC0-CA21A5FF35CC}">
  <ds:schemaRefs/>
</ds:datastoreItem>
</file>

<file path=customXml/itemProps18.xml><?xml version="1.0" encoding="utf-8"?>
<ds:datastoreItem xmlns:ds="http://schemas.openxmlformats.org/officeDocument/2006/customXml" ds:itemID="{F01F06F7-14F2-4255-BBCB-B2CC9E7401A4}">
  <ds:schemaRefs/>
</ds:datastoreItem>
</file>

<file path=customXml/itemProps19.xml><?xml version="1.0" encoding="utf-8"?>
<ds:datastoreItem xmlns:ds="http://schemas.openxmlformats.org/officeDocument/2006/customXml" ds:itemID="{8AE408D0-AA16-424A-ACD9-85B846F34B28}">
  <ds:schemaRefs/>
</ds:datastoreItem>
</file>

<file path=customXml/itemProps20.xml><?xml version="1.0" encoding="utf-8"?>
<ds:datastoreItem xmlns:ds="http://schemas.openxmlformats.org/officeDocument/2006/customXml" ds:itemID="{72B2FDF6-20CC-4EBA-9449-9538ED24F692}">
  <ds:schemaRefs/>
</ds:datastoreItem>
</file>

<file path=customXml/itemProps21.xml><?xml version="1.0" encoding="utf-8"?>
<ds:datastoreItem xmlns:ds="http://schemas.openxmlformats.org/officeDocument/2006/customXml" ds:itemID="{D5DB2B10-9A30-49D7-B35F-8D0C28BE1552}">
  <ds:schemaRefs/>
</ds:datastoreItem>
</file>

<file path=customXml/itemProps22.xml><?xml version="1.0" encoding="utf-8"?>
<ds:datastoreItem xmlns:ds="http://schemas.openxmlformats.org/officeDocument/2006/customXml" ds:itemID="{46D3F9FB-6BBF-4D47-BEBF-8A14DC8A7F41}">
  <ds:schemaRefs/>
</ds:datastoreItem>
</file>

<file path=customXml/itemProps23.xml><?xml version="1.0" encoding="utf-8"?>
<ds:datastoreItem xmlns:ds="http://schemas.openxmlformats.org/officeDocument/2006/customXml" ds:itemID="{91C36F66-5058-4696-973F-F858E5D43C23}">
  <ds:schemaRefs/>
</ds:datastoreItem>
</file>

<file path=customXml/itemProps24.xml><?xml version="1.0" encoding="utf-8"?>
<ds:datastoreItem xmlns:ds="http://schemas.openxmlformats.org/officeDocument/2006/customXml" ds:itemID="{37BB6F2E-760D-46ED-A5E2-C4FE4CCE4ABD}">
  <ds:schemaRefs/>
</ds:datastoreItem>
</file>

<file path=customXml/itemProps25.xml><?xml version="1.0" encoding="utf-8"?>
<ds:datastoreItem xmlns:ds="http://schemas.openxmlformats.org/officeDocument/2006/customXml" ds:itemID="{C3B08A7D-B79F-4575-9C1A-53000EC7733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bc_nl_kh</vt:lpstr>
      <vt:lpstr>loaixd</vt:lpstr>
      <vt:lpstr>nguon_nx</vt:lpstr>
      <vt:lpstr>Sheet2</vt:lpstr>
      <vt:lpstr>socai</vt:lpstr>
      <vt:lpstr>nhiem_vu</vt:lpstr>
      <vt:lpstr>bc_nxt</vt:lpstr>
      <vt:lpstr>Sheet6</vt:lpstr>
      <vt:lpstr>Sheet7</vt:lpstr>
      <vt:lpstr>phantich_nhiemvu</vt:lpstr>
      <vt:lpstr>Sheet3</vt:lpstr>
      <vt:lpstr>Sheet9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tga</dc:creator>
  <cp:lastModifiedBy>tga</cp:lastModifiedBy>
  <cp:lastPrinted>2024-10-17T09:01:01Z</cp:lastPrinted>
  <dcterms:created xsi:type="dcterms:W3CDTF">2024-10-09T04:37:03Z</dcterms:created>
  <dcterms:modified xsi:type="dcterms:W3CDTF">2024-11-09T12:11:09Z</dcterms:modified>
</cp:coreProperties>
</file>