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activeTab="5"/>
  </bookViews>
  <sheets>
    <sheet name="socai" sheetId="1" r:id="rId1"/>
    <sheet name="loaixd" sheetId="2" r:id="rId2"/>
    <sheet name="nguon_nx" sheetId="3" r:id="rId3"/>
    <sheet name="phuongtien" sheetId="4" r:id="rId4"/>
    <sheet name="z_a" sheetId="6" r:id="rId5"/>
    <sheet name="Sheet1" sheetId="10" r:id="rId6"/>
    <sheet name="title" sheetId="12" r:id="rId7"/>
    <sheet name="tructhuoc" sheetId="7" r:id="rId8"/>
    <sheet name="nguonnx_tructhuoc" sheetId="8" r:id="rId9"/>
  </sheets>
  <definedNames>
    <definedName name="_xlcn.WorksheetConnection_data3.xlsmtb_loaixd21" hidden="1">tb_loaixd2[]</definedName>
    <definedName name="_xlcn.WorksheetConnection_data3.xlsmtb_nguon_nx1" hidden="1">tb_nguon_nx[]</definedName>
    <definedName name="_xlcn.WorksheetConnection_data3.xlsmtb_nguonnx_tructhuoc1" hidden="1">tb_nguonnx_tructhuoc[]</definedName>
    <definedName name="_xlcn.WorksheetConnection_data3.xlsmtb_socai1" hidden="1">tb_socai[]</definedName>
    <definedName name="_xlcn.WorksheetConnection_data3.xlsmtb_tructhuoc1" hidden="1">tb_tructhuoc[]</definedName>
    <definedName name="postgres" localSheetId="0" hidden="1">socai!$B$2:$AR$11</definedName>
    <definedName name="postgres_loaixd2" localSheetId="1" hidden="1">loaixd!$B$2:$I$53</definedName>
    <definedName name="postgres_nguon_nx" localSheetId="2" hidden="1">nguon_nx!$A$1:$F$46</definedName>
    <definedName name="postgres_nguonnx_tructhuoc" localSheetId="8" hidden="1">nguonnx_tructhuoc!$A$1:$C$31</definedName>
    <definedName name="postgres_tructhuoc" localSheetId="7" hidden="1">tructhuoc!$A$1:$G$15</definedName>
  </definedNames>
  <calcPr calcId="162913"/>
  <pivotCaches>
    <pivotCache cacheId="0" r:id="rId10"/>
    <pivotCache cacheId="10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_tructhuoc" name="tb_tructhuoc" connection="WorksheetConnection_data3.xlsm!tb_tructhuoc"/>
          <x15:modelTable id="tb_socai" name="tb_socai" connection="WorksheetConnection_data3.xlsm!tb_socai"/>
          <x15:modelTable id="tb_nguonnx_tructhuoc" name="tb_nguonnx_tructhuoc" connection="WorksheetConnection_data3.xlsm!tb_nguonnx_tructhuoc"/>
          <x15:modelTable id="tb_nguon_nx" name="tb_nguon_nx" connection="WorksheetConnection_data3.xlsm!tb_nguon_nx"/>
          <x15:modelTable id="tb_loaixd2" name="tb_loaixd2" connection="WorksheetConnection_data3.xlsm!tb_loaixd2"/>
        </x15:modelTables>
        <x15:modelRelationships>
          <x15:modelRelationship fromTable="tb_socai" fromColumn="loaixd_id" toTable="tb_loaixd2" toColumn="id"/>
          <x15:modelRelationship fromTable="tb_socai" fromColumn="nguonnx_tructhuoc" toTable="tb_nguonnx_tructhuoc" toColumn="id"/>
          <x15:modelRelationship fromTable="tb_nguonnx_tructhuoc" fromColumn="nguonnx_id" toTable="tb_nguon_nx" toColumn="id"/>
          <x15:modelRelationship fromTable="tb_nguonnx_tructhuoc" fromColumn="tructhuoc_id" toTable="tb_tructhuoc" toColumn="id"/>
        </x15:modelRelationships>
      </x15:dataModel>
    </ext>
  </extLst>
</workbook>
</file>

<file path=xl/calcChain.xml><?xml version="1.0" encoding="utf-8"?>
<calcChain xmlns="http://schemas.openxmlformats.org/spreadsheetml/2006/main">
  <c r="H4" i="10" l="1"/>
  <c r="I4" i="10"/>
  <c r="K4" i="10"/>
  <c r="L4" i="10"/>
  <c r="M4" i="10"/>
  <c r="N4" i="10"/>
  <c r="O4" i="10"/>
  <c r="Q4" i="10"/>
  <c r="S4" i="10"/>
  <c r="T4" i="10"/>
  <c r="U4" i="10"/>
  <c r="V4" i="10"/>
  <c r="W4" i="10"/>
  <c r="Y4" i="10"/>
  <c r="Z4" i="10"/>
  <c r="K5" i="10"/>
  <c r="Q5" i="10"/>
  <c r="R5" i="10"/>
  <c r="J3" i="10"/>
  <c r="K3" i="10"/>
  <c r="P3" i="10"/>
  <c r="Q3" i="10"/>
  <c r="X3" i="10"/>
  <c r="Y3" i="10"/>
  <c r="AA3" i="10"/>
  <c r="H3" i="10"/>
  <c r="C9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B8" i="12"/>
  <c r="C7" i="12"/>
  <c r="V8" i="12"/>
  <c r="U8" i="12"/>
  <c r="D8" i="12"/>
  <c r="E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C8" i="12"/>
  <c r="C1" i="12"/>
  <c r="D1" i="12"/>
  <c r="E1" i="12"/>
  <c r="F1" i="12"/>
  <c r="G1" i="12"/>
  <c r="H1" i="12"/>
  <c r="I1" i="12"/>
  <c r="J1" i="12"/>
  <c r="K1" i="12"/>
  <c r="L1" i="12"/>
  <c r="M1" i="12"/>
  <c r="N1" i="12"/>
  <c r="O1" i="12"/>
  <c r="P1" i="12"/>
  <c r="Q1" i="12"/>
  <c r="R1" i="12"/>
  <c r="S1" i="12"/>
  <c r="T1" i="12"/>
  <c r="A2" i="12"/>
  <c r="B2" i="12"/>
  <c r="C2" i="12"/>
  <c r="D2" i="12"/>
  <c r="E2" i="12"/>
  <c r="F2" i="12"/>
  <c r="G2" i="12"/>
  <c r="H2" i="12"/>
  <c r="I2" i="12"/>
  <c r="J2" i="12"/>
  <c r="L2" i="12"/>
  <c r="M2" i="12"/>
  <c r="N2" i="12"/>
  <c r="O2" i="12"/>
  <c r="P2" i="12"/>
  <c r="Q2" i="12"/>
  <c r="R2" i="12"/>
  <c r="S2" i="12"/>
  <c r="T2" i="12"/>
  <c r="D3" i="12"/>
  <c r="J3" i="12"/>
  <c r="K3" i="12"/>
  <c r="AI7" i="10" l="1"/>
  <c r="AH6" i="10"/>
  <c r="AH7" i="10"/>
  <c r="AI6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AW7" i="10"/>
  <c r="AX7" i="10"/>
  <c r="AY7" i="10"/>
  <c r="AZ7" i="10"/>
  <c r="BA7" i="10"/>
  <c r="BB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BC8" i="10"/>
  <c r="BD8" i="10"/>
  <c r="BC9" i="10"/>
  <c r="BD9" i="10"/>
  <c r="BC7" i="10"/>
  <c r="BD7" i="10"/>
</calcChain>
</file>

<file path=xl/connections.xml><?xml version="1.0" encoding="utf-8"?>
<connections xmlns="http://schemas.openxmlformats.org/spreadsheetml/2006/main">
  <connection id="1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2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3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4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5" odcFile="C:\Users\tga\Documents\My Data Sources\postgres nguonnx_tructhuoc.odc" name="postgres nguonnx_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nx_tructhuoc&quot;"/>
  </connection>
  <connection id="6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7" odcFile="C:\Users\tga\Documents\My Data Sources\postgres.odc" name="postgres6666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so_cai&quot;"/>
  </connection>
  <connection id="8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9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1"/>
        </x15:connection>
      </ext>
    </extLst>
  </connection>
  <connection id="10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1"/>
        </x15:connection>
      </ext>
    </extLst>
  </connection>
  <connection id="11" name="WorksheetConnection_data3.xlsm!tb_nguonnx_tructhuoc" type="102" refreshedVersion="6" minRefreshableVersion="5">
    <extLst>
      <ext xmlns:x15="http://schemas.microsoft.com/office/spreadsheetml/2010/11/main" uri="{DE250136-89BD-433C-8126-D09CA5730AF9}">
        <x15:connection id="tb_nguonnx_tructhuoc">
          <x15:rangePr sourceName="_xlcn.WorksheetConnection_data3.xlsmtb_nguonnx_tructhuoc1"/>
        </x15:connection>
      </ext>
    </extLst>
  </connection>
  <connection id="12" name="WorksheetConnection_data3.xlsm!tb_socai" type="102" refreshedVersion="6" minRefreshableVersion="5">
    <extLst>
      <ext xmlns:x15="http://schemas.microsoft.com/office/spreadsheetml/2010/11/main" uri="{DE250136-89BD-433C-8126-D09CA5730AF9}">
        <x15:connection id="tb_socai" autoDelete="1">
          <x15:rangePr sourceName="_xlcn.WorksheetConnection_data3.xlsmtb_socai1"/>
        </x15:connection>
      </ext>
    </extLst>
  </connection>
  <connection id="13" name="WorksheetConnection_data3.xlsm!tb_tructhuoc" type="102" refreshedVersion="6" minRefreshableVersion="5">
    <extLst>
      <ext xmlns:x15="http://schemas.microsoft.com/office/spreadsheetml/2010/11/main" uri="{DE250136-89BD-433C-8126-D09CA5730AF9}">
        <x15:connection id="tb_tructhuoc">
          <x15:rangePr sourceName="_xlcn.WorksheetConnection_data3.xlsmtb_tructhuoc1"/>
        </x15:connection>
      </ext>
    </extLst>
  </connection>
</connections>
</file>

<file path=xl/sharedStrings.xml><?xml version="1.0" encoding="utf-8"?>
<sst xmlns="http://schemas.openxmlformats.org/spreadsheetml/2006/main" count="821" uniqueCount="284">
  <si>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</si>
  <si>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</si>
  <si>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</si>
  <si>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</si>
  <si>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</si>
  <si>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</si>
  <si>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</si>
  <si>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</si>
  <si>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</si>
  <si>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</si>
  <si>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</si>
  <si>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</si>
  <si>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</si>
  <si>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</si>
  <si>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</si>
  <si>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</si>
  <si>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</si>
  <si>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</si>
  <si>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</si>
  <si>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</si>
  <si>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</si>
  <si>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</si>
  <si>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</si>
  <si>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</si>
  <si>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</si>
  <si>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</si>
  <si>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</si>
  <si>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</si>
  <si>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</si>
  <si>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</si>
  <si>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</si>
  <si>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</si>
  <si>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</si>
  <si>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</si>
  <si>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</si>
  <si>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nguonnx_tructhuoc</t>
  </si>
  <si>
    <t>nguonnx_tcn</t>
  </si>
  <si>
    <t>phuongtien_id</t>
  </si>
  <si>
    <t>nguonnx_nvu_id</t>
  </si>
  <si>
    <t>phuongtien_nvu_id</t>
  </si>
  <si>
    <t>so_phut</t>
  </si>
  <si>
    <t>tonkhotong_id</t>
  </si>
  <si>
    <t>tonkho_id</t>
  </si>
  <si>
    <t>f Bộ</t>
  </si>
  <si>
    <t>01-10-2024</t>
  </si>
  <si>
    <t>XANG E5 RON92</t>
  </si>
  <si>
    <t>N</t>
  </si>
  <si>
    <t>9444</t>
  </si>
  <si>
    <t>kh-239</t>
  </si>
  <si>
    <t>Nhập hạn mức</t>
  </si>
  <si>
    <t>Dc Thanh</t>
  </si>
  <si>
    <t>QA-2342</t>
  </si>
  <si>
    <t>0</t>
  </si>
  <si>
    <t>Kho 190</t>
  </si>
  <si>
    <t>09-10-2024</t>
  </si>
  <si>
    <t>Xăng A80</t>
  </si>
  <si>
    <t>9954</t>
  </si>
  <si>
    <t>kh-2302</t>
  </si>
  <si>
    <t>QA-3202</t>
  </si>
  <si>
    <t>Kho 671</t>
  </si>
  <si>
    <t>10-10-2024</t>
  </si>
  <si>
    <t>Lukoi 15W-40</t>
  </si>
  <si>
    <t>Dầu MC-20</t>
  </si>
  <si>
    <t>9322</t>
  </si>
  <si>
    <t/>
  </si>
  <si>
    <t>Kho K99</t>
  </si>
  <si>
    <t>17-10-2024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</si>
  <si>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</si>
  <si>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</si>
  <si>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</si>
  <si>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</si>
  <si>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</si>
  <si>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</si>
  <si>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</si>
  <si>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</si>
  <si>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</si>
  <si>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</si>
  <si>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</si>
  <si>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</si>
  <si>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</si>
  <si>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</si>
  <si>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</si>
  <si>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</si>
  <si>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</si>
  <si>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</si>
  <si>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</si>
  <si>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</si>
  <si>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</si>
  <si>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</si>
  <si>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</si>
  <si>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</si>
  <si>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</si>
  <si>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</si>
  <si>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</si>
  <si>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</si>
  <si>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</si>
  <si>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</si>
  <si>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</si>
  <si>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</si>
  <si>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</si>
  <si>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</si>
  <si>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</si>
  <si>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</si>
  <si>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</si>
  <si>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DIEZEL-XANG-OTO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</si>
  <si>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</si>
  <si>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</si>
  <si>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</si>
  <si>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</si>
  <si>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</si>
  <si>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</si>
  <si>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</si>
  <si>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</si>
  <si>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</si>
  <si>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</si>
  <si>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</si>
  <si>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</si>
  <si>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</si>
  <si>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</si>
  <si>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</si>
  <si>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</si>
  <si>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</si>
  <si>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</si>
  <si>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</si>
  <si>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</si>
  <si>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</si>
  <si>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</si>
  <si>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</si>
  <si>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</si>
  <si>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</si>
  <si>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</si>
  <si>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</si>
  <si>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</si>
  <si>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</si>
  <si>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</si>
  <si>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</si>
  <si>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</si>
  <si>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</si>
  <si>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</si>
  <si>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</si>
  <si>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</si>
  <si>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</si>
  <si>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</si>
  <si>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</si>
  <si>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</si>
  <si>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transaction</t>
  </si>
  <si>
    <t>Tiêu thụ cho xe, máy</t>
  </si>
  <si>
    <t>tt_xm</t>
  </si>
  <si>
    <t>XUAT</t>
  </si>
  <si>
    <t>SHOW</t>
  </si>
  <si>
    <t>Khác</t>
  </si>
  <si>
    <t>NHAP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</si>
  <si>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</si>
  <si>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</si>
  <si>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</si>
  <si>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</si>
  <si>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</si>
  <si>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</si>
  <si>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</si>
  <si>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</si>
  <si>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</si>
  <si>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</si>
  <si>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tructhuoc_id</t>
  </si>
  <si>
    <t>ten</t>
  </si>
  <si>
    <t>loai</t>
  </si>
  <si>
    <t>createtime</t>
  </si>
  <si>
    <t>loai_tt</t>
  </si>
  <si>
    <t>may_bay</t>
  </si>
  <si>
    <t>NHM-CUC-XD</t>
  </si>
  <si>
    <t>2024-08-29</t>
  </si>
  <si>
    <t>N_KHAC</t>
  </si>
  <si>
    <t>Kho 661</t>
  </si>
  <si>
    <t>09-09-2024</t>
  </si>
  <si>
    <t>Kho K14 cap</t>
  </si>
  <si>
    <t>NQC</t>
  </si>
  <si>
    <t>f370</t>
  </si>
  <si>
    <t>N-DVK</t>
  </si>
  <si>
    <t>f372</t>
  </si>
  <si>
    <t>Trường SQKQ</t>
  </si>
  <si>
    <t>Bộ tham mưu</t>
  </si>
  <si>
    <t>Lữ đoàn 918</t>
  </si>
  <si>
    <t>Công ty XDQD</t>
  </si>
  <si>
    <t>MTC-MPC</t>
  </si>
  <si>
    <t>Cty XD PVOil HP</t>
  </si>
  <si>
    <t>Viettel S125VT</t>
  </si>
  <si>
    <t>NK</t>
  </si>
  <si>
    <t>Đổi hàng DT</t>
  </si>
  <si>
    <t>Cty XD Minh Đức</t>
  </si>
  <si>
    <t>Mua công tác lẻ</t>
  </si>
  <si>
    <t>MCTL-MPC</t>
  </si>
  <si>
    <t>Cty XD Lưu Nga</t>
  </si>
  <si>
    <t>Hạch toán(NM)</t>
  </si>
  <si>
    <t>QPQT-22</t>
  </si>
  <si>
    <t>Nhà máy A32</t>
  </si>
  <si>
    <t>Nhà máy A42</t>
  </si>
  <si>
    <t>XHM</t>
  </si>
  <si>
    <t>X_KHAC</t>
  </si>
  <si>
    <t>e921</t>
  </si>
  <si>
    <t>X_KH</t>
  </si>
  <si>
    <t>KE_HOACH</t>
  </si>
  <si>
    <t>e916</t>
  </si>
  <si>
    <t>e923</t>
  </si>
  <si>
    <t>e927</t>
  </si>
  <si>
    <t>d Kiến An</t>
  </si>
  <si>
    <t>d Vinh</t>
  </si>
  <si>
    <t>d Nà Sản</t>
  </si>
  <si>
    <t>d Nội Bài</t>
  </si>
  <si>
    <t>TQC</t>
  </si>
  <si>
    <t>KHAC</t>
  </si>
  <si>
    <t>Tiêu thụ cho xe máy</t>
  </si>
  <si>
    <t>XBN-TQC</t>
  </si>
  <si>
    <t>Học viện PK-KQ</t>
  </si>
  <si>
    <t>Hạ cấp</t>
  </si>
  <si>
    <t>XK</t>
  </si>
  <si>
    <t>Viettel</t>
  </si>
  <si>
    <t>Dự trữ Quốc Gia</t>
  </si>
  <si>
    <t>Column Labels</t>
  </si>
  <si>
    <t>Tên xăng dầu</t>
  </si>
  <si>
    <t>5665</t>
  </si>
  <si>
    <t>kh-3334</t>
  </si>
  <si>
    <t>QA-2302</t>
  </si>
  <si>
    <t>07-10-2024</t>
  </si>
  <si>
    <t>21-10-2024</t>
  </si>
  <si>
    <t>1111</t>
  </si>
  <si>
    <t>kh-2939</t>
  </si>
  <si>
    <t>QA-329</t>
  </si>
  <si>
    <t>28-10-2024</t>
  </si>
  <si>
    <t>6666</t>
  </si>
  <si>
    <t>kh-2393</t>
  </si>
  <si>
    <t>Nhập Quân Chủng</t>
  </si>
  <si>
    <t>Dc Khanh</t>
  </si>
  <si>
    <t>QA-3222</t>
  </si>
  <si>
    <t>15-10-2024</t>
  </si>
  <si>
    <t>so_luong</t>
  </si>
  <si>
    <t>9999</t>
  </si>
  <si>
    <t>kh-23030</t>
  </si>
  <si>
    <t>Nhập báo nợ</t>
  </si>
  <si>
    <t>Dc Giang</t>
  </si>
  <si>
    <t>QA-2322</t>
  </si>
  <si>
    <t>X</t>
  </si>
  <si>
    <t>9963</t>
  </si>
  <si>
    <t>kh-23929</t>
  </si>
  <si>
    <t>Xuất nội bộ f</t>
  </si>
  <si>
    <t>Dc Phong</t>
  </si>
  <si>
    <t>08-10-2024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</si>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</sst>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@\ &quot;*&quot;"/>
    <numFmt numFmtId="165" formatCode="mm/dd/yy;@"/>
  </numFmts>
  <fonts count="5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22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vertical="center"/>
    </xf>
    <xf numFmtId="165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5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Border="1"/>
    <xf numFmtId="0" fontId="0" fillId="0" borderId="4" xfId="0" applyBorder="1"/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165" fontId="3" fillId="0" borderId="0" xfId="0" applyNumberFormat="1" applyFont="1" applyAlignment="1">
      <alignment vertical="center" wrapText="1"/>
    </xf>
    <xf numFmtId="0" fontId="1" fillId="0" borderId="7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28">
    <dxf>
      <numFmt numFmtId="27" formatCode="m/d/yyyy\ h:mm"/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27" formatCode="m/d/yyyy\ h:mm"/>
    </dxf>
    <dxf>
      <numFmt numFmtId="27" formatCode="m/d/yyyy\ h:mm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227"/>
    </tableStyle>
    <tableStyle name="PivotTable Style 2" table="0" count="2">
      <tableStyleElement type="wholeTable" dxfId="226"/>
      <tableStyleElement type="lastColumn" dxfId="2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0</xdr:row>
      <xdr:rowOff>47625</xdr:rowOff>
    </xdr:from>
    <xdr:to>
      <xdr:col>11</xdr:col>
      <xdr:colOff>514350</xdr:colOff>
      <xdr:row>1</xdr:row>
      <xdr:rowOff>152400</xdr:rowOff>
    </xdr:to>
    <xdr:sp macro="[0]!updateNew" textlink="">
      <xdr:nvSpPr>
        <xdr:cNvPr id="2" name="Rounded Rectangle 1"/>
        <xdr:cNvSpPr/>
      </xdr:nvSpPr>
      <xdr:spPr>
        <a:xfrm>
          <a:off x="6819900" y="47625"/>
          <a:ext cx="1171575" cy="295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CẬP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NHẬT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tga" refreshedDate="45575.701594328704" backgroundQuery="1" createdVersion="6" refreshedVersion="6" minRefreshableVersion="3" recordCount="0" supportSubquery="1" supportAdvancedDrill="1">
  <cacheSource type="external" connectionId="8"/>
  <cacheFields count="5">
    <cacheField name="[tb_loaixd2].[tenxd].[tenxd]" caption="tenxd" numFmtId="0" hierarchy="2" level="1">
      <sharedItems count="49">
        <s v="Dầu B-3V"/>
        <s v="Dầu IPM-10"/>
        <s v="Dầu MC-20"/>
        <s v="CastrolCRB200W-50"/>
        <s v="Lukoi 15W-40"/>
        <s v="DO 0,05% S"/>
        <s v="Xăng A80"/>
        <s v="XANG E5 RON92"/>
        <s v="Dầu MC-8P" u="1"/>
        <s v="Hypôit (TC Gip)" u="1"/>
        <s v="Aeroshell Fluid41(AMG-10)" u="1"/>
        <s v="Dầu 132-25" u="1"/>
        <s v="Grease22" u="1"/>
        <s v="Grease28 (Mỡ 221)" u="1"/>
        <s v="Grease33 (OKB)" u="1"/>
        <s v="OKB122-7-5" u="1"/>
        <s v="Turbonicoil 321(MC8P)" u="1"/>
        <s v="Turbonicoil 35M (B3V)" u="1"/>
        <s v="Turbonicoil210A(IPM-10)" u="1"/>
        <s v="Xăng CN" u="1"/>
        <s v="Dầu AMG-10" u="1"/>
        <s v="Mỡ 201" u="1"/>
        <s v="Mỡ 221" u="1"/>
        <s v="Mỡ HK-50" u="1"/>
        <s v="Mỡ số 9" u="1"/>
        <s v="HelixHX-3" u="1"/>
        <s v="MILPCO1-SAE40" u="1"/>
        <s v="MILPCO1-S-SAE40" u="1"/>
        <s v="MT-16P" u="1"/>
        <s v="Niwanano ios32-HG32" u="1"/>
        <s v="QUAT9000-0W20" u="1"/>
        <s v="QUATVNM 20W50" u="1"/>
        <s v="Rimula R4X" u="1"/>
        <s v="MIL PC06" u="1"/>
        <s v="Phanh BCK" u="1"/>
        <s v="Galube90eps" u="1"/>
        <s v="GearGL4 W90" u="1"/>
        <s v="MILPC02-SAE90" u="1"/>
        <s v="MILPC03-SAE90" u="1"/>
        <s v="Morrisong 140ef90" u="1"/>
        <s v="Caxilium No2" u="1"/>
        <s v="Mỡ 1-13" u="1"/>
        <s v="Mỡ Gzeose GL2" u="1"/>
        <s v="Mỡ Gzeose GL3" u="1"/>
        <s v="Mỡ SOLE DON" u="1"/>
        <s v="Opalgrease No3" u="1"/>
        <s v="Dầu JETA-01" u="1"/>
        <s v="Dầu JETA-1K" u="1"/>
        <s v="Dầu TC-1" u="1"/>
      </sharedItems>
    </cacheField>
    <cacheField name="[tb_loaixd2].[chungloai].[chungloai]" caption="chungloai" numFmtId="0" hierarchy="3" level="1">
      <sharedItems count="13">
        <s v="DMN-HK-DDC"/>
        <s v="DMN-MD-DCOTO"/>
        <s v="DIEZEL-XANG-OTO"/>
        <s v="NL-XANG-OTO"/>
        <s v="DMN-HK-DK" u="1"/>
        <s v="DMN-HK-DM" u="1"/>
        <s v="DMN-HK-DTL" u="1"/>
        <s v="DMN-HK-MN" u="1"/>
        <s v="DMN-MD-DK" u="1"/>
        <s v="DMN-MD-DTD" u="1"/>
        <s v="DMN-MD-MGMS" u="1"/>
        <s v="DAUBAY" u="1"/>
        <s v="DAUHACAP" u="1"/>
      </sharedItems>
    </cacheField>
    <cacheField name="[tb_loaixd2].[type].[type]" caption="type" numFmtId="0" hierarchy="7" level="1">
      <sharedItems count="3">
        <s v="DMN-HK"/>
        <s v="DMN-MD"/>
        <s v="NL"/>
      </sharedItems>
    </cacheField>
    <cacheField name="[Measures].[Sum of thuc_xuat]" caption="Sum of thuc_xuat" numFmtId="0" hierarchy="68" level="32767"/>
    <cacheField name="[tb_tructhuoc].[name].[name]" caption="name" numFmtId="0" hierarchy="61" level="1">
      <sharedItems count="4">
        <s v="Cục xăng dầu"/>
        <s v="Khác"/>
        <s v="Quân chủng"/>
        <s v="Trong QC"/>
      </sharedItems>
    </cacheField>
  </cacheFields>
  <cacheHierarchies count="81">
    <cacheHierarchy uniqueName="[tb_loaixd2].[id]" caption="id" attribute="1" defaultMemberUniqueName="[tb_loaixd2].[id].[All]" allUniqueName="[tb_loaixd2].[id].[All]" dimensionUniqueName="[tb_loaixd2]" displayFolder="" count="0" memberValueDatatype="20" unbalanced="0"/>
    <cacheHierarchy uniqueName="[tb_loaixd2].[maxd]" caption="maxd" attribute="1" defaultMemberUniqueName="[tb_loaixd2].[maxd].[All]" allUniqueName="[tb_loaixd2].[maxd].[All]" dimensionUniqueName="[tb_loaixd2]" displayFolder="" count="0" memberValueDatatype="130" unbalanced="0"/>
    <cacheHierarchy uniqueName="[tb_loaixd2].[tenxd]" caption="tenxd" attribute="1" defaultMemberUniqueName="[tb_loaixd2].[tenxd].[All]" allUniqueName="[tb_loaixd2].[tenxd].[All]" dimensionUniqueName="[tb_loaixd2]" displayFolder="" count="2" memberValueDatatype="130" unbalanced="0">
      <fieldsUsage count="2">
        <fieldUsage x="-1"/>
        <fieldUsage x="0"/>
      </fieldsUsage>
    </cacheHierarchy>
    <cacheHierarchy uniqueName="[tb_loaixd2].[chungloai]" caption="chungloai" attribute="1" defaultMemberUniqueName="[tb_loaixd2].[chungloai].[All]" allUniqueName="[tb_loaixd2].[chungloai].[All]" dimensionUniqueName="[tb_loaixd2]" displayFolder="" count="2" memberValueDatatype="130" unbalanced="0">
      <fieldsUsage count="2">
        <fieldUsage x="-1"/>
        <fieldUsage x="1"/>
      </fieldsUsage>
    </cacheHierarchy>
    <cacheHierarchy uniqueName="[tb_loaixd2].[status]" caption="status" attribute="1" defaultMemberUniqueName="[tb_loaixd2].[status].[All]" allUniqueName="[tb_loaixd2].[status].[All]" dimensionUniqueName="[tb_loaixd2]" displayFolder="" count="0" memberValueDatatype="130" unbalanced="0"/>
    <cacheHierarchy uniqueName="[tb_loaixd2].[timestamp]" caption="timestamp" attribute="1" time="1" defaultMemberUniqueName="[tb_loaixd2].[timestamp].[All]" allUniqueName="[tb_loaixd2].[timestamp].[All]" dimensionUniqueName="[tb_loaixd2]" displayFolder="" count="0" memberValueDatatype="7" unbalanced="0"/>
    <cacheHierarchy uniqueName="[tb_loaixd2].[ut]" caption="ut" attribute="1" defaultMemberUniqueName="[tb_loaixd2].[ut].[All]" allUniqueName="[tb_loaixd2].[ut].[All]" dimensionUniqueName="[tb_loaixd2]" displayFolder="" count="0" memberValueDatatype="20" unbalanced="0"/>
    <cacheHierarchy uniqueName="[tb_loaixd2].[type]" caption="type" attribute="1" defaultMemberUniqueName="[tb_loaixd2].[type].[All]" allUniqueName="[tb_loaixd2].[type].[All]" dimensionUniqueName="[tb_loaixd2]" displayFolder="" count="2" memberValueDatatype="130" unbalanced="0">
      <fieldsUsage count="2">
        <fieldUsage x="-1"/>
        <fieldUsage x="2"/>
      </fieldsUsage>
    </cacheHierarchy>
    <cacheHierarchy uniqueName="[tb_nguon_nx].[id]" caption="id" attribute="1" defaultMemberUniqueName="[tb_nguon_nx].[id].[All]" allUniqueName="[tb_nguon_nx].[id].[All]" dimensionUniqueName="[tb_nguon_nx]" displayFolder="" count="0" memberValueDatatype="20" unbalanced="0"/>
    <cacheHierarchy uniqueName="[tb_nguon_nx].[ten]" caption="ten" attribute="1" defaultMemberUniqueName="[tb_nguon_nx].[ten].[All]" allUniqueName="[tb_nguon_nx].[ten].[All]" dimensionUniqueName="[tb_nguon_nx]" displayFolder="" count="0" memberValueDatatype="130" unbalanced="0"/>
    <cacheHierarchy uniqueName="[tb_nguon_nx].[loai]" caption="loai" attribute="1" defaultMemberUniqueName="[tb_nguon_nx].[loai].[All]" allUniqueName="[tb_nguon_nx].[loai].[All]" dimensionUniqueName="[tb_nguon_nx]" displayFolder="" count="0" memberValueDatatype="130" unbalanced="0"/>
    <cacheHierarchy uniqueName="[tb_nguon_nx].[createtime]" caption="createtime" attribute="1" defaultMemberUniqueName="[tb_nguon_nx].[createtime].[All]" allUniqueName="[tb_nguon_nx].[createtime].[All]" dimensionUniqueName="[tb_nguon_nx]" displayFolder="" count="0" memberValueDatatype="130" unbalanced="0"/>
    <cacheHierarchy uniqueName="[tb_nguon_nx].[loai_tt]" caption="loai_tt" attribute="1" defaultMemberUniqueName="[tb_nguon_nx].[loai_tt].[All]" allUniqueName="[tb_nguon_nx].[loai_tt].[All]" dimensionUniqueName="[tb_nguon_nx]" displayFolder="" count="0" memberValueDatatype="130" unbalanced="0"/>
    <cacheHierarchy uniqueName="[tb_nguon_nx].[may_bay]" caption="may_bay" attribute="1" defaultMemberUniqueName="[tb_nguon_nx].[may_bay].[All]" allUniqueName="[tb_nguon_nx].[may_bay].[All]" dimensionUniqueName="[tb_nguon_nx]" displayFolder="" count="0" memberValueDatatype="130" unbalanced="0"/>
    <cacheHierarchy uniqueName="[tb_nguonnx_tructhuoc].[id]" caption="id" attribute="1" defaultMemberUniqueName="[tb_nguonnx_tructhuoc].[id].[All]" allUniqueName="[tb_nguonnx_tructhuoc].[id].[All]" dimensionUniqueName="[tb_nguonnx_tructhuoc]" displayFolder="" count="0" memberValueDatatype="20" unbalanced="0"/>
    <cacheHierarchy uniqueName="[tb_nguonnx_tructhuoc].[nguonnx_id]" caption="nguonnx_id" attribute="1" defaultMemberUniqueName="[tb_nguonnx_tructhuoc].[nguonnx_id].[All]" allUniqueName="[tb_nguonnx_tructhuoc].[nguonnx_id].[All]" dimensionUniqueName="[tb_nguonnx_tructhuoc]" displayFolder="" count="0" memberValueDatatype="20" unbalanced="0"/>
    <cacheHierarchy uniqueName="[tb_nguonnx_tructhuoc].[tructhuoc_id]" caption="tructhuoc_id" attribute="1" defaultMemberUniqueName="[tb_nguonnx_tructhuoc].[tructhuoc_id].[All]" allUniqueName="[tb_nguonnx_tructhuoc].[tructhuoc_id].[All]" dimensionUniqueName="[tb_nguonnx_tructhuoc]" displayFolder="" count="0" memberValueDatatype="20" unbalanced="0"/>
    <cacheHierarchy uniqueName="[tb_socai].[dvi]" caption="dvi" attribute="1" defaultMemberUniqueName="[tb_socai].[dvi].[All]" allUniqueName="[tb_socai].[dvi].[All]" dimensionUniqueName="[tb_socai]" displayFolder="" count="0" memberValueDatatype="130" unbalanced="0"/>
    <cacheHierarchy uniqueName="[tb_socai].[ngay]" caption="ngay" attribute="1" defaultMemberUniqueName="[tb_socai].[ngay].[All]" allUniqueName="[tb_socai].[ngay].[All]" dimensionUniqueName="[tb_socai]" displayFolder="" count="0" memberValueDatatype="130" unbalanced="0"/>
    <cacheHierarchy uniqueName="[tb_socai].[ma_xd]" caption="ma_xd" attribute="1" defaultMemberUniqueName="[tb_socai].[ma_xd].[All]" allUniqueName="[tb_socai].[ma_xd].[All]" dimensionUniqueName="[tb_socai]" displayFolder="" count="0" memberValueDatatype="130" unbalanced="0"/>
    <cacheHierarchy uniqueName="[tb_socai].[ten_xd]" caption="ten_xd" attribute="1" defaultMemberUniqueName="[tb_socai].[ten_xd].[All]" allUniqueName="[tb_socai].[ten_xd].[All]" dimensionUniqueName="[tb_socai]" displayFolder="" count="0" memberValueDatatype="130" unbalanced="0"/>
    <cacheHierarchy uniqueName="[tb_socai].[chung_loai]" caption="chung_loai" attribute="1" defaultMemberUniqueName="[tb_socai].[chung_loai].[All]" allUniqueName="[tb_socai].[chung_loai].[All]" dimensionUniqueName="[tb_socai]" displayFolder="" count="0" memberValueDatatype="130" unbalanced="0"/>
    <cacheHierarchy uniqueName="[tb_socai].[loai_phieu]" caption="loai_phieu" attribute="1" defaultMemberUniqueName="[tb_socai].[loai_phieu].[All]" allUniqueName="[tb_socai].[loai_phieu].[All]" dimensionUniqueName="[tb_socai]" displayFolder="" count="0" memberValueDatatype="130" unbalanced="0"/>
    <cacheHierarchy uniqueName="[tb_socai].[so]" caption="so" attribute="1" defaultMemberUniqueName="[tb_socai].[so].[All]" allUniqueName="[tb_socai].[so].[All]" dimensionUniqueName="[tb_socai]" displayFolder="" count="0" memberValueDatatype="130" unbalanced="0"/>
    <cacheHierarchy uniqueName="[tb_socai].[theo_lenh_so]" caption="theo_lenh_so" attribute="1" defaultMemberUniqueName="[tb_socai].[theo_lenh_so].[All]" allUniqueName="[tb_socai].[theo_lenh_so].[All]" dimensionUniqueName="[tb_socai]" displayFolder="" count="0" memberValueDatatype="130" unbalanced="0"/>
    <cacheHierarchy uniqueName="[tb_socai].[nhiem_vu]" caption="nhiem_vu" attribute="1" defaultMemberUniqueName="[tb_socai].[nhiem_vu].[All]" allUniqueName="[tb_socai].[nhiem_vu].[All]" dimensionUniqueName="[tb_socai]" displayFolder="" count="0" memberValueDatatype="130" unbalanced="0"/>
    <cacheHierarchy uniqueName="[tb_socai].[nguoi_nhan_hang]" caption="nguoi_nhan_hang" attribute="1" defaultMemberUniqueName="[tb_socai].[nguoi_nhan_hang].[All]" allUniqueName="[tb_socai].[nguoi_nhan_hang].[All]" dimensionUniqueName="[tb_socai]" displayFolder="" count="0" memberValueDatatype="130" unbalanced="0"/>
    <cacheHierarchy uniqueName="[tb_socai].[so_xe]" caption="so_xe" attribute="1" defaultMemberUniqueName="[tb_socai].[so_xe].[All]" allUniqueName="[tb_socai].[so_xe].[All]" dimensionUniqueName="[tb_socai]" displayFolder="" count="0" memberValueDatatype="130" unbalanced="0"/>
    <cacheHierarchy uniqueName="[tb_socai].[chat_luong]" caption="chat_luong" attribute="1" defaultMemberUniqueName="[tb_socai].[chat_luong].[All]" allUniqueName="[tb_socai].[chat_luong].[All]" dimensionUniqueName="[tb_socai]" displayFolder="" count="0" memberValueDatatype="130" unbalanced="0"/>
    <cacheHierarchy uniqueName="[tb_socai].[phai_xuat]" caption="phai_xuat" attribute="1" defaultMemberUniqueName="[tb_socai].[phai_xuat].[All]" allUniqueName="[tb_socai].[phai_xuat].[All]" dimensionUniqueName="[tb_socai]" displayFolder="" count="0" memberValueDatatype="20" unbalanced="0"/>
    <cacheHierarchy uniqueName="[tb_socai].[nhiet_do_tt]" caption="nhiet_do_tt" attribute="1" defaultMemberUniqueName="[tb_socai].[nhiet_do_tt].[All]" allUniqueName="[tb_socai].[nhiet_do_tt].[All]" dimensionUniqueName="[tb_socai]" displayFolder="" count="0" memberValueDatatype="130" unbalanced="0"/>
    <cacheHierarchy uniqueName="[tb_socai].[ty_trong]" caption="ty_trong" attribute="1" defaultMemberUniqueName="[tb_socai].[ty_trong].[All]" allUniqueName="[tb_socai].[ty_trong].[All]" dimensionUniqueName="[tb_socai]" displayFolder="" count="0" memberValueDatatype="20" unbalanced="0"/>
    <cacheHierarchy uniqueName="[tb_socai].[he_so_vcf]" caption="he_so_vcf" attribute="1" defaultMemberUniqueName="[tb_socai].[he_so_vcf].[All]" allUniqueName="[tb_socai].[he_so_vcf].[All]" dimensionUniqueName="[tb_socai]" displayFolder="" count="0" memberValueDatatype="20" unbalanced="0"/>
    <cacheHierarchy uniqueName="[tb_socai].[thuc_xuat]" caption="thuc_xuat" attribute="1" defaultMemberUniqueName="[tb_socai].[thuc_xuat].[All]" allUniqueName="[tb_socai].[thuc_xuat].[All]" dimensionUniqueName="[tb_socai]" displayFolder="" count="0" memberValueDatatype="20" unbalanced="0"/>
    <cacheHierarchy uniqueName="[tb_socai].[don_gia]" caption="don_gia" attribute="1" defaultMemberUniqueName="[tb_socai].[don_gia].[All]" allUniqueName="[tb_socai].[don_gia].[All]" dimensionUniqueName="[tb_socai]" displayFolder="" count="0" memberValueDatatype="20" unbalanced="0"/>
    <cacheHierarchy uniqueName="[tb_socai].[thanh_tien]" caption="thanh_tien" attribute="1" defaultMemberUniqueName="[tb_socai].[thanh_tien].[All]" allUniqueName="[tb_socai].[thanh_tien].[All]" dimensionUniqueName="[tb_socai]" displayFolder="" count="0" memberValueDatatype="20" unbalanced="0"/>
    <cacheHierarchy uniqueName="[tb_socai].[so_km]" caption="so_km" attribute="1" defaultMemberUniqueName="[tb_socai].[so_km].[All]" allUniqueName="[tb_socai].[so_km].[All]" dimensionUniqueName="[tb_socai]" displayFolder="" count="0" memberValueDatatype="20" unbalanced="0"/>
    <cacheHierarchy uniqueName="[tb_socai].[so_gio]" caption="so_gio" attribute="1" defaultMemberUniqueName="[tb_socai].[so_gio].[All]" allUniqueName="[tb_socai].[so_gio].[All]" dimensionUniqueName="[tb_socai]" displayFolder="" count="0" memberValueDatatype="20" unbalanced="0"/>
    <cacheHierarchy uniqueName="[tb_socai].[dvvc]" caption="dvvc" attribute="1" defaultMemberUniqueName="[tb_socai].[dvvc].[All]" allUniqueName="[tb_socai].[dvvc].[All]" dimensionUniqueName="[tb_socai]" displayFolder="" count="0" memberValueDatatype="130" unbalanced="0"/>
    <cacheHierarchy uniqueName="[tb_socai].[id]" caption="id" attribute="1" defaultMemberUniqueName="[tb_socai].[id].[All]" allUniqueName="[tb_socai].[id].[All]" dimensionUniqueName="[tb_socai]" displayFolder="" count="0" memberValueDatatype="20" unbalanced="0"/>
    <cacheHierarchy uniqueName="[tb_socai].[loaixd_id]" caption="loaixd_id" attribute="1" defaultMemberUniqueName="[tb_socai].[loaixd_id].[All]" allUniqueName="[tb_socai].[loaixd_id].[All]" dimensionUniqueName="[tb_socai]" displayFolder="" count="0" memberValueDatatype="20" unbalanced="0"/>
    <cacheHierarchy uniqueName="[tb_socai].[nguonnx_id]" caption="nguonnx_id" attribute="1" defaultMemberUniqueName="[tb_socai].[nguonnx_id].[All]" allUniqueName="[tb_socai].[nguonnx_id].[All]" dimensionUniqueName="[tb_socai]" displayFolder="" count="0" memberValueDatatype="20" unbalanced="0"/>
    <cacheHierarchy uniqueName="[tb_socai].[cmt]" caption="cmt" attribute="1" defaultMemberUniqueName="[tb_socai].[cmt].[All]" allUniqueName="[tb_socai].[cmt].[All]" dimensionUniqueName="[tb_socai]" displayFolder="" count="0" memberValueDatatype="130" unbalanced="0"/>
    <cacheHierarchy uniqueName="[tb_socai].[nguonnx_dvvc_id]" caption="nguonnx_dvvc_id" attribute="1" defaultMemberUniqueName="[tb_socai].[nguonnx_dvvc_id].[All]" allUniqueName="[tb_socai].[nguonnx_dvvc_id].[All]" dimensionUniqueName="[tb_socai]" displayFolder="" count="0" memberValueDatatype="20" unbalanced="0"/>
    <cacheHierarchy uniqueName="[tb_socai].[sscd]" caption="sscd" attribute="1" defaultMemberUniqueName="[tb_socai].[sscd].[All]" allUniqueName="[tb_socai].[sscd].[All]" dimensionUniqueName="[tb_socai]" displayFolder="" count="0" memberValueDatatype="130" unbalanced="0"/>
    <cacheHierarchy uniqueName="[tb_socai].[denngay]" caption="denngay" attribute="1" defaultMemberUniqueName="[tb_socai].[denngay].[All]" allUniqueName="[tb_socai].[denngay].[All]" dimensionUniqueName="[tb_socai]" displayFolder="" count="0" memberValueDatatype="130" unbalanced="0"/>
    <cacheHierarchy uniqueName="[tb_socai].[quarter_id]" caption="quarter_id" attribute="1" defaultMemberUniqueName="[tb_socai].[quarter_id].[All]" allUniqueName="[tb_socai].[quarter_id].[All]" dimensionUniqueName="[tb_socai]" displayFolder="" count="0" memberValueDatatype="20" unbalanced="0"/>
    <cacheHierarchy uniqueName="[tb_socai].[timestamp]" caption="timestamp" attribute="1" time="1" defaultMemberUniqueName="[tb_socai].[timestamp].[All]" allUniqueName="[tb_socai].[timestamp].[All]" dimensionUniqueName="[tb_socai]" displayFolder="" count="0" memberValueDatatype="7" unbalanced="0"/>
    <cacheHierarchy uniqueName="[tb_socai].[tcn_id]" caption="tcn_id" attribute="1" defaultMemberUniqueName="[tb_socai].[tcn_id].[All]" allUniqueName="[tb_socai].[tcn_id].[All]" dimensionUniqueName="[tb_socai]" displayFolder="" count="0" memberValueDatatype="130" unbalanced="0"/>
    <cacheHierarchy uniqueName="[tb_socai].[nhiemvu_id]" caption="nhiemvu_id" attribute="1" defaultMemberUniqueName="[tb_socai].[nhiemvu_id].[All]" allUniqueName="[tb_socai].[nhiemvu_id].[All]" dimensionUniqueName="[tb_socai]" displayFolder="" count="0" memberValueDatatype="20" unbalanced="0"/>
    <cacheHierarchy uniqueName="[tb_socai].[nvu_tcn_id]" caption="nvu_tcn_id" attribute="1" defaultMemberUniqueName="[tb_socai].[nvu_tcn_id].[All]" allUniqueName="[tb_socai].[nvu_tcn_id].[All]" dimensionUniqueName="[tb_socai]" displayFolder="" count="0" memberValueDatatype="20" unbalanced="0"/>
    <cacheHierarchy uniqueName="[tb_socai].[nvu_tructhuoc]" caption="nvu_tructhuoc" attribute="1" defaultMemberUniqueName="[tb_socai].[nvu_tructhuoc].[All]" allUniqueName="[tb_socai].[nvu_tructhuoc].[All]" dimensionUniqueName="[tb_socai]" displayFolder="" count="0" memberValueDatatype="20" unbalanced="0"/>
    <cacheHierarchy uniqueName="[tb_socai].[nguonnx_tructhuoc]" caption="nguonnx_tructhuoc" attribute="1" defaultMemberUniqueName="[tb_socai].[nguonnx_tructhuoc].[All]" allUniqueName="[tb_socai].[nguonnx_tructhuoc].[All]" dimensionUniqueName="[tb_socai]" displayFolder="" count="0" memberValueDatatype="20" unbalanced="0"/>
    <cacheHierarchy uniqueName="[tb_socai].[nguonnx_tcn]" caption="nguonnx_tcn" attribute="1" defaultMemberUniqueName="[tb_socai].[nguonnx_tcn].[All]" allUniqueName="[tb_socai].[nguonnx_tcn].[All]" dimensionUniqueName="[tb_socai]" displayFolder="" count="0" memberValueDatatype="20" unbalanced="0"/>
    <cacheHierarchy uniqueName="[tb_socai].[phuongtien_id]" caption="phuongtien_id" attribute="1" defaultMemberUniqueName="[tb_socai].[phuongtien_id].[All]" allUniqueName="[tb_socai].[phuongtien_id].[All]" dimensionUniqueName="[tb_socai]" displayFolder="" count="0" memberValueDatatype="20" unbalanced="0"/>
    <cacheHierarchy uniqueName="[tb_socai].[nguonnx_nvu_id]" caption="nguonnx_nvu_id" attribute="1" defaultMemberUniqueName="[tb_socai].[nguonnx_nvu_id].[All]" allUniqueName="[tb_socai].[nguonnx_nvu_id].[All]" dimensionUniqueName="[tb_socai]" displayFolder="" count="0" memberValueDatatype="20" unbalanced="0"/>
    <cacheHierarchy uniqueName="[tb_socai].[phuongtien_nvu_id]" caption="phuongtien_nvu_id" attribute="1" defaultMemberUniqueName="[tb_socai].[phuongtien_nvu_id].[All]" allUniqueName="[tb_socai].[phuongtien_nvu_id].[All]" dimensionUniqueName="[tb_socai]" displayFolder="" count="0" memberValueDatatype="20" unbalanced="0"/>
    <cacheHierarchy uniqueName="[tb_socai].[so_phut]" caption="so_phut" attribute="1" defaultMemberUniqueName="[tb_socai].[so_phut].[All]" allUniqueName="[tb_socai].[so_phut].[All]" dimensionUniqueName="[tb_socai]" displayFolder="" count="0" memberValueDatatype="20" unbalanced="0"/>
    <cacheHierarchy uniqueName="[tb_socai].[tonkhotong_id]" caption="tonkhotong_id" attribute="1" defaultMemberUniqueName="[tb_socai].[tonkhotong_id].[All]" allUniqueName="[tb_socai].[tonkhotong_id].[All]" dimensionUniqueName="[tb_socai]" displayFolder="" count="0" memberValueDatatype="20" unbalanced="0"/>
    <cacheHierarchy uniqueName="[tb_socai].[tonkho_id]" caption="tonkho_id" attribute="1" defaultMemberUniqueName="[tb_socai].[tonkho_id].[All]" allUniqueName="[tb_socai].[tonkho_id].[All]" dimensionUniqueName="[tb_socai]" displayFolder="" count="0" memberValueDatatype="20" unbalanced="0"/>
    <cacheHierarchy uniqueName="[tb_tructhuoc].[id]" caption="id" attribute="1" defaultMemberUniqueName="[tb_tructhuoc].[id].[All]" allUniqueName="[tb_tructhuoc].[id].[All]" dimensionUniqueName="[tb_tructhuoc]" displayFolder="" count="0" memberValueDatatype="20" unbalanced="0"/>
    <cacheHierarchy uniqueName="[tb_tructhuoc].[name]" caption="name" attribute="1" defaultMemberUniqueName="[tb_tructhuoc].[name].[All]" allUniqueName="[tb_tructhuoc].[name].[All]" dimensionUniqueName="[tb_tructhuoc]" displayFolder="" count="2" memberValueDatatype="130" unbalanced="0">
      <fieldsUsage count="2">
        <fieldUsage x="-1"/>
        <fieldUsage x="4"/>
      </fieldsUsage>
    </cacheHierarchy>
    <cacheHierarchy uniqueName="[tb_tructhuoc].[type]" caption="type" attribute="1" defaultMemberUniqueName="[tb_tructhuoc].[type].[All]" allUniqueName="[tb_tructhuoc].[type].[All]" dimensionUniqueName="[tb_tructhuoc]" displayFolder="" count="0" memberValueDatatype="130" unbalanced="0"/>
    <cacheHierarchy uniqueName="[tb_tructhuoc].[transaction]" caption="transaction" attribute="1" defaultMemberUniqueName="[tb_tructhuoc].[transaction].[All]" allUniqueName="[tb_tructhuoc].[transaction].[All]" dimensionUniqueName="[tb_tructhuoc]" displayFolder="" count="0" memberValueDatatype="20" unbalanced="0"/>
    <cacheHierarchy uniqueName="[tb_tructhuoc].[timestamp]" caption="timestamp" attribute="1" time="1" defaultMemberUniqueName="[tb_tructhuoc].[timestamp].[All]" allUniqueName="[tb_tructhuoc].[timestamp].[All]" dimensionUniqueName="[tb_tructhuoc]" displayFolder="" count="0" memberValueDatatype="7" unbalanced="0"/>
    <cacheHierarchy uniqueName="[tb_tructhuoc].[loai_phieu]" caption="loai_phieu" attribute="1" defaultMemberUniqueName="[tb_tructhuoc].[loai_phieu].[All]" allUniqueName="[tb_tructhuoc].[loai_phieu].[All]" dimensionUniqueName="[tb_tructhuoc]" displayFolder="" count="0" memberValueDatatype="130" unbalanced="0"/>
    <cacheHierarchy uniqueName="[tb_tructhuoc].[status]" caption="status" attribute="1" defaultMemberUniqueName="[tb_tructhuoc].[status].[All]" allUniqueName="[tb_tructhuoc].[status].[All]" dimensionUniqueName="[tb_tructhuoc]" displayFolder="" count="0" memberValueDatatype="130" unbalanced="0"/>
    <cacheHierarchy uniqueName="[Measures].[Sum of don_gia]" caption="Sum of don_gia" measure="1" displayFolder="" measureGroup="tb_socai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thuc_xuat]" caption="Sum of thuc_xuat" measure="1" displayFolder="" measureGroup="tb_socai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id]" caption="Sum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Var of id]" caption="Var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 of id]" caption="StdDev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p of id]" caption="StdDevp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id]" caption="Distinct Count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thuc_xuat]" caption="Count of thuc_xuat" measure="1" displayFolder="" measureGroup="tb_socai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__XL_Count tb_socai]" caption="__XL_Count tb_socai" measure="1" displayFolder="" measureGroup="tb_socai" count="0" hidden="1"/>
    <cacheHierarchy uniqueName="[Measures].[__XL_Count tb_loaixd2]" caption="__XL_Count tb_loaixd2" measure="1" displayFolder="" measureGroup="tb_loaixd2" count="0" hidden="1"/>
    <cacheHierarchy uniqueName="[Measures].[__XL_Count tb_nguonnx_tructhuoc]" caption="__XL_Count tb_nguonnx_tructhuoc" measure="1" displayFolder="" measureGroup="tb_nguonnx_tructhuoc" count="0" hidden="1"/>
    <cacheHierarchy uniqueName="[Measures].[__XL_Count tb_nguon_nx]" caption="__XL_Count tb_nguon_nx" measure="1" displayFolder="" measureGroup="tb_nguon_nx" count="0" hidden="1"/>
    <cacheHierarchy uniqueName="[Measures].[__XL_Count tb_tructhuoc]" caption="__XL_Count tb_tructhuoc" measure="1" displayFolder="" measureGroup="tb_tructhuoc" count="0" hidden="1"/>
    <cacheHierarchy uniqueName="[Measures].[__No measures defined]" caption="__No measures defined" measure="1" displayFolder="" count="0" hidden="1"/>
  </cacheHierarchies>
  <kpis count="0"/>
  <dimensions count="6">
    <dimension measure="1" name="Measures" uniqueName="[Measures]" caption="Measures"/>
    <dimension name="tb_loaixd2" uniqueName="[tb_loaixd2]" caption="tb_loaixd2"/>
    <dimension name="tb_nguon_nx" uniqueName="[tb_nguon_nx]" caption="tb_nguon_nx"/>
    <dimension name="tb_nguonnx_tructhuoc" uniqueName="[tb_nguonnx_tructhuoc]" caption="tb_nguonnx_tructhuoc"/>
    <dimension name="tb_socai" uniqueName="[tb_socai]" caption="tb_socai"/>
    <dimension name="tb_tructhuoc" uniqueName="[tb_tructhuoc]" caption="tb_tructhuoc"/>
  </dimensions>
  <measureGroups count="5">
    <measureGroup name="tb_loaixd2" caption="tb_loaixd2"/>
    <measureGroup name="tb_nguon_nx" caption="tb_nguon_nx"/>
    <measureGroup name="tb_nguonnx_tructhuoc" caption="tb_nguonnx_tructhuoc"/>
    <measureGroup name="tb_socai" caption="tb_socai"/>
    <measureGroup name="tb_tructhuoc" caption="tb_tructhuoc"/>
  </measureGroups>
  <maps count="11">
    <map measureGroup="0" dimension="1"/>
    <map measureGroup="1" dimension="2"/>
    <map measureGroup="2" dimension="2"/>
    <map measureGroup="2" dimension="3"/>
    <map measureGroup="2" dimension="5"/>
    <map measureGroup="3" dimension="1"/>
    <map measureGroup="3" dimension="2"/>
    <map measureGroup="3" dimension="3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ga" refreshedDate="45587.495801041667" createdVersion="6" refreshedVersion="6" minRefreshableVersion="3" recordCount="816">
  <cacheSource type="external" connectionId="2"/>
  <cacheFields count="11">
    <cacheField name="id" numFmtId="0" sqlType="4">
      <sharedItems containsSemiMixedTypes="0" containsString="0" containsNumber="1" containsInteger="1" minValue="28563" maxValue="29378"/>
    </cacheField>
    <cacheField name="loaixd" numFmtId="0" sqlType="-10">
      <sharedItems count="49">
        <s v="XANG E5 RON92"/>
        <s v="Xăng A80"/>
        <s v="DO 0,05% S"/>
        <s v="DầU TC-1"/>
        <s v="DầU JetA-1K"/>
        <s v="Dầu JETA-01"/>
        <s v="MILPCO1-SAE40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Opalgrease No3"/>
        <s v="Dầu MC-8P"/>
        <s v="Dầu MC-20"/>
        <s v="Dầu B-3V"/>
        <s v="Dầu IPM-10"/>
        <s v="Hypôit (TC Gip)"/>
        <s v="Dầu AMG-10"/>
        <s v="Turbonicoil210A(IPM-10)"/>
        <s v="Aeroshell Fluid41(AMG-10)"/>
        <s v="Turbonicoil 321(MC8P)"/>
        <s v="Turbonicoil 35M (B3V)"/>
        <s v="Dầu 132-25"/>
        <s v="Grease28 (Mỡ 221)"/>
        <s v="Grease33 (OKB)"/>
        <s v="Grease22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40000" count="5">
        <n v="16000"/>
        <n v="40000"/>
        <n v="0"/>
        <n v="39200"/>
        <n v="15200"/>
      </sharedItems>
    </cacheField>
    <cacheField name="title_lv1" numFmtId="0" sqlType="-10">
      <sharedItems count="12">
        <s v="Trong QC"/>
        <s v="DT cho NV đột xuất"/>
        <s v="DT SSCD"/>
        <s v="Ngoài QC"/>
        <s v="QC"/>
        <s v="Mua P/cấp"/>
        <s v="Khác"/>
        <s v="TT Xe máy"/>
        <s v="BQ"/>
        <s v="Hao hụt"/>
        <s v="Tổn thất"/>
        <s v="CXD"/>
      </sharedItems>
    </cacheField>
    <cacheField name="title_lv2" numFmtId="0" sqlType="-10">
      <sharedItems containsBlank="1" count="13">
        <s v="Xuất khác"/>
        <s v="DT cho NV đột xuất"/>
        <s v="DT SSCD"/>
        <s v="Nhập khác"/>
        <s v="QC"/>
        <s v="Mua P/cấp"/>
        <s v="Khác"/>
        <s v="TT Xe máy"/>
        <s v="BQ"/>
        <s v="Hao hụt"/>
        <s v="Tổn thất"/>
        <s v="CXD"/>
        <m u="1"/>
      </sharedItems>
    </cacheField>
    <cacheField name="title_lv3" numFmtId="0" sqlType="-10">
      <sharedItems count="4">
        <s v="Xuất"/>
        <s v="Tồn đầu kỳ"/>
        <s v="Tồn cuối kỳ"/>
        <s v="Nhập"/>
      </sharedItems>
    </cacheField>
    <cacheField name="title_lxd_lv1" numFmtId="0" sqlType="-10">
      <sharedItems containsBlank="1" count="14">
        <s v="Xăng ô tô"/>
        <s v="Diezel"/>
        <s v="Dầu hạ cấp"/>
        <s v="Dầu bay"/>
        <s v="Dầu đ.cơ ô tô"/>
        <s v="Dầu truyền động"/>
        <s v="Dầu khác"/>
        <s v="Mỡ giảm ma sát"/>
        <s v="Dầu động cơ"/>
        <s v="Dầu thủy lực"/>
        <s v="Mỡ nhờn"/>
        <s v="Dung môi"/>
        <m u="1"/>
        <s v="NL-XANG-OTO" u="1"/>
      </sharedItems>
    </cacheField>
    <cacheField name="title_lxd_lv2" numFmtId="0" sqlType="-10">
      <sharedItems containsBlank="1" count="8">
        <s v="Xăng ô tô"/>
        <s v="Diezel"/>
        <s v="Dầu hạ cấp"/>
        <s v="Dầu bay"/>
        <s v="DMN nhờn MĐ"/>
        <s v="DMN nhờn HK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inv_report_id" numFmtId="0" sqlType="4">
      <sharedItems containsSemiMixedTypes="0" containsString="0" containsNumber="1" containsInteger="1" minValue="29381" maxValue="30196"/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6">
  <r>
    <n v="28564"/>
    <x v="0"/>
    <x v="0"/>
    <x v="0"/>
    <x v="0"/>
    <x v="0"/>
    <x v="0"/>
    <x v="0"/>
    <x v="0"/>
    <n v="29382"/>
  </r>
  <r>
    <n v="28566"/>
    <x v="0"/>
    <x v="1"/>
    <x v="1"/>
    <x v="1"/>
    <x v="1"/>
    <x v="0"/>
    <x v="0"/>
    <x v="0"/>
    <n v="29384"/>
  </r>
  <r>
    <n v="28567"/>
    <x v="0"/>
    <x v="2"/>
    <x v="2"/>
    <x v="2"/>
    <x v="1"/>
    <x v="0"/>
    <x v="0"/>
    <x v="0"/>
    <n v="29385"/>
  </r>
  <r>
    <n v="28577"/>
    <x v="0"/>
    <x v="3"/>
    <x v="1"/>
    <x v="1"/>
    <x v="2"/>
    <x v="0"/>
    <x v="0"/>
    <x v="0"/>
    <n v="29395"/>
  </r>
  <r>
    <n v="28563"/>
    <x v="0"/>
    <x v="2"/>
    <x v="0"/>
    <x v="3"/>
    <x v="3"/>
    <x v="0"/>
    <x v="0"/>
    <x v="0"/>
    <n v="29381"/>
  </r>
  <r>
    <n v="28565"/>
    <x v="0"/>
    <x v="2"/>
    <x v="3"/>
    <x v="0"/>
    <x v="0"/>
    <x v="0"/>
    <x v="0"/>
    <x v="0"/>
    <n v="29383"/>
  </r>
  <r>
    <n v="28569"/>
    <x v="0"/>
    <x v="2"/>
    <x v="4"/>
    <x v="4"/>
    <x v="3"/>
    <x v="0"/>
    <x v="0"/>
    <x v="0"/>
    <n v="29387"/>
  </r>
  <r>
    <n v="28570"/>
    <x v="0"/>
    <x v="2"/>
    <x v="5"/>
    <x v="5"/>
    <x v="3"/>
    <x v="0"/>
    <x v="0"/>
    <x v="0"/>
    <n v="29388"/>
  </r>
  <r>
    <n v="28571"/>
    <x v="0"/>
    <x v="2"/>
    <x v="6"/>
    <x v="6"/>
    <x v="3"/>
    <x v="0"/>
    <x v="0"/>
    <x v="0"/>
    <n v="29389"/>
  </r>
  <r>
    <n v="28572"/>
    <x v="0"/>
    <x v="2"/>
    <x v="7"/>
    <x v="7"/>
    <x v="0"/>
    <x v="0"/>
    <x v="0"/>
    <x v="0"/>
    <n v="29390"/>
  </r>
  <r>
    <n v="28573"/>
    <x v="0"/>
    <x v="2"/>
    <x v="8"/>
    <x v="8"/>
    <x v="0"/>
    <x v="0"/>
    <x v="0"/>
    <x v="0"/>
    <n v="29391"/>
  </r>
  <r>
    <n v="28574"/>
    <x v="0"/>
    <x v="2"/>
    <x v="9"/>
    <x v="9"/>
    <x v="0"/>
    <x v="0"/>
    <x v="0"/>
    <x v="0"/>
    <n v="29392"/>
  </r>
  <r>
    <n v="28575"/>
    <x v="0"/>
    <x v="2"/>
    <x v="10"/>
    <x v="10"/>
    <x v="0"/>
    <x v="0"/>
    <x v="0"/>
    <x v="0"/>
    <n v="29393"/>
  </r>
  <r>
    <n v="28576"/>
    <x v="0"/>
    <x v="2"/>
    <x v="6"/>
    <x v="6"/>
    <x v="0"/>
    <x v="0"/>
    <x v="0"/>
    <x v="0"/>
    <n v="29394"/>
  </r>
  <r>
    <n v="28568"/>
    <x v="0"/>
    <x v="4"/>
    <x v="11"/>
    <x v="11"/>
    <x v="3"/>
    <x v="0"/>
    <x v="0"/>
    <x v="0"/>
    <n v="29386"/>
  </r>
  <r>
    <n v="28579"/>
    <x v="1"/>
    <x v="2"/>
    <x v="0"/>
    <x v="3"/>
    <x v="3"/>
    <x v="0"/>
    <x v="0"/>
    <x v="0"/>
    <n v="29397"/>
  </r>
  <r>
    <n v="28580"/>
    <x v="1"/>
    <x v="2"/>
    <x v="0"/>
    <x v="0"/>
    <x v="0"/>
    <x v="0"/>
    <x v="0"/>
    <x v="0"/>
    <n v="29398"/>
  </r>
  <r>
    <n v="28581"/>
    <x v="1"/>
    <x v="2"/>
    <x v="3"/>
    <x v="0"/>
    <x v="0"/>
    <x v="0"/>
    <x v="0"/>
    <x v="0"/>
    <n v="29399"/>
  </r>
  <r>
    <n v="28582"/>
    <x v="1"/>
    <x v="1"/>
    <x v="1"/>
    <x v="1"/>
    <x v="1"/>
    <x v="0"/>
    <x v="0"/>
    <x v="0"/>
    <n v="29400"/>
  </r>
  <r>
    <n v="28583"/>
    <x v="1"/>
    <x v="2"/>
    <x v="2"/>
    <x v="2"/>
    <x v="1"/>
    <x v="0"/>
    <x v="0"/>
    <x v="0"/>
    <n v="29401"/>
  </r>
  <r>
    <n v="28584"/>
    <x v="1"/>
    <x v="2"/>
    <x v="11"/>
    <x v="11"/>
    <x v="3"/>
    <x v="0"/>
    <x v="0"/>
    <x v="0"/>
    <n v="29402"/>
  </r>
  <r>
    <n v="28585"/>
    <x v="1"/>
    <x v="2"/>
    <x v="4"/>
    <x v="4"/>
    <x v="3"/>
    <x v="0"/>
    <x v="0"/>
    <x v="0"/>
    <n v="29403"/>
  </r>
  <r>
    <n v="28586"/>
    <x v="1"/>
    <x v="2"/>
    <x v="5"/>
    <x v="5"/>
    <x v="3"/>
    <x v="0"/>
    <x v="0"/>
    <x v="0"/>
    <n v="29404"/>
  </r>
  <r>
    <n v="28587"/>
    <x v="1"/>
    <x v="2"/>
    <x v="6"/>
    <x v="6"/>
    <x v="3"/>
    <x v="0"/>
    <x v="0"/>
    <x v="0"/>
    <n v="29405"/>
  </r>
  <r>
    <n v="28588"/>
    <x v="1"/>
    <x v="2"/>
    <x v="7"/>
    <x v="7"/>
    <x v="0"/>
    <x v="0"/>
    <x v="0"/>
    <x v="0"/>
    <n v="29406"/>
  </r>
  <r>
    <n v="28589"/>
    <x v="1"/>
    <x v="2"/>
    <x v="8"/>
    <x v="8"/>
    <x v="0"/>
    <x v="0"/>
    <x v="0"/>
    <x v="0"/>
    <n v="29407"/>
  </r>
  <r>
    <n v="28590"/>
    <x v="1"/>
    <x v="2"/>
    <x v="9"/>
    <x v="9"/>
    <x v="0"/>
    <x v="0"/>
    <x v="0"/>
    <x v="0"/>
    <n v="29408"/>
  </r>
  <r>
    <n v="28591"/>
    <x v="1"/>
    <x v="2"/>
    <x v="10"/>
    <x v="10"/>
    <x v="0"/>
    <x v="0"/>
    <x v="0"/>
    <x v="0"/>
    <n v="29409"/>
  </r>
  <r>
    <n v="28592"/>
    <x v="1"/>
    <x v="2"/>
    <x v="6"/>
    <x v="6"/>
    <x v="0"/>
    <x v="0"/>
    <x v="0"/>
    <x v="0"/>
    <n v="29410"/>
  </r>
  <r>
    <n v="28593"/>
    <x v="1"/>
    <x v="1"/>
    <x v="1"/>
    <x v="1"/>
    <x v="2"/>
    <x v="0"/>
    <x v="0"/>
    <x v="0"/>
    <n v="29411"/>
  </r>
  <r>
    <n v="28594"/>
    <x v="1"/>
    <x v="2"/>
    <x v="2"/>
    <x v="2"/>
    <x v="2"/>
    <x v="0"/>
    <x v="0"/>
    <x v="0"/>
    <n v="29412"/>
  </r>
  <r>
    <n v="28595"/>
    <x v="2"/>
    <x v="2"/>
    <x v="0"/>
    <x v="3"/>
    <x v="3"/>
    <x v="1"/>
    <x v="1"/>
    <x v="0"/>
    <n v="29413"/>
  </r>
  <r>
    <n v="28596"/>
    <x v="2"/>
    <x v="2"/>
    <x v="0"/>
    <x v="0"/>
    <x v="0"/>
    <x v="1"/>
    <x v="1"/>
    <x v="0"/>
    <n v="29414"/>
  </r>
  <r>
    <n v="28597"/>
    <x v="2"/>
    <x v="2"/>
    <x v="3"/>
    <x v="0"/>
    <x v="0"/>
    <x v="1"/>
    <x v="1"/>
    <x v="0"/>
    <n v="29415"/>
  </r>
  <r>
    <n v="28598"/>
    <x v="2"/>
    <x v="1"/>
    <x v="1"/>
    <x v="1"/>
    <x v="1"/>
    <x v="1"/>
    <x v="1"/>
    <x v="0"/>
    <n v="29416"/>
  </r>
  <r>
    <n v="28599"/>
    <x v="2"/>
    <x v="2"/>
    <x v="2"/>
    <x v="2"/>
    <x v="1"/>
    <x v="1"/>
    <x v="1"/>
    <x v="0"/>
    <n v="29417"/>
  </r>
  <r>
    <n v="28600"/>
    <x v="2"/>
    <x v="2"/>
    <x v="11"/>
    <x v="11"/>
    <x v="3"/>
    <x v="1"/>
    <x v="1"/>
    <x v="0"/>
    <n v="29418"/>
  </r>
  <r>
    <n v="28601"/>
    <x v="2"/>
    <x v="2"/>
    <x v="4"/>
    <x v="4"/>
    <x v="3"/>
    <x v="1"/>
    <x v="1"/>
    <x v="0"/>
    <n v="29419"/>
  </r>
  <r>
    <n v="28602"/>
    <x v="2"/>
    <x v="2"/>
    <x v="5"/>
    <x v="5"/>
    <x v="3"/>
    <x v="1"/>
    <x v="1"/>
    <x v="0"/>
    <n v="29420"/>
  </r>
  <r>
    <n v="28603"/>
    <x v="2"/>
    <x v="2"/>
    <x v="6"/>
    <x v="6"/>
    <x v="3"/>
    <x v="1"/>
    <x v="1"/>
    <x v="0"/>
    <n v="29421"/>
  </r>
  <r>
    <n v="28604"/>
    <x v="2"/>
    <x v="2"/>
    <x v="7"/>
    <x v="7"/>
    <x v="0"/>
    <x v="1"/>
    <x v="1"/>
    <x v="0"/>
    <n v="29422"/>
  </r>
  <r>
    <n v="28605"/>
    <x v="2"/>
    <x v="2"/>
    <x v="8"/>
    <x v="8"/>
    <x v="0"/>
    <x v="1"/>
    <x v="1"/>
    <x v="0"/>
    <n v="29423"/>
  </r>
  <r>
    <n v="28606"/>
    <x v="2"/>
    <x v="2"/>
    <x v="9"/>
    <x v="9"/>
    <x v="0"/>
    <x v="1"/>
    <x v="1"/>
    <x v="0"/>
    <n v="29424"/>
  </r>
  <r>
    <n v="28607"/>
    <x v="2"/>
    <x v="2"/>
    <x v="10"/>
    <x v="10"/>
    <x v="0"/>
    <x v="1"/>
    <x v="1"/>
    <x v="0"/>
    <n v="29425"/>
  </r>
  <r>
    <n v="28608"/>
    <x v="2"/>
    <x v="2"/>
    <x v="6"/>
    <x v="6"/>
    <x v="0"/>
    <x v="1"/>
    <x v="1"/>
    <x v="0"/>
    <n v="29426"/>
  </r>
  <r>
    <n v="28609"/>
    <x v="2"/>
    <x v="1"/>
    <x v="1"/>
    <x v="1"/>
    <x v="2"/>
    <x v="1"/>
    <x v="1"/>
    <x v="0"/>
    <n v="29427"/>
  </r>
  <r>
    <n v="28610"/>
    <x v="2"/>
    <x v="2"/>
    <x v="2"/>
    <x v="2"/>
    <x v="2"/>
    <x v="1"/>
    <x v="1"/>
    <x v="0"/>
    <n v="29428"/>
  </r>
  <r>
    <n v="28611"/>
    <x v="3"/>
    <x v="2"/>
    <x v="0"/>
    <x v="3"/>
    <x v="3"/>
    <x v="2"/>
    <x v="2"/>
    <x v="0"/>
    <n v="29429"/>
  </r>
  <r>
    <n v="28612"/>
    <x v="3"/>
    <x v="2"/>
    <x v="0"/>
    <x v="0"/>
    <x v="0"/>
    <x v="2"/>
    <x v="2"/>
    <x v="0"/>
    <n v="29430"/>
  </r>
  <r>
    <n v="28613"/>
    <x v="3"/>
    <x v="2"/>
    <x v="3"/>
    <x v="0"/>
    <x v="0"/>
    <x v="2"/>
    <x v="2"/>
    <x v="0"/>
    <n v="29431"/>
  </r>
  <r>
    <n v="28614"/>
    <x v="3"/>
    <x v="1"/>
    <x v="1"/>
    <x v="1"/>
    <x v="1"/>
    <x v="2"/>
    <x v="2"/>
    <x v="0"/>
    <n v="29432"/>
  </r>
  <r>
    <n v="28615"/>
    <x v="3"/>
    <x v="2"/>
    <x v="2"/>
    <x v="2"/>
    <x v="1"/>
    <x v="2"/>
    <x v="2"/>
    <x v="0"/>
    <n v="29433"/>
  </r>
  <r>
    <n v="28616"/>
    <x v="3"/>
    <x v="2"/>
    <x v="11"/>
    <x v="11"/>
    <x v="3"/>
    <x v="2"/>
    <x v="2"/>
    <x v="0"/>
    <n v="29434"/>
  </r>
  <r>
    <n v="28617"/>
    <x v="3"/>
    <x v="2"/>
    <x v="4"/>
    <x v="4"/>
    <x v="3"/>
    <x v="2"/>
    <x v="2"/>
    <x v="0"/>
    <n v="29435"/>
  </r>
  <r>
    <n v="28618"/>
    <x v="3"/>
    <x v="2"/>
    <x v="5"/>
    <x v="5"/>
    <x v="3"/>
    <x v="2"/>
    <x v="2"/>
    <x v="0"/>
    <n v="29436"/>
  </r>
  <r>
    <n v="28619"/>
    <x v="3"/>
    <x v="2"/>
    <x v="6"/>
    <x v="6"/>
    <x v="3"/>
    <x v="2"/>
    <x v="2"/>
    <x v="0"/>
    <n v="29437"/>
  </r>
  <r>
    <n v="28620"/>
    <x v="3"/>
    <x v="2"/>
    <x v="7"/>
    <x v="7"/>
    <x v="0"/>
    <x v="2"/>
    <x v="2"/>
    <x v="0"/>
    <n v="29438"/>
  </r>
  <r>
    <n v="28621"/>
    <x v="3"/>
    <x v="2"/>
    <x v="8"/>
    <x v="8"/>
    <x v="0"/>
    <x v="2"/>
    <x v="2"/>
    <x v="0"/>
    <n v="29439"/>
  </r>
  <r>
    <n v="28622"/>
    <x v="3"/>
    <x v="2"/>
    <x v="9"/>
    <x v="9"/>
    <x v="0"/>
    <x v="2"/>
    <x v="2"/>
    <x v="0"/>
    <n v="29440"/>
  </r>
  <r>
    <n v="28623"/>
    <x v="3"/>
    <x v="2"/>
    <x v="10"/>
    <x v="10"/>
    <x v="0"/>
    <x v="2"/>
    <x v="2"/>
    <x v="0"/>
    <n v="29441"/>
  </r>
  <r>
    <n v="28624"/>
    <x v="3"/>
    <x v="2"/>
    <x v="6"/>
    <x v="6"/>
    <x v="0"/>
    <x v="2"/>
    <x v="2"/>
    <x v="0"/>
    <n v="29442"/>
  </r>
  <r>
    <n v="28625"/>
    <x v="3"/>
    <x v="1"/>
    <x v="1"/>
    <x v="1"/>
    <x v="2"/>
    <x v="2"/>
    <x v="2"/>
    <x v="0"/>
    <n v="29443"/>
  </r>
  <r>
    <n v="28626"/>
    <x v="3"/>
    <x v="2"/>
    <x v="2"/>
    <x v="2"/>
    <x v="2"/>
    <x v="2"/>
    <x v="2"/>
    <x v="0"/>
    <n v="29444"/>
  </r>
  <r>
    <n v="28627"/>
    <x v="4"/>
    <x v="2"/>
    <x v="0"/>
    <x v="3"/>
    <x v="3"/>
    <x v="2"/>
    <x v="2"/>
    <x v="0"/>
    <n v="29445"/>
  </r>
  <r>
    <n v="28628"/>
    <x v="4"/>
    <x v="2"/>
    <x v="0"/>
    <x v="0"/>
    <x v="0"/>
    <x v="2"/>
    <x v="2"/>
    <x v="0"/>
    <n v="29446"/>
  </r>
  <r>
    <n v="28629"/>
    <x v="4"/>
    <x v="2"/>
    <x v="3"/>
    <x v="0"/>
    <x v="0"/>
    <x v="2"/>
    <x v="2"/>
    <x v="0"/>
    <n v="29447"/>
  </r>
  <r>
    <n v="28630"/>
    <x v="4"/>
    <x v="1"/>
    <x v="1"/>
    <x v="1"/>
    <x v="1"/>
    <x v="2"/>
    <x v="2"/>
    <x v="0"/>
    <n v="29448"/>
  </r>
  <r>
    <n v="28631"/>
    <x v="4"/>
    <x v="2"/>
    <x v="2"/>
    <x v="2"/>
    <x v="1"/>
    <x v="2"/>
    <x v="2"/>
    <x v="0"/>
    <n v="29449"/>
  </r>
  <r>
    <n v="28632"/>
    <x v="4"/>
    <x v="2"/>
    <x v="11"/>
    <x v="11"/>
    <x v="3"/>
    <x v="2"/>
    <x v="2"/>
    <x v="0"/>
    <n v="29450"/>
  </r>
  <r>
    <n v="28633"/>
    <x v="4"/>
    <x v="2"/>
    <x v="4"/>
    <x v="4"/>
    <x v="3"/>
    <x v="2"/>
    <x v="2"/>
    <x v="0"/>
    <n v="29451"/>
  </r>
  <r>
    <n v="28634"/>
    <x v="4"/>
    <x v="2"/>
    <x v="5"/>
    <x v="5"/>
    <x v="3"/>
    <x v="2"/>
    <x v="2"/>
    <x v="0"/>
    <n v="29452"/>
  </r>
  <r>
    <n v="28635"/>
    <x v="4"/>
    <x v="2"/>
    <x v="6"/>
    <x v="6"/>
    <x v="3"/>
    <x v="2"/>
    <x v="2"/>
    <x v="0"/>
    <n v="29453"/>
  </r>
  <r>
    <n v="28636"/>
    <x v="4"/>
    <x v="2"/>
    <x v="7"/>
    <x v="7"/>
    <x v="0"/>
    <x v="2"/>
    <x v="2"/>
    <x v="0"/>
    <n v="29454"/>
  </r>
  <r>
    <n v="28637"/>
    <x v="4"/>
    <x v="2"/>
    <x v="8"/>
    <x v="8"/>
    <x v="0"/>
    <x v="2"/>
    <x v="2"/>
    <x v="0"/>
    <n v="29455"/>
  </r>
  <r>
    <n v="28638"/>
    <x v="4"/>
    <x v="2"/>
    <x v="9"/>
    <x v="9"/>
    <x v="0"/>
    <x v="2"/>
    <x v="2"/>
    <x v="0"/>
    <n v="29456"/>
  </r>
  <r>
    <n v="28639"/>
    <x v="4"/>
    <x v="2"/>
    <x v="10"/>
    <x v="10"/>
    <x v="0"/>
    <x v="2"/>
    <x v="2"/>
    <x v="0"/>
    <n v="29457"/>
  </r>
  <r>
    <n v="28640"/>
    <x v="4"/>
    <x v="2"/>
    <x v="6"/>
    <x v="6"/>
    <x v="0"/>
    <x v="2"/>
    <x v="2"/>
    <x v="0"/>
    <n v="29458"/>
  </r>
  <r>
    <n v="28641"/>
    <x v="4"/>
    <x v="1"/>
    <x v="1"/>
    <x v="1"/>
    <x v="2"/>
    <x v="2"/>
    <x v="2"/>
    <x v="0"/>
    <n v="29459"/>
  </r>
  <r>
    <n v="28642"/>
    <x v="4"/>
    <x v="2"/>
    <x v="2"/>
    <x v="2"/>
    <x v="2"/>
    <x v="2"/>
    <x v="2"/>
    <x v="0"/>
    <n v="29460"/>
  </r>
  <r>
    <n v="28643"/>
    <x v="5"/>
    <x v="2"/>
    <x v="0"/>
    <x v="3"/>
    <x v="3"/>
    <x v="3"/>
    <x v="3"/>
    <x v="0"/>
    <n v="29461"/>
  </r>
  <r>
    <n v="28644"/>
    <x v="5"/>
    <x v="2"/>
    <x v="0"/>
    <x v="0"/>
    <x v="0"/>
    <x v="3"/>
    <x v="3"/>
    <x v="0"/>
    <n v="29462"/>
  </r>
  <r>
    <n v="28645"/>
    <x v="5"/>
    <x v="2"/>
    <x v="3"/>
    <x v="0"/>
    <x v="0"/>
    <x v="3"/>
    <x v="3"/>
    <x v="0"/>
    <n v="29463"/>
  </r>
  <r>
    <n v="28646"/>
    <x v="5"/>
    <x v="1"/>
    <x v="1"/>
    <x v="1"/>
    <x v="1"/>
    <x v="3"/>
    <x v="3"/>
    <x v="0"/>
    <n v="29464"/>
  </r>
  <r>
    <n v="28647"/>
    <x v="5"/>
    <x v="2"/>
    <x v="2"/>
    <x v="2"/>
    <x v="1"/>
    <x v="3"/>
    <x v="3"/>
    <x v="0"/>
    <n v="29465"/>
  </r>
  <r>
    <n v="28648"/>
    <x v="5"/>
    <x v="2"/>
    <x v="11"/>
    <x v="11"/>
    <x v="3"/>
    <x v="3"/>
    <x v="3"/>
    <x v="0"/>
    <n v="29466"/>
  </r>
  <r>
    <n v="28649"/>
    <x v="5"/>
    <x v="2"/>
    <x v="4"/>
    <x v="4"/>
    <x v="3"/>
    <x v="3"/>
    <x v="3"/>
    <x v="0"/>
    <n v="29467"/>
  </r>
  <r>
    <n v="28650"/>
    <x v="5"/>
    <x v="2"/>
    <x v="5"/>
    <x v="5"/>
    <x v="3"/>
    <x v="3"/>
    <x v="3"/>
    <x v="0"/>
    <n v="29468"/>
  </r>
  <r>
    <n v="28651"/>
    <x v="5"/>
    <x v="2"/>
    <x v="6"/>
    <x v="6"/>
    <x v="3"/>
    <x v="3"/>
    <x v="3"/>
    <x v="0"/>
    <n v="29469"/>
  </r>
  <r>
    <n v="28652"/>
    <x v="5"/>
    <x v="2"/>
    <x v="7"/>
    <x v="7"/>
    <x v="0"/>
    <x v="3"/>
    <x v="3"/>
    <x v="0"/>
    <n v="29470"/>
  </r>
  <r>
    <n v="28653"/>
    <x v="5"/>
    <x v="2"/>
    <x v="8"/>
    <x v="8"/>
    <x v="0"/>
    <x v="3"/>
    <x v="3"/>
    <x v="0"/>
    <n v="29471"/>
  </r>
  <r>
    <n v="28654"/>
    <x v="5"/>
    <x v="2"/>
    <x v="9"/>
    <x v="9"/>
    <x v="0"/>
    <x v="3"/>
    <x v="3"/>
    <x v="0"/>
    <n v="29472"/>
  </r>
  <r>
    <n v="28655"/>
    <x v="5"/>
    <x v="2"/>
    <x v="10"/>
    <x v="10"/>
    <x v="0"/>
    <x v="3"/>
    <x v="3"/>
    <x v="0"/>
    <n v="29473"/>
  </r>
  <r>
    <n v="28656"/>
    <x v="5"/>
    <x v="2"/>
    <x v="6"/>
    <x v="6"/>
    <x v="0"/>
    <x v="3"/>
    <x v="3"/>
    <x v="0"/>
    <n v="29474"/>
  </r>
  <r>
    <n v="28657"/>
    <x v="5"/>
    <x v="1"/>
    <x v="1"/>
    <x v="1"/>
    <x v="2"/>
    <x v="3"/>
    <x v="3"/>
    <x v="0"/>
    <n v="29475"/>
  </r>
  <r>
    <n v="28658"/>
    <x v="5"/>
    <x v="2"/>
    <x v="2"/>
    <x v="2"/>
    <x v="2"/>
    <x v="3"/>
    <x v="3"/>
    <x v="0"/>
    <n v="29476"/>
  </r>
  <r>
    <n v="28659"/>
    <x v="3"/>
    <x v="2"/>
    <x v="0"/>
    <x v="3"/>
    <x v="3"/>
    <x v="3"/>
    <x v="3"/>
    <x v="0"/>
    <n v="29477"/>
  </r>
  <r>
    <n v="28660"/>
    <x v="3"/>
    <x v="2"/>
    <x v="0"/>
    <x v="0"/>
    <x v="0"/>
    <x v="3"/>
    <x v="3"/>
    <x v="0"/>
    <n v="29478"/>
  </r>
  <r>
    <n v="28661"/>
    <x v="3"/>
    <x v="2"/>
    <x v="3"/>
    <x v="0"/>
    <x v="0"/>
    <x v="3"/>
    <x v="3"/>
    <x v="0"/>
    <n v="29479"/>
  </r>
  <r>
    <n v="28662"/>
    <x v="3"/>
    <x v="1"/>
    <x v="1"/>
    <x v="1"/>
    <x v="1"/>
    <x v="3"/>
    <x v="3"/>
    <x v="0"/>
    <n v="29480"/>
  </r>
  <r>
    <n v="28663"/>
    <x v="3"/>
    <x v="2"/>
    <x v="2"/>
    <x v="2"/>
    <x v="1"/>
    <x v="3"/>
    <x v="3"/>
    <x v="0"/>
    <n v="29481"/>
  </r>
  <r>
    <n v="28664"/>
    <x v="3"/>
    <x v="2"/>
    <x v="11"/>
    <x v="11"/>
    <x v="3"/>
    <x v="3"/>
    <x v="3"/>
    <x v="0"/>
    <n v="29482"/>
  </r>
  <r>
    <n v="28665"/>
    <x v="3"/>
    <x v="2"/>
    <x v="4"/>
    <x v="4"/>
    <x v="3"/>
    <x v="3"/>
    <x v="3"/>
    <x v="0"/>
    <n v="29483"/>
  </r>
  <r>
    <n v="28666"/>
    <x v="3"/>
    <x v="2"/>
    <x v="5"/>
    <x v="5"/>
    <x v="3"/>
    <x v="3"/>
    <x v="3"/>
    <x v="0"/>
    <n v="29484"/>
  </r>
  <r>
    <n v="28667"/>
    <x v="3"/>
    <x v="2"/>
    <x v="6"/>
    <x v="6"/>
    <x v="3"/>
    <x v="3"/>
    <x v="3"/>
    <x v="0"/>
    <n v="29485"/>
  </r>
  <r>
    <n v="28668"/>
    <x v="3"/>
    <x v="2"/>
    <x v="7"/>
    <x v="7"/>
    <x v="0"/>
    <x v="3"/>
    <x v="3"/>
    <x v="0"/>
    <n v="29486"/>
  </r>
  <r>
    <n v="28669"/>
    <x v="3"/>
    <x v="2"/>
    <x v="8"/>
    <x v="8"/>
    <x v="0"/>
    <x v="3"/>
    <x v="3"/>
    <x v="0"/>
    <n v="29487"/>
  </r>
  <r>
    <n v="28670"/>
    <x v="3"/>
    <x v="2"/>
    <x v="9"/>
    <x v="9"/>
    <x v="0"/>
    <x v="3"/>
    <x v="3"/>
    <x v="0"/>
    <n v="29488"/>
  </r>
  <r>
    <n v="28671"/>
    <x v="3"/>
    <x v="2"/>
    <x v="10"/>
    <x v="10"/>
    <x v="0"/>
    <x v="3"/>
    <x v="3"/>
    <x v="0"/>
    <n v="29489"/>
  </r>
  <r>
    <n v="28672"/>
    <x v="3"/>
    <x v="2"/>
    <x v="6"/>
    <x v="6"/>
    <x v="0"/>
    <x v="3"/>
    <x v="3"/>
    <x v="0"/>
    <n v="29490"/>
  </r>
  <r>
    <n v="28673"/>
    <x v="3"/>
    <x v="1"/>
    <x v="1"/>
    <x v="1"/>
    <x v="2"/>
    <x v="3"/>
    <x v="3"/>
    <x v="0"/>
    <n v="29491"/>
  </r>
  <r>
    <n v="28674"/>
    <x v="3"/>
    <x v="2"/>
    <x v="2"/>
    <x v="2"/>
    <x v="2"/>
    <x v="3"/>
    <x v="3"/>
    <x v="0"/>
    <n v="29492"/>
  </r>
  <r>
    <n v="28675"/>
    <x v="4"/>
    <x v="2"/>
    <x v="0"/>
    <x v="3"/>
    <x v="3"/>
    <x v="3"/>
    <x v="3"/>
    <x v="0"/>
    <n v="29493"/>
  </r>
  <r>
    <n v="28676"/>
    <x v="4"/>
    <x v="2"/>
    <x v="0"/>
    <x v="0"/>
    <x v="0"/>
    <x v="3"/>
    <x v="3"/>
    <x v="0"/>
    <n v="29494"/>
  </r>
  <r>
    <n v="28677"/>
    <x v="4"/>
    <x v="2"/>
    <x v="3"/>
    <x v="0"/>
    <x v="0"/>
    <x v="3"/>
    <x v="3"/>
    <x v="0"/>
    <n v="29495"/>
  </r>
  <r>
    <n v="28678"/>
    <x v="4"/>
    <x v="1"/>
    <x v="1"/>
    <x v="1"/>
    <x v="1"/>
    <x v="3"/>
    <x v="3"/>
    <x v="0"/>
    <n v="29496"/>
  </r>
  <r>
    <n v="28679"/>
    <x v="4"/>
    <x v="2"/>
    <x v="2"/>
    <x v="2"/>
    <x v="1"/>
    <x v="3"/>
    <x v="3"/>
    <x v="0"/>
    <n v="29497"/>
  </r>
  <r>
    <n v="28680"/>
    <x v="4"/>
    <x v="2"/>
    <x v="11"/>
    <x v="11"/>
    <x v="3"/>
    <x v="3"/>
    <x v="3"/>
    <x v="0"/>
    <n v="29498"/>
  </r>
  <r>
    <n v="28681"/>
    <x v="4"/>
    <x v="2"/>
    <x v="4"/>
    <x v="4"/>
    <x v="3"/>
    <x v="3"/>
    <x v="3"/>
    <x v="0"/>
    <n v="29499"/>
  </r>
  <r>
    <n v="28682"/>
    <x v="4"/>
    <x v="2"/>
    <x v="5"/>
    <x v="5"/>
    <x v="3"/>
    <x v="3"/>
    <x v="3"/>
    <x v="0"/>
    <n v="29500"/>
  </r>
  <r>
    <n v="28683"/>
    <x v="4"/>
    <x v="2"/>
    <x v="6"/>
    <x v="6"/>
    <x v="3"/>
    <x v="3"/>
    <x v="3"/>
    <x v="0"/>
    <n v="29501"/>
  </r>
  <r>
    <n v="28684"/>
    <x v="4"/>
    <x v="2"/>
    <x v="7"/>
    <x v="7"/>
    <x v="0"/>
    <x v="3"/>
    <x v="3"/>
    <x v="0"/>
    <n v="29502"/>
  </r>
  <r>
    <n v="28685"/>
    <x v="4"/>
    <x v="2"/>
    <x v="8"/>
    <x v="8"/>
    <x v="0"/>
    <x v="3"/>
    <x v="3"/>
    <x v="0"/>
    <n v="29503"/>
  </r>
  <r>
    <n v="28686"/>
    <x v="4"/>
    <x v="2"/>
    <x v="9"/>
    <x v="9"/>
    <x v="0"/>
    <x v="3"/>
    <x v="3"/>
    <x v="0"/>
    <n v="29504"/>
  </r>
  <r>
    <n v="28687"/>
    <x v="4"/>
    <x v="2"/>
    <x v="10"/>
    <x v="10"/>
    <x v="0"/>
    <x v="3"/>
    <x v="3"/>
    <x v="0"/>
    <n v="29505"/>
  </r>
  <r>
    <n v="28688"/>
    <x v="4"/>
    <x v="2"/>
    <x v="6"/>
    <x v="6"/>
    <x v="0"/>
    <x v="3"/>
    <x v="3"/>
    <x v="0"/>
    <n v="29506"/>
  </r>
  <r>
    <n v="28689"/>
    <x v="4"/>
    <x v="1"/>
    <x v="1"/>
    <x v="1"/>
    <x v="2"/>
    <x v="3"/>
    <x v="3"/>
    <x v="0"/>
    <n v="29507"/>
  </r>
  <r>
    <n v="28690"/>
    <x v="4"/>
    <x v="2"/>
    <x v="2"/>
    <x v="2"/>
    <x v="2"/>
    <x v="3"/>
    <x v="3"/>
    <x v="0"/>
    <n v="29508"/>
  </r>
  <r>
    <n v="28691"/>
    <x v="6"/>
    <x v="2"/>
    <x v="0"/>
    <x v="3"/>
    <x v="3"/>
    <x v="4"/>
    <x v="4"/>
    <x v="1"/>
    <n v="29509"/>
  </r>
  <r>
    <n v="28692"/>
    <x v="6"/>
    <x v="2"/>
    <x v="0"/>
    <x v="0"/>
    <x v="0"/>
    <x v="4"/>
    <x v="4"/>
    <x v="1"/>
    <n v="29510"/>
  </r>
  <r>
    <n v="28693"/>
    <x v="6"/>
    <x v="2"/>
    <x v="3"/>
    <x v="0"/>
    <x v="0"/>
    <x v="4"/>
    <x v="4"/>
    <x v="1"/>
    <n v="29511"/>
  </r>
  <r>
    <n v="28694"/>
    <x v="6"/>
    <x v="1"/>
    <x v="1"/>
    <x v="1"/>
    <x v="1"/>
    <x v="4"/>
    <x v="4"/>
    <x v="1"/>
    <n v="29512"/>
  </r>
  <r>
    <n v="28695"/>
    <x v="6"/>
    <x v="2"/>
    <x v="2"/>
    <x v="2"/>
    <x v="1"/>
    <x v="4"/>
    <x v="4"/>
    <x v="1"/>
    <n v="29513"/>
  </r>
  <r>
    <n v="28696"/>
    <x v="6"/>
    <x v="2"/>
    <x v="11"/>
    <x v="11"/>
    <x v="3"/>
    <x v="4"/>
    <x v="4"/>
    <x v="1"/>
    <n v="29514"/>
  </r>
  <r>
    <n v="28697"/>
    <x v="6"/>
    <x v="2"/>
    <x v="4"/>
    <x v="4"/>
    <x v="3"/>
    <x v="4"/>
    <x v="4"/>
    <x v="1"/>
    <n v="29515"/>
  </r>
  <r>
    <n v="28698"/>
    <x v="6"/>
    <x v="2"/>
    <x v="5"/>
    <x v="5"/>
    <x v="3"/>
    <x v="4"/>
    <x v="4"/>
    <x v="1"/>
    <n v="29516"/>
  </r>
  <r>
    <n v="28699"/>
    <x v="6"/>
    <x v="2"/>
    <x v="6"/>
    <x v="6"/>
    <x v="3"/>
    <x v="4"/>
    <x v="4"/>
    <x v="1"/>
    <n v="29517"/>
  </r>
  <r>
    <n v="28700"/>
    <x v="6"/>
    <x v="2"/>
    <x v="7"/>
    <x v="7"/>
    <x v="0"/>
    <x v="4"/>
    <x v="4"/>
    <x v="1"/>
    <n v="29518"/>
  </r>
  <r>
    <n v="28701"/>
    <x v="6"/>
    <x v="2"/>
    <x v="8"/>
    <x v="8"/>
    <x v="0"/>
    <x v="4"/>
    <x v="4"/>
    <x v="1"/>
    <n v="29519"/>
  </r>
  <r>
    <n v="28702"/>
    <x v="6"/>
    <x v="2"/>
    <x v="9"/>
    <x v="9"/>
    <x v="0"/>
    <x v="4"/>
    <x v="4"/>
    <x v="1"/>
    <n v="29520"/>
  </r>
  <r>
    <n v="28703"/>
    <x v="6"/>
    <x v="2"/>
    <x v="10"/>
    <x v="10"/>
    <x v="0"/>
    <x v="4"/>
    <x v="4"/>
    <x v="1"/>
    <n v="29521"/>
  </r>
  <r>
    <n v="28704"/>
    <x v="6"/>
    <x v="2"/>
    <x v="6"/>
    <x v="6"/>
    <x v="0"/>
    <x v="4"/>
    <x v="4"/>
    <x v="1"/>
    <n v="29522"/>
  </r>
  <r>
    <n v="28705"/>
    <x v="6"/>
    <x v="1"/>
    <x v="1"/>
    <x v="1"/>
    <x v="2"/>
    <x v="4"/>
    <x v="4"/>
    <x v="1"/>
    <n v="29523"/>
  </r>
  <r>
    <n v="28706"/>
    <x v="6"/>
    <x v="2"/>
    <x v="2"/>
    <x v="2"/>
    <x v="2"/>
    <x v="4"/>
    <x v="4"/>
    <x v="1"/>
    <n v="29524"/>
  </r>
  <r>
    <n v="28707"/>
    <x v="7"/>
    <x v="2"/>
    <x v="0"/>
    <x v="3"/>
    <x v="3"/>
    <x v="4"/>
    <x v="4"/>
    <x v="1"/>
    <n v="29525"/>
  </r>
  <r>
    <n v="28708"/>
    <x v="7"/>
    <x v="2"/>
    <x v="0"/>
    <x v="0"/>
    <x v="0"/>
    <x v="4"/>
    <x v="4"/>
    <x v="1"/>
    <n v="29526"/>
  </r>
  <r>
    <n v="28709"/>
    <x v="7"/>
    <x v="2"/>
    <x v="3"/>
    <x v="0"/>
    <x v="0"/>
    <x v="4"/>
    <x v="4"/>
    <x v="1"/>
    <n v="29527"/>
  </r>
  <r>
    <n v="28710"/>
    <x v="7"/>
    <x v="1"/>
    <x v="1"/>
    <x v="1"/>
    <x v="1"/>
    <x v="4"/>
    <x v="4"/>
    <x v="1"/>
    <n v="29528"/>
  </r>
  <r>
    <n v="28711"/>
    <x v="7"/>
    <x v="2"/>
    <x v="2"/>
    <x v="2"/>
    <x v="1"/>
    <x v="4"/>
    <x v="4"/>
    <x v="1"/>
    <n v="29529"/>
  </r>
  <r>
    <n v="28712"/>
    <x v="7"/>
    <x v="2"/>
    <x v="11"/>
    <x v="11"/>
    <x v="3"/>
    <x v="4"/>
    <x v="4"/>
    <x v="1"/>
    <n v="29530"/>
  </r>
  <r>
    <n v="28713"/>
    <x v="7"/>
    <x v="2"/>
    <x v="4"/>
    <x v="4"/>
    <x v="3"/>
    <x v="4"/>
    <x v="4"/>
    <x v="1"/>
    <n v="29531"/>
  </r>
  <r>
    <n v="28714"/>
    <x v="7"/>
    <x v="2"/>
    <x v="5"/>
    <x v="5"/>
    <x v="3"/>
    <x v="4"/>
    <x v="4"/>
    <x v="1"/>
    <n v="29532"/>
  </r>
  <r>
    <n v="28715"/>
    <x v="7"/>
    <x v="2"/>
    <x v="6"/>
    <x v="6"/>
    <x v="3"/>
    <x v="4"/>
    <x v="4"/>
    <x v="1"/>
    <n v="29533"/>
  </r>
  <r>
    <n v="28716"/>
    <x v="7"/>
    <x v="2"/>
    <x v="7"/>
    <x v="7"/>
    <x v="0"/>
    <x v="4"/>
    <x v="4"/>
    <x v="1"/>
    <n v="29534"/>
  </r>
  <r>
    <n v="28717"/>
    <x v="7"/>
    <x v="2"/>
    <x v="8"/>
    <x v="8"/>
    <x v="0"/>
    <x v="4"/>
    <x v="4"/>
    <x v="1"/>
    <n v="29535"/>
  </r>
  <r>
    <n v="28718"/>
    <x v="7"/>
    <x v="2"/>
    <x v="9"/>
    <x v="9"/>
    <x v="0"/>
    <x v="4"/>
    <x v="4"/>
    <x v="1"/>
    <n v="29536"/>
  </r>
  <r>
    <n v="28719"/>
    <x v="7"/>
    <x v="2"/>
    <x v="10"/>
    <x v="10"/>
    <x v="0"/>
    <x v="4"/>
    <x v="4"/>
    <x v="1"/>
    <n v="29537"/>
  </r>
  <r>
    <n v="28720"/>
    <x v="7"/>
    <x v="2"/>
    <x v="6"/>
    <x v="6"/>
    <x v="0"/>
    <x v="4"/>
    <x v="4"/>
    <x v="1"/>
    <n v="29538"/>
  </r>
  <r>
    <n v="28721"/>
    <x v="7"/>
    <x v="1"/>
    <x v="1"/>
    <x v="1"/>
    <x v="2"/>
    <x v="4"/>
    <x v="4"/>
    <x v="1"/>
    <n v="29539"/>
  </r>
  <r>
    <n v="28722"/>
    <x v="7"/>
    <x v="2"/>
    <x v="2"/>
    <x v="2"/>
    <x v="2"/>
    <x v="4"/>
    <x v="4"/>
    <x v="1"/>
    <n v="29540"/>
  </r>
  <r>
    <n v="28723"/>
    <x v="8"/>
    <x v="2"/>
    <x v="0"/>
    <x v="3"/>
    <x v="3"/>
    <x v="4"/>
    <x v="4"/>
    <x v="1"/>
    <n v="29541"/>
  </r>
  <r>
    <n v="28724"/>
    <x v="8"/>
    <x v="2"/>
    <x v="0"/>
    <x v="0"/>
    <x v="0"/>
    <x v="4"/>
    <x v="4"/>
    <x v="1"/>
    <n v="29542"/>
  </r>
  <r>
    <n v="28725"/>
    <x v="8"/>
    <x v="2"/>
    <x v="3"/>
    <x v="0"/>
    <x v="0"/>
    <x v="4"/>
    <x v="4"/>
    <x v="1"/>
    <n v="29543"/>
  </r>
  <r>
    <n v="28726"/>
    <x v="8"/>
    <x v="1"/>
    <x v="1"/>
    <x v="1"/>
    <x v="1"/>
    <x v="4"/>
    <x v="4"/>
    <x v="1"/>
    <n v="29544"/>
  </r>
  <r>
    <n v="28727"/>
    <x v="8"/>
    <x v="2"/>
    <x v="2"/>
    <x v="2"/>
    <x v="1"/>
    <x v="4"/>
    <x v="4"/>
    <x v="1"/>
    <n v="29545"/>
  </r>
  <r>
    <n v="28728"/>
    <x v="8"/>
    <x v="2"/>
    <x v="11"/>
    <x v="11"/>
    <x v="3"/>
    <x v="4"/>
    <x v="4"/>
    <x v="1"/>
    <n v="29546"/>
  </r>
  <r>
    <n v="28729"/>
    <x v="8"/>
    <x v="2"/>
    <x v="4"/>
    <x v="4"/>
    <x v="3"/>
    <x v="4"/>
    <x v="4"/>
    <x v="1"/>
    <n v="29547"/>
  </r>
  <r>
    <n v="28730"/>
    <x v="8"/>
    <x v="2"/>
    <x v="5"/>
    <x v="5"/>
    <x v="3"/>
    <x v="4"/>
    <x v="4"/>
    <x v="1"/>
    <n v="29548"/>
  </r>
  <r>
    <n v="28731"/>
    <x v="8"/>
    <x v="2"/>
    <x v="6"/>
    <x v="6"/>
    <x v="3"/>
    <x v="4"/>
    <x v="4"/>
    <x v="1"/>
    <n v="29549"/>
  </r>
  <r>
    <n v="28732"/>
    <x v="8"/>
    <x v="2"/>
    <x v="7"/>
    <x v="7"/>
    <x v="0"/>
    <x v="4"/>
    <x v="4"/>
    <x v="1"/>
    <n v="29550"/>
  </r>
  <r>
    <n v="28733"/>
    <x v="8"/>
    <x v="2"/>
    <x v="8"/>
    <x v="8"/>
    <x v="0"/>
    <x v="4"/>
    <x v="4"/>
    <x v="1"/>
    <n v="29551"/>
  </r>
  <r>
    <n v="28734"/>
    <x v="8"/>
    <x v="2"/>
    <x v="9"/>
    <x v="9"/>
    <x v="0"/>
    <x v="4"/>
    <x v="4"/>
    <x v="1"/>
    <n v="29552"/>
  </r>
  <r>
    <n v="28735"/>
    <x v="8"/>
    <x v="2"/>
    <x v="10"/>
    <x v="10"/>
    <x v="0"/>
    <x v="4"/>
    <x v="4"/>
    <x v="1"/>
    <n v="29553"/>
  </r>
  <r>
    <n v="28736"/>
    <x v="8"/>
    <x v="2"/>
    <x v="6"/>
    <x v="6"/>
    <x v="0"/>
    <x v="4"/>
    <x v="4"/>
    <x v="1"/>
    <n v="29554"/>
  </r>
  <r>
    <n v="28737"/>
    <x v="8"/>
    <x v="1"/>
    <x v="1"/>
    <x v="1"/>
    <x v="2"/>
    <x v="4"/>
    <x v="4"/>
    <x v="1"/>
    <n v="29555"/>
  </r>
  <r>
    <n v="28738"/>
    <x v="8"/>
    <x v="2"/>
    <x v="2"/>
    <x v="2"/>
    <x v="2"/>
    <x v="4"/>
    <x v="4"/>
    <x v="1"/>
    <n v="29556"/>
  </r>
  <r>
    <n v="28739"/>
    <x v="9"/>
    <x v="2"/>
    <x v="0"/>
    <x v="3"/>
    <x v="3"/>
    <x v="4"/>
    <x v="4"/>
    <x v="1"/>
    <n v="29557"/>
  </r>
  <r>
    <n v="28740"/>
    <x v="9"/>
    <x v="2"/>
    <x v="0"/>
    <x v="0"/>
    <x v="0"/>
    <x v="4"/>
    <x v="4"/>
    <x v="1"/>
    <n v="29558"/>
  </r>
  <r>
    <n v="28741"/>
    <x v="9"/>
    <x v="2"/>
    <x v="3"/>
    <x v="0"/>
    <x v="0"/>
    <x v="4"/>
    <x v="4"/>
    <x v="1"/>
    <n v="29559"/>
  </r>
  <r>
    <n v="28742"/>
    <x v="9"/>
    <x v="1"/>
    <x v="1"/>
    <x v="1"/>
    <x v="1"/>
    <x v="4"/>
    <x v="4"/>
    <x v="1"/>
    <n v="29560"/>
  </r>
  <r>
    <n v="28743"/>
    <x v="9"/>
    <x v="2"/>
    <x v="2"/>
    <x v="2"/>
    <x v="1"/>
    <x v="4"/>
    <x v="4"/>
    <x v="1"/>
    <n v="29561"/>
  </r>
  <r>
    <n v="28744"/>
    <x v="9"/>
    <x v="2"/>
    <x v="11"/>
    <x v="11"/>
    <x v="3"/>
    <x v="4"/>
    <x v="4"/>
    <x v="1"/>
    <n v="29562"/>
  </r>
  <r>
    <n v="28745"/>
    <x v="9"/>
    <x v="2"/>
    <x v="4"/>
    <x v="4"/>
    <x v="3"/>
    <x v="4"/>
    <x v="4"/>
    <x v="1"/>
    <n v="29563"/>
  </r>
  <r>
    <n v="28746"/>
    <x v="9"/>
    <x v="2"/>
    <x v="5"/>
    <x v="5"/>
    <x v="3"/>
    <x v="4"/>
    <x v="4"/>
    <x v="1"/>
    <n v="29564"/>
  </r>
  <r>
    <n v="28747"/>
    <x v="9"/>
    <x v="2"/>
    <x v="6"/>
    <x v="6"/>
    <x v="3"/>
    <x v="4"/>
    <x v="4"/>
    <x v="1"/>
    <n v="29565"/>
  </r>
  <r>
    <n v="28748"/>
    <x v="9"/>
    <x v="2"/>
    <x v="7"/>
    <x v="7"/>
    <x v="0"/>
    <x v="4"/>
    <x v="4"/>
    <x v="1"/>
    <n v="29566"/>
  </r>
  <r>
    <n v="28749"/>
    <x v="9"/>
    <x v="2"/>
    <x v="8"/>
    <x v="8"/>
    <x v="0"/>
    <x v="4"/>
    <x v="4"/>
    <x v="1"/>
    <n v="29567"/>
  </r>
  <r>
    <n v="28750"/>
    <x v="9"/>
    <x v="2"/>
    <x v="9"/>
    <x v="9"/>
    <x v="0"/>
    <x v="4"/>
    <x v="4"/>
    <x v="1"/>
    <n v="29568"/>
  </r>
  <r>
    <n v="28751"/>
    <x v="9"/>
    <x v="2"/>
    <x v="10"/>
    <x v="10"/>
    <x v="0"/>
    <x v="4"/>
    <x v="4"/>
    <x v="1"/>
    <n v="29569"/>
  </r>
  <r>
    <n v="28752"/>
    <x v="9"/>
    <x v="2"/>
    <x v="6"/>
    <x v="6"/>
    <x v="0"/>
    <x v="4"/>
    <x v="4"/>
    <x v="1"/>
    <n v="29570"/>
  </r>
  <r>
    <n v="28753"/>
    <x v="9"/>
    <x v="1"/>
    <x v="1"/>
    <x v="1"/>
    <x v="2"/>
    <x v="4"/>
    <x v="4"/>
    <x v="1"/>
    <n v="29571"/>
  </r>
  <r>
    <n v="28754"/>
    <x v="9"/>
    <x v="2"/>
    <x v="2"/>
    <x v="2"/>
    <x v="2"/>
    <x v="4"/>
    <x v="4"/>
    <x v="1"/>
    <n v="29572"/>
  </r>
  <r>
    <n v="28755"/>
    <x v="10"/>
    <x v="2"/>
    <x v="0"/>
    <x v="3"/>
    <x v="3"/>
    <x v="4"/>
    <x v="4"/>
    <x v="1"/>
    <n v="29573"/>
  </r>
  <r>
    <n v="28756"/>
    <x v="10"/>
    <x v="2"/>
    <x v="0"/>
    <x v="0"/>
    <x v="0"/>
    <x v="4"/>
    <x v="4"/>
    <x v="1"/>
    <n v="29574"/>
  </r>
  <r>
    <n v="28757"/>
    <x v="10"/>
    <x v="2"/>
    <x v="3"/>
    <x v="0"/>
    <x v="0"/>
    <x v="4"/>
    <x v="4"/>
    <x v="1"/>
    <n v="29575"/>
  </r>
  <r>
    <n v="28758"/>
    <x v="10"/>
    <x v="1"/>
    <x v="1"/>
    <x v="1"/>
    <x v="1"/>
    <x v="4"/>
    <x v="4"/>
    <x v="1"/>
    <n v="29576"/>
  </r>
  <r>
    <n v="28759"/>
    <x v="10"/>
    <x v="2"/>
    <x v="2"/>
    <x v="2"/>
    <x v="1"/>
    <x v="4"/>
    <x v="4"/>
    <x v="1"/>
    <n v="29577"/>
  </r>
  <r>
    <n v="28760"/>
    <x v="10"/>
    <x v="2"/>
    <x v="11"/>
    <x v="11"/>
    <x v="3"/>
    <x v="4"/>
    <x v="4"/>
    <x v="1"/>
    <n v="29578"/>
  </r>
  <r>
    <n v="28761"/>
    <x v="10"/>
    <x v="2"/>
    <x v="4"/>
    <x v="4"/>
    <x v="3"/>
    <x v="4"/>
    <x v="4"/>
    <x v="1"/>
    <n v="29579"/>
  </r>
  <r>
    <n v="28762"/>
    <x v="10"/>
    <x v="2"/>
    <x v="5"/>
    <x v="5"/>
    <x v="3"/>
    <x v="4"/>
    <x v="4"/>
    <x v="1"/>
    <n v="29580"/>
  </r>
  <r>
    <n v="28763"/>
    <x v="10"/>
    <x v="2"/>
    <x v="6"/>
    <x v="6"/>
    <x v="3"/>
    <x v="4"/>
    <x v="4"/>
    <x v="1"/>
    <n v="29581"/>
  </r>
  <r>
    <n v="28764"/>
    <x v="10"/>
    <x v="2"/>
    <x v="7"/>
    <x v="7"/>
    <x v="0"/>
    <x v="4"/>
    <x v="4"/>
    <x v="1"/>
    <n v="29582"/>
  </r>
  <r>
    <n v="28765"/>
    <x v="10"/>
    <x v="2"/>
    <x v="8"/>
    <x v="8"/>
    <x v="0"/>
    <x v="4"/>
    <x v="4"/>
    <x v="1"/>
    <n v="29583"/>
  </r>
  <r>
    <n v="28766"/>
    <x v="10"/>
    <x v="2"/>
    <x v="9"/>
    <x v="9"/>
    <x v="0"/>
    <x v="4"/>
    <x v="4"/>
    <x v="1"/>
    <n v="29584"/>
  </r>
  <r>
    <n v="28767"/>
    <x v="10"/>
    <x v="2"/>
    <x v="10"/>
    <x v="10"/>
    <x v="0"/>
    <x v="4"/>
    <x v="4"/>
    <x v="1"/>
    <n v="29585"/>
  </r>
  <r>
    <n v="28768"/>
    <x v="10"/>
    <x v="2"/>
    <x v="6"/>
    <x v="6"/>
    <x v="0"/>
    <x v="4"/>
    <x v="4"/>
    <x v="1"/>
    <n v="29586"/>
  </r>
  <r>
    <n v="28769"/>
    <x v="10"/>
    <x v="1"/>
    <x v="1"/>
    <x v="1"/>
    <x v="2"/>
    <x v="4"/>
    <x v="4"/>
    <x v="1"/>
    <n v="29587"/>
  </r>
  <r>
    <n v="28770"/>
    <x v="10"/>
    <x v="2"/>
    <x v="2"/>
    <x v="2"/>
    <x v="2"/>
    <x v="4"/>
    <x v="4"/>
    <x v="1"/>
    <n v="29588"/>
  </r>
  <r>
    <n v="28771"/>
    <x v="11"/>
    <x v="2"/>
    <x v="0"/>
    <x v="3"/>
    <x v="3"/>
    <x v="4"/>
    <x v="4"/>
    <x v="1"/>
    <n v="29589"/>
  </r>
  <r>
    <n v="28772"/>
    <x v="11"/>
    <x v="2"/>
    <x v="0"/>
    <x v="0"/>
    <x v="0"/>
    <x v="4"/>
    <x v="4"/>
    <x v="1"/>
    <n v="29590"/>
  </r>
  <r>
    <n v="28773"/>
    <x v="11"/>
    <x v="2"/>
    <x v="3"/>
    <x v="0"/>
    <x v="0"/>
    <x v="4"/>
    <x v="4"/>
    <x v="1"/>
    <n v="29591"/>
  </r>
  <r>
    <n v="28774"/>
    <x v="11"/>
    <x v="1"/>
    <x v="1"/>
    <x v="1"/>
    <x v="1"/>
    <x v="4"/>
    <x v="4"/>
    <x v="1"/>
    <n v="29592"/>
  </r>
  <r>
    <n v="28775"/>
    <x v="11"/>
    <x v="2"/>
    <x v="2"/>
    <x v="2"/>
    <x v="1"/>
    <x v="4"/>
    <x v="4"/>
    <x v="1"/>
    <n v="29593"/>
  </r>
  <r>
    <n v="28776"/>
    <x v="11"/>
    <x v="2"/>
    <x v="11"/>
    <x v="11"/>
    <x v="3"/>
    <x v="4"/>
    <x v="4"/>
    <x v="1"/>
    <n v="29594"/>
  </r>
  <r>
    <n v="28777"/>
    <x v="11"/>
    <x v="2"/>
    <x v="4"/>
    <x v="4"/>
    <x v="3"/>
    <x v="4"/>
    <x v="4"/>
    <x v="1"/>
    <n v="29595"/>
  </r>
  <r>
    <n v="28778"/>
    <x v="11"/>
    <x v="2"/>
    <x v="5"/>
    <x v="5"/>
    <x v="3"/>
    <x v="4"/>
    <x v="4"/>
    <x v="1"/>
    <n v="29596"/>
  </r>
  <r>
    <n v="28779"/>
    <x v="11"/>
    <x v="2"/>
    <x v="6"/>
    <x v="6"/>
    <x v="3"/>
    <x v="4"/>
    <x v="4"/>
    <x v="1"/>
    <n v="29597"/>
  </r>
  <r>
    <n v="28780"/>
    <x v="11"/>
    <x v="2"/>
    <x v="7"/>
    <x v="7"/>
    <x v="0"/>
    <x v="4"/>
    <x v="4"/>
    <x v="1"/>
    <n v="29598"/>
  </r>
  <r>
    <n v="28781"/>
    <x v="11"/>
    <x v="2"/>
    <x v="8"/>
    <x v="8"/>
    <x v="0"/>
    <x v="4"/>
    <x v="4"/>
    <x v="1"/>
    <n v="29599"/>
  </r>
  <r>
    <n v="28782"/>
    <x v="11"/>
    <x v="2"/>
    <x v="9"/>
    <x v="9"/>
    <x v="0"/>
    <x v="4"/>
    <x v="4"/>
    <x v="1"/>
    <n v="29600"/>
  </r>
  <r>
    <n v="28783"/>
    <x v="11"/>
    <x v="2"/>
    <x v="10"/>
    <x v="10"/>
    <x v="0"/>
    <x v="4"/>
    <x v="4"/>
    <x v="1"/>
    <n v="29601"/>
  </r>
  <r>
    <n v="28784"/>
    <x v="11"/>
    <x v="2"/>
    <x v="6"/>
    <x v="6"/>
    <x v="0"/>
    <x v="4"/>
    <x v="4"/>
    <x v="1"/>
    <n v="29602"/>
  </r>
  <r>
    <n v="28785"/>
    <x v="11"/>
    <x v="1"/>
    <x v="1"/>
    <x v="1"/>
    <x v="2"/>
    <x v="4"/>
    <x v="4"/>
    <x v="1"/>
    <n v="29603"/>
  </r>
  <r>
    <n v="28786"/>
    <x v="11"/>
    <x v="2"/>
    <x v="2"/>
    <x v="2"/>
    <x v="2"/>
    <x v="4"/>
    <x v="4"/>
    <x v="1"/>
    <n v="29604"/>
  </r>
  <r>
    <n v="28787"/>
    <x v="12"/>
    <x v="2"/>
    <x v="0"/>
    <x v="3"/>
    <x v="3"/>
    <x v="4"/>
    <x v="4"/>
    <x v="1"/>
    <n v="29605"/>
  </r>
  <r>
    <n v="28788"/>
    <x v="12"/>
    <x v="2"/>
    <x v="0"/>
    <x v="0"/>
    <x v="0"/>
    <x v="4"/>
    <x v="4"/>
    <x v="1"/>
    <n v="29606"/>
  </r>
  <r>
    <n v="28789"/>
    <x v="12"/>
    <x v="2"/>
    <x v="3"/>
    <x v="0"/>
    <x v="0"/>
    <x v="4"/>
    <x v="4"/>
    <x v="1"/>
    <n v="29607"/>
  </r>
  <r>
    <n v="28790"/>
    <x v="12"/>
    <x v="1"/>
    <x v="1"/>
    <x v="1"/>
    <x v="1"/>
    <x v="4"/>
    <x v="4"/>
    <x v="1"/>
    <n v="29608"/>
  </r>
  <r>
    <n v="28791"/>
    <x v="12"/>
    <x v="2"/>
    <x v="2"/>
    <x v="2"/>
    <x v="1"/>
    <x v="4"/>
    <x v="4"/>
    <x v="1"/>
    <n v="29609"/>
  </r>
  <r>
    <n v="28792"/>
    <x v="12"/>
    <x v="2"/>
    <x v="11"/>
    <x v="11"/>
    <x v="3"/>
    <x v="4"/>
    <x v="4"/>
    <x v="1"/>
    <n v="29610"/>
  </r>
  <r>
    <n v="28793"/>
    <x v="12"/>
    <x v="2"/>
    <x v="4"/>
    <x v="4"/>
    <x v="3"/>
    <x v="4"/>
    <x v="4"/>
    <x v="1"/>
    <n v="29611"/>
  </r>
  <r>
    <n v="28794"/>
    <x v="12"/>
    <x v="2"/>
    <x v="5"/>
    <x v="5"/>
    <x v="3"/>
    <x v="4"/>
    <x v="4"/>
    <x v="1"/>
    <n v="29612"/>
  </r>
  <r>
    <n v="28795"/>
    <x v="12"/>
    <x v="2"/>
    <x v="6"/>
    <x v="6"/>
    <x v="3"/>
    <x v="4"/>
    <x v="4"/>
    <x v="1"/>
    <n v="29613"/>
  </r>
  <r>
    <n v="28796"/>
    <x v="12"/>
    <x v="2"/>
    <x v="7"/>
    <x v="7"/>
    <x v="0"/>
    <x v="4"/>
    <x v="4"/>
    <x v="1"/>
    <n v="29614"/>
  </r>
  <r>
    <n v="28797"/>
    <x v="12"/>
    <x v="2"/>
    <x v="8"/>
    <x v="8"/>
    <x v="0"/>
    <x v="4"/>
    <x v="4"/>
    <x v="1"/>
    <n v="29615"/>
  </r>
  <r>
    <n v="28798"/>
    <x v="12"/>
    <x v="2"/>
    <x v="9"/>
    <x v="9"/>
    <x v="0"/>
    <x v="4"/>
    <x v="4"/>
    <x v="1"/>
    <n v="29616"/>
  </r>
  <r>
    <n v="28799"/>
    <x v="12"/>
    <x v="2"/>
    <x v="10"/>
    <x v="10"/>
    <x v="0"/>
    <x v="4"/>
    <x v="4"/>
    <x v="1"/>
    <n v="29617"/>
  </r>
  <r>
    <n v="28800"/>
    <x v="12"/>
    <x v="2"/>
    <x v="6"/>
    <x v="6"/>
    <x v="0"/>
    <x v="4"/>
    <x v="4"/>
    <x v="1"/>
    <n v="29618"/>
  </r>
  <r>
    <n v="28801"/>
    <x v="12"/>
    <x v="1"/>
    <x v="1"/>
    <x v="1"/>
    <x v="2"/>
    <x v="4"/>
    <x v="4"/>
    <x v="1"/>
    <n v="29619"/>
  </r>
  <r>
    <n v="28802"/>
    <x v="12"/>
    <x v="2"/>
    <x v="2"/>
    <x v="2"/>
    <x v="2"/>
    <x v="4"/>
    <x v="4"/>
    <x v="1"/>
    <n v="29620"/>
  </r>
  <r>
    <n v="28803"/>
    <x v="13"/>
    <x v="2"/>
    <x v="0"/>
    <x v="3"/>
    <x v="3"/>
    <x v="4"/>
    <x v="4"/>
    <x v="1"/>
    <n v="29621"/>
  </r>
  <r>
    <n v="28804"/>
    <x v="13"/>
    <x v="2"/>
    <x v="0"/>
    <x v="0"/>
    <x v="0"/>
    <x v="4"/>
    <x v="4"/>
    <x v="1"/>
    <n v="29622"/>
  </r>
  <r>
    <n v="28805"/>
    <x v="13"/>
    <x v="2"/>
    <x v="3"/>
    <x v="0"/>
    <x v="0"/>
    <x v="4"/>
    <x v="4"/>
    <x v="1"/>
    <n v="29623"/>
  </r>
  <r>
    <n v="28806"/>
    <x v="13"/>
    <x v="1"/>
    <x v="1"/>
    <x v="1"/>
    <x v="1"/>
    <x v="4"/>
    <x v="4"/>
    <x v="1"/>
    <n v="29624"/>
  </r>
  <r>
    <n v="28807"/>
    <x v="13"/>
    <x v="2"/>
    <x v="2"/>
    <x v="2"/>
    <x v="1"/>
    <x v="4"/>
    <x v="4"/>
    <x v="1"/>
    <n v="29625"/>
  </r>
  <r>
    <n v="28808"/>
    <x v="13"/>
    <x v="2"/>
    <x v="11"/>
    <x v="11"/>
    <x v="3"/>
    <x v="4"/>
    <x v="4"/>
    <x v="1"/>
    <n v="29626"/>
  </r>
  <r>
    <n v="28809"/>
    <x v="13"/>
    <x v="2"/>
    <x v="4"/>
    <x v="4"/>
    <x v="3"/>
    <x v="4"/>
    <x v="4"/>
    <x v="1"/>
    <n v="29627"/>
  </r>
  <r>
    <n v="28810"/>
    <x v="13"/>
    <x v="2"/>
    <x v="5"/>
    <x v="5"/>
    <x v="3"/>
    <x v="4"/>
    <x v="4"/>
    <x v="1"/>
    <n v="29628"/>
  </r>
  <r>
    <n v="28811"/>
    <x v="13"/>
    <x v="2"/>
    <x v="6"/>
    <x v="6"/>
    <x v="3"/>
    <x v="4"/>
    <x v="4"/>
    <x v="1"/>
    <n v="29629"/>
  </r>
  <r>
    <n v="28812"/>
    <x v="13"/>
    <x v="2"/>
    <x v="7"/>
    <x v="7"/>
    <x v="0"/>
    <x v="4"/>
    <x v="4"/>
    <x v="1"/>
    <n v="29630"/>
  </r>
  <r>
    <n v="28813"/>
    <x v="13"/>
    <x v="2"/>
    <x v="8"/>
    <x v="8"/>
    <x v="0"/>
    <x v="4"/>
    <x v="4"/>
    <x v="1"/>
    <n v="29631"/>
  </r>
  <r>
    <n v="28814"/>
    <x v="13"/>
    <x v="2"/>
    <x v="9"/>
    <x v="9"/>
    <x v="0"/>
    <x v="4"/>
    <x v="4"/>
    <x v="1"/>
    <n v="29632"/>
  </r>
  <r>
    <n v="28815"/>
    <x v="13"/>
    <x v="2"/>
    <x v="10"/>
    <x v="10"/>
    <x v="0"/>
    <x v="4"/>
    <x v="4"/>
    <x v="1"/>
    <n v="29633"/>
  </r>
  <r>
    <n v="28816"/>
    <x v="13"/>
    <x v="2"/>
    <x v="6"/>
    <x v="6"/>
    <x v="0"/>
    <x v="4"/>
    <x v="4"/>
    <x v="1"/>
    <n v="29634"/>
  </r>
  <r>
    <n v="28817"/>
    <x v="13"/>
    <x v="1"/>
    <x v="1"/>
    <x v="1"/>
    <x v="2"/>
    <x v="4"/>
    <x v="4"/>
    <x v="1"/>
    <n v="29635"/>
  </r>
  <r>
    <n v="28818"/>
    <x v="13"/>
    <x v="2"/>
    <x v="2"/>
    <x v="2"/>
    <x v="2"/>
    <x v="4"/>
    <x v="4"/>
    <x v="1"/>
    <n v="29636"/>
  </r>
  <r>
    <n v="28819"/>
    <x v="14"/>
    <x v="2"/>
    <x v="0"/>
    <x v="3"/>
    <x v="3"/>
    <x v="4"/>
    <x v="4"/>
    <x v="1"/>
    <n v="29637"/>
  </r>
  <r>
    <n v="28820"/>
    <x v="14"/>
    <x v="2"/>
    <x v="0"/>
    <x v="0"/>
    <x v="0"/>
    <x v="4"/>
    <x v="4"/>
    <x v="1"/>
    <n v="29638"/>
  </r>
  <r>
    <n v="28821"/>
    <x v="14"/>
    <x v="2"/>
    <x v="3"/>
    <x v="0"/>
    <x v="0"/>
    <x v="4"/>
    <x v="4"/>
    <x v="1"/>
    <n v="29639"/>
  </r>
  <r>
    <n v="28822"/>
    <x v="14"/>
    <x v="1"/>
    <x v="1"/>
    <x v="1"/>
    <x v="1"/>
    <x v="4"/>
    <x v="4"/>
    <x v="1"/>
    <n v="29640"/>
  </r>
  <r>
    <n v="28823"/>
    <x v="14"/>
    <x v="2"/>
    <x v="2"/>
    <x v="2"/>
    <x v="1"/>
    <x v="4"/>
    <x v="4"/>
    <x v="1"/>
    <n v="29641"/>
  </r>
  <r>
    <n v="28824"/>
    <x v="14"/>
    <x v="2"/>
    <x v="11"/>
    <x v="11"/>
    <x v="3"/>
    <x v="4"/>
    <x v="4"/>
    <x v="1"/>
    <n v="29642"/>
  </r>
  <r>
    <n v="28825"/>
    <x v="14"/>
    <x v="2"/>
    <x v="4"/>
    <x v="4"/>
    <x v="3"/>
    <x v="4"/>
    <x v="4"/>
    <x v="1"/>
    <n v="29643"/>
  </r>
  <r>
    <n v="28826"/>
    <x v="14"/>
    <x v="2"/>
    <x v="5"/>
    <x v="5"/>
    <x v="3"/>
    <x v="4"/>
    <x v="4"/>
    <x v="1"/>
    <n v="29644"/>
  </r>
  <r>
    <n v="28827"/>
    <x v="14"/>
    <x v="2"/>
    <x v="6"/>
    <x v="6"/>
    <x v="3"/>
    <x v="4"/>
    <x v="4"/>
    <x v="1"/>
    <n v="29645"/>
  </r>
  <r>
    <n v="28828"/>
    <x v="14"/>
    <x v="2"/>
    <x v="7"/>
    <x v="7"/>
    <x v="0"/>
    <x v="4"/>
    <x v="4"/>
    <x v="1"/>
    <n v="29646"/>
  </r>
  <r>
    <n v="28829"/>
    <x v="14"/>
    <x v="2"/>
    <x v="8"/>
    <x v="8"/>
    <x v="0"/>
    <x v="4"/>
    <x v="4"/>
    <x v="1"/>
    <n v="29647"/>
  </r>
  <r>
    <n v="28830"/>
    <x v="14"/>
    <x v="2"/>
    <x v="9"/>
    <x v="9"/>
    <x v="0"/>
    <x v="4"/>
    <x v="4"/>
    <x v="1"/>
    <n v="29648"/>
  </r>
  <r>
    <n v="28831"/>
    <x v="14"/>
    <x v="2"/>
    <x v="10"/>
    <x v="10"/>
    <x v="0"/>
    <x v="4"/>
    <x v="4"/>
    <x v="1"/>
    <n v="29649"/>
  </r>
  <r>
    <n v="28832"/>
    <x v="14"/>
    <x v="2"/>
    <x v="6"/>
    <x v="6"/>
    <x v="0"/>
    <x v="4"/>
    <x v="4"/>
    <x v="1"/>
    <n v="29650"/>
  </r>
  <r>
    <n v="28833"/>
    <x v="14"/>
    <x v="1"/>
    <x v="1"/>
    <x v="1"/>
    <x v="2"/>
    <x v="4"/>
    <x v="4"/>
    <x v="1"/>
    <n v="29651"/>
  </r>
  <r>
    <n v="28834"/>
    <x v="14"/>
    <x v="2"/>
    <x v="2"/>
    <x v="2"/>
    <x v="2"/>
    <x v="4"/>
    <x v="4"/>
    <x v="1"/>
    <n v="29652"/>
  </r>
  <r>
    <n v="28835"/>
    <x v="15"/>
    <x v="2"/>
    <x v="0"/>
    <x v="3"/>
    <x v="3"/>
    <x v="4"/>
    <x v="4"/>
    <x v="1"/>
    <n v="29653"/>
  </r>
  <r>
    <n v="28836"/>
    <x v="15"/>
    <x v="2"/>
    <x v="0"/>
    <x v="0"/>
    <x v="0"/>
    <x v="4"/>
    <x v="4"/>
    <x v="1"/>
    <n v="29654"/>
  </r>
  <r>
    <n v="28837"/>
    <x v="15"/>
    <x v="2"/>
    <x v="3"/>
    <x v="0"/>
    <x v="0"/>
    <x v="4"/>
    <x v="4"/>
    <x v="1"/>
    <n v="29655"/>
  </r>
  <r>
    <n v="28838"/>
    <x v="15"/>
    <x v="1"/>
    <x v="1"/>
    <x v="1"/>
    <x v="1"/>
    <x v="4"/>
    <x v="4"/>
    <x v="1"/>
    <n v="29656"/>
  </r>
  <r>
    <n v="28839"/>
    <x v="15"/>
    <x v="2"/>
    <x v="2"/>
    <x v="2"/>
    <x v="1"/>
    <x v="4"/>
    <x v="4"/>
    <x v="1"/>
    <n v="29657"/>
  </r>
  <r>
    <n v="28840"/>
    <x v="15"/>
    <x v="2"/>
    <x v="11"/>
    <x v="11"/>
    <x v="3"/>
    <x v="4"/>
    <x v="4"/>
    <x v="1"/>
    <n v="29658"/>
  </r>
  <r>
    <n v="28841"/>
    <x v="15"/>
    <x v="2"/>
    <x v="4"/>
    <x v="4"/>
    <x v="3"/>
    <x v="4"/>
    <x v="4"/>
    <x v="1"/>
    <n v="29659"/>
  </r>
  <r>
    <n v="28842"/>
    <x v="15"/>
    <x v="2"/>
    <x v="5"/>
    <x v="5"/>
    <x v="3"/>
    <x v="4"/>
    <x v="4"/>
    <x v="1"/>
    <n v="29660"/>
  </r>
  <r>
    <n v="28843"/>
    <x v="15"/>
    <x v="2"/>
    <x v="6"/>
    <x v="6"/>
    <x v="3"/>
    <x v="4"/>
    <x v="4"/>
    <x v="1"/>
    <n v="29661"/>
  </r>
  <r>
    <n v="28844"/>
    <x v="15"/>
    <x v="2"/>
    <x v="7"/>
    <x v="7"/>
    <x v="0"/>
    <x v="4"/>
    <x v="4"/>
    <x v="1"/>
    <n v="29662"/>
  </r>
  <r>
    <n v="28845"/>
    <x v="15"/>
    <x v="2"/>
    <x v="8"/>
    <x v="8"/>
    <x v="0"/>
    <x v="4"/>
    <x v="4"/>
    <x v="1"/>
    <n v="29663"/>
  </r>
  <r>
    <n v="28846"/>
    <x v="15"/>
    <x v="2"/>
    <x v="9"/>
    <x v="9"/>
    <x v="0"/>
    <x v="4"/>
    <x v="4"/>
    <x v="1"/>
    <n v="29664"/>
  </r>
  <r>
    <n v="28847"/>
    <x v="15"/>
    <x v="2"/>
    <x v="10"/>
    <x v="10"/>
    <x v="0"/>
    <x v="4"/>
    <x v="4"/>
    <x v="1"/>
    <n v="29665"/>
  </r>
  <r>
    <n v="28848"/>
    <x v="15"/>
    <x v="2"/>
    <x v="6"/>
    <x v="6"/>
    <x v="0"/>
    <x v="4"/>
    <x v="4"/>
    <x v="1"/>
    <n v="29666"/>
  </r>
  <r>
    <n v="28849"/>
    <x v="15"/>
    <x v="1"/>
    <x v="1"/>
    <x v="1"/>
    <x v="2"/>
    <x v="4"/>
    <x v="4"/>
    <x v="1"/>
    <n v="29667"/>
  </r>
  <r>
    <n v="28850"/>
    <x v="15"/>
    <x v="2"/>
    <x v="2"/>
    <x v="2"/>
    <x v="2"/>
    <x v="4"/>
    <x v="4"/>
    <x v="1"/>
    <n v="29668"/>
  </r>
  <r>
    <n v="28851"/>
    <x v="16"/>
    <x v="2"/>
    <x v="0"/>
    <x v="3"/>
    <x v="3"/>
    <x v="5"/>
    <x v="4"/>
    <x v="1"/>
    <n v="29669"/>
  </r>
  <r>
    <n v="28852"/>
    <x v="16"/>
    <x v="2"/>
    <x v="0"/>
    <x v="0"/>
    <x v="0"/>
    <x v="5"/>
    <x v="4"/>
    <x v="1"/>
    <n v="29670"/>
  </r>
  <r>
    <n v="28853"/>
    <x v="16"/>
    <x v="2"/>
    <x v="3"/>
    <x v="0"/>
    <x v="0"/>
    <x v="5"/>
    <x v="4"/>
    <x v="1"/>
    <n v="29671"/>
  </r>
  <r>
    <n v="28854"/>
    <x v="16"/>
    <x v="1"/>
    <x v="1"/>
    <x v="1"/>
    <x v="1"/>
    <x v="5"/>
    <x v="4"/>
    <x v="1"/>
    <n v="29672"/>
  </r>
  <r>
    <n v="28855"/>
    <x v="16"/>
    <x v="2"/>
    <x v="2"/>
    <x v="2"/>
    <x v="1"/>
    <x v="5"/>
    <x v="4"/>
    <x v="1"/>
    <n v="29673"/>
  </r>
  <r>
    <n v="28856"/>
    <x v="16"/>
    <x v="2"/>
    <x v="11"/>
    <x v="11"/>
    <x v="3"/>
    <x v="5"/>
    <x v="4"/>
    <x v="1"/>
    <n v="29674"/>
  </r>
  <r>
    <n v="28857"/>
    <x v="16"/>
    <x v="2"/>
    <x v="4"/>
    <x v="4"/>
    <x v="3"/>
    <x v="5"/>
    <x v="4"/>
    <x v="1"/>
    <n v="29675"/>
  </r>
  <r>
    <n v="28858"/>
    <x v="16"/>
    <x v="2"/>
    <x v="5"/>
    <x v="5"/>
    <x v="3"/>
    <x v="5"/>
    <x v="4"/>
    <x v="1"/>
    <n v="29676"/>
  </r>
  <r>
    <n v="28859"/>
    <x v="16"/>
    <x v="2"/>
    <x v="6"/>
    <x v="6"/>
    <x v="3"/>
    <x v="5"/>
    <x v="4"/>
    <x v="1"/>
    <n v="29677"/>
  </r>
  <r>
    <n v="28860"/>
    <x v="16"/>
    <x v="2"/>
    <x v="7"/>
    <x v="7"/>
    <x v="0"/>
    <x v="5"/>
    <x v="4"/>
    <x v="1"/>
    <n v="29678"/>
  </r>
  <r>
    <n v="28861"/>
    <x v="16"/>
    <x v="2"/>
    <x v="8"/>
    <x v="8"/>
    <x v="0"/>
    <x v="5"/>
    <x v="4"/>
    <x v="1"/>
    <n v="29679"/>
  </r>
  <r>
    <n v="28862"/>
    <x v="16"/>
    <x v="2"/>
    <x v="9"/>
    <x v="9"/>
    <x v="0"/>
    <x v="5"/>
    <x v="4"/>
    <x v="1"/>
    <n v="29680"/>
  </r>
  <r>
    <n v="28863"/>
    <x v="16"/>
    <x v="2"/>
    <x v="10"/>
    <x v="10"/>
    <x v="0"/>
    <x v="5"/>
    <x v="4"/>
    <x v="1"/>
    <n v="29681"/>
  </r>
  <r>
    <n v="28864"/>
    <x v="16"/>
    <x v="2"/>
    <x v="6"/>
    <x v="6"/>
    <x v="0"/>
    <x v="5"/>
    <x v="4"/>
    <x v="1"/>
    <n v="29682"/>
  </r>
  <r>
    <n v="28865"/>
    <x v="16"/>
    <x v="1"/>
    <x v="1"/>
    <x v="1"/>
    <x v="2"/>
    <x v="5"/>
    <x v="4"/>
    <x v="1"/>
    <n v="29683"/>
  </r>
  <r>
    <n v="28866"/>
    <x v="16"/>
    <x v="2"/>
    <x v="2"/>
    <x v="2"/>
    <x v="2"/>
    <x v="5"/>
    <x v="4"/>
    <x v="1"/>
    <n v="29684"/>
  </r>
  <r>
    <n v="28867"/>
    <x v="17"/>
    <x v="2"/>
    <x v="0"/>
    <x v="3"/>
    <x v="3"/>
    <x v="5"/>
    <x v="4"/>
    <x v="1"/>
    <n v="29685"/>
  </r>
  <r>
    <n v="28868"/>
    <x v="17"/>
    <x v="2"/>
    <x v="0"/>
    <x v="0"/>
    <x v="0"/>
    <x v="5"/>
    <x v="4"/>
    <x v="1"/>
    <n v="29686"/>
  </r>
  <r>
    <n v="28869"/>
    <x v="17"/>
    <x v="2"/>
    <x v="3"/>
    <x v="0"/>
    <x v="0"/>
    <x v="5"/>
    <x v="4"/>
    <x v="1"/>
    <n v="29687"/>
  </r>
  <r>
    <n v="28870"/>
    <x v="17"/>
    <x v="1"/>
    <x v="1"/>
    <x v="1"/>
    <x v="1"/>
    <x v="5"/>
    <x v="4"/>
    <x v="1"/>
    <n v="29688"/>
  </r>
  <r>
    <n v="28871"/>
    <x v="17"/>
    <x v="2"/>
    <x v="2"/>
    <x v="2"/>
    <x v="1"/>
    <x v="5"/>
    <x v="4"/>
    <x v="1"/>
    <n v="29689"/>
  </r>
  <r>
    <n v="28872"/>
    <x v="17"/>
    <x v="2"/>
    <x v="11"/>
    <x v="11"/>
    <x v="3"/>
    <x v="5"/>
    <x v="4"/>
    <x v="1"/>
    <n v="29690"/>
  </r>
  <r>
    <n v="28873"/>
    <x v="17"/>
    <x v="2"/>
    <x v="4"/>
    <x v="4"/>
    <x v="3"/>
    <x v="5"/>
    <x v="4"/>
    <x v="1"/>
    <n v="29691"/>
  </r>
  <r>
    <n v="28874"/>
    <x v="17"/>
    <x v="2"/>
    <x v="5"/>
    <x v="5"/>
    <x v="3"/>
    <x v="5"/>
    <x v="4"/>
    <x v="1"/>
    <n v="29692"/>
  </r>
  <r>
    <n v="28875"/>
    <x v="17"/>
    <x v="2"/>
    <x v="6"/>
    <x v="6"/>
    <x v="3"/>
    <x v="5"/>
    <x v="4"/>
    <x v="1"/>
    <n v="29693"/>
  </r>
  <r>
    <n v="28876"/>
    <x v="17"/>
    <x v="2"/>
    <x v="7"/>
    <x v="7"/>
    <x v="0"/>
    <x v="5"/>
    <x v="4"/>
    <x v="1"/>
    <n v="29694"/>
  </r>
  <r>
    <n v="28877"/>
    <x v="17"/>
    <x v="2"/>
    <x v="8"/>
    <x v="8"/>
    <x v="0"/>
    <x v="5"/>
    <x v="4"/>
    <x v="1"/>
    <n v="29695"/>
  </r>
  <r>
    <n v="28878"/>
    <x v="17"/>
    <x v="2"/>
    <x v="9"/>
    <x v="9"/>
    <x v="0"/>
    <x v="5"/>
    <x v="4"/>
    <x v="1"/>
    <n v="29696"/>
  </r>
  <r>
    <n v="28879"/>
    <x v="17"/>
    <x v="2"/>
    <x v="10"/>
    <x v="10"/>
    <x v="0"/>
    <x v="5"/>
    <x v="4"/>
    <x v="1"/>
    <n v="29697"/>
  </r>
  <r>
    <n v="28880"/>
    <x v="17"/>
    <x v="2"/>
    <x v="6"/>
    <x v="6"/>
    <x v="0"/>
    <x v="5"/>
    <x v="4"/>
    <x v="1"/>
    <n v="29698"/>
  </r>
  <r>
    <n v="28881"/>
    <x v="17"/>
    <x v="1"/>
    <x v="1"/>
    <x v="1"/>
    <x v="2"/>
    <x v="5"/>
    <x v="4"/>
    <x v="1"/>
    <n v="29699"/>
  </r>
  <r>
    <n v="28882"/>
    <x v="17"/>
    <x v="2"/>
    <x v="2"/>
    <x v="2"/>
    <x v="2"/>
    <x v="5"/>
    <x v="4"/>
    <x v="1"/>
    <n v="29700"/>
  </r>
  <r>
    <n v="28883"/>
    <x v="18"/>
    <x v="2"/>
    <x v="0"/>
    <x v="3"/>
    <x v="3"/>
    <x v="5"/>
    <x v="4"/>
    <x v="1"/>
    <n v="29701"/>
  </r>
  <r>
    <n v="28884"/>
    <x v="18"/>
    <x v="2"/>
    <x v="0"/>
    <x v="0"/>
    <x v="0"/>
    <x v="5"/>
    <x v="4"/>
    <x v="1"/>
    <n v="29702"/>
  </r>
  <r>
    <n v="28885"/>
    <x v="18"/>
    <x v="2"/>
    <x v="3"/>
    <x v="0"/>
    <x v="0"/>
    <x v="5"/>
    <x v="4"/>
    <x v="1"/>
    <n v="29703"/>
  </r>
  <r>
    <n v="28886"/>
    <x v="18"/>
    <x v="1"/>
    <x v="1"/>
    <x v="1"/>
    <x v="1"/>
    <x v="5"/>
    <x v="4"/>
    <x v="1"/>
    <n v="29704"/>
  </r>
  <r>
    <n v="28887"/>
    <x v="18"/>
    <x v="2"/>
    <x v="2"/>
    <x v="2"/>
    <x v="1"/>
    <x v="5"/>
    <x v="4"/>
    <x v="1"/>
    <n v="29705"/>
  </r>
  <r>
    <n v="28888"/>
    <x v="18"/>
    <x v="2"/>
    <x v="11"/>
    <x v="11"/>
    <x v="3"/>
    <x v="5"/>
    <x v="4"/>
    <x v="1"/>
    <n v="29706"/>
  </r>
  <r>
    <n v="28889"/>
    <x v="18"/>
    <x v="2"/>
    <x v="4"/>
    <x v="4"/>
    <x v="3"/>
    <x v="5"/>
    <x v="4"/>
    <x v="1"/>
    <n v="29707"/>
  </r>
  <r>
    <n v="28890"/>
    <x v="18"/>
    <x v="2"/>
    <x v="5"/>
    <x v="5"/>
    <x v="3"/>
    <x v="5"/>
    <x v="4"/>
    <x v="1"/>
    <n v="29708"/>
  </r>
  <r>
    <n v="28891"/>
    <x v="18"/>
    <x v="2"/>
    <x v="6"/>
    <x v="6"/>
    <x v="3"/>
    <x v="5"/>
    <x v="4"/>
    <x v="1"/>
    <n v="29709"/>
  </r>
  <r>
    <n v="28892"/>
    <x v="18"/>
    <x v="2"/>
    <x v="7"/>
    <x v="7"/>
    <x v="0"/>
    <x v="5"/>
    <x v="4"/>
    <x v="1"/>
    <n v="29710"/>
  </r>
  <r>
    <n v="28893"/>
    <x v="18"/>
    <x v="2"/>
    <x v="8"/>
    <x v="8"/>
    <x v="0"/>
    <x v="5"/>
    <x v="4"/>
    <x v="1"/>
    <n v="29711"/>
  </r>
  <r>
    <n v="28894"/>
    <x v="18"/>
    <x v="2"/>
    <x v="9"/>
    <x v="9"/>
    <x v="0"/>
    <x v="5"/>
    <x v="4"/>
    <x v="1"/>
    <n v="29712"/>
  </r>
  <r>
    <n v="28895"/>
    <x v="18"/>
    <x v="2"/>
    <x v="10"/>
    <x v="10"/>
    <x v="0"/>
    <x v="5"/>
    <x v="4"/>
    <x v="1"/>
    <n v="29713"/>
  </r>
  <r>
    <n v="28896"/>
    <x v="18"/>
    <x v="2"/>
    <x v="6"/>
    <x v="6"/>
    <x v="0"/>
    <x v="5"/>
    <x v="4"/>
    <x v="1"/>
    <n v="29714"/>
  </r>
  <r>
    <n v="28897"/>
    <x v="18"/>
    <x v="1"/>
    <x v="1"/>
    <x v="1"/>
    <x v="2"/>
    <x v="5"/>
    <x v="4"/>
    <x v="1"/>
    <n v="29715"/>
  </r>
  <r>
    <n v="28898"/>
    <x v="18"/>
    <x v="2"/>
    <x v="2"/>
    <x v="2"/>
    <x v="2"/>
    <x v="5"/>
    <x v="4"/>
    <x v="1"/>
    <n v="29716"/>
  </r>
  <r>
    <n v="28899"/>
    <x v="19"/>
    <x v="2"/>
    <x v="0"/>
    <x v="3"/>
    <x v="3"/>
    <x v="5"/>
    <x v="4"/>
    <x v="1"/>
    <n v="29717"/>
  </r>
  <r>
    <n v="28900"/>
    <x v="19"/>
    <x v="2"/>
    <x v="0"/>
    <x v="0"/>
    <x v="0"/>
    <x v="5"/>
    <x v="4"/>
    <x v="1"/>
    <n v="29718"/>
  </r>
  <r>
    <n v="28901"/>
    <x v="19"/>
    <x v="2"/>
    <x v="3"/>
    <x v="0"/>
    <x v="0"/>
    <x v="5"/>
    <x v="4"/>
    <x v="1"/>
    <n v="29719"/>
  </r>
  <r>
    <n v="28902"/>
    <x v="19"/>
    <x v="1"/>
    <x v="1"/>
    <x v="1"/>
    <x v="1"/>
    <x v="5"/>
    <x v="4"/>
    <x v="1"/>
    <n v="29720"/>
  </r>
  <r>
    <n v="28903"/>
    <x v="19"/>
    <x v="2"/>
    <x v="2"/>
    <x v="2"/>
    <x v="1"/>
    <x v="5"/>
    <x v="4"/>
    <x v="1"/>
    <n v="29721"/>
  </r>
  <r>
    <n v="28904"/>
    <x v="19"/>
    <x v="2"/>
    <x v="11"/>
    <x v="11"/>
    <x v="3"/>
    <x v="5"/>
    <x v="4"/>
    <x v="1"/>
    <n v="29722"/>
  </r>
  <r>
    <n v="28905"/>
    <x v="19"/>
    <x v="2"/>
    <x v="4"/>
    <x v="4"/>
    <x v="3"/>
    <x v="5"/>
    <x v="4"/>
    <x v="1"/>
    <n v="29723"/>
  </r>
  <r>
    <n v="28906"/>
    <x v="19"/>
    <x v="2"/>
    <x v="5"/>
    <x v="5"/>
    <x v="3"/>
    <x v="5"/>
    <x v="4"/>
    <x v="1"/>
    <n v="29724"/>
  </r>
  <r>
    <n v="28907"/>
    <x v="19"/>
    <x v="2"/>
    <x v="6"/>
    <x v="6"/>
    <x v="3"/>
    <x v="5"/>
    <x v="4"/>
    <x v="1"/>
    <n v="29725"/>
  </r>
  <r>
    <n v="28908"/>
    <x v="19"/>
    <x v="2"/>
    <x v="7"/>
    <x v="7"/>
    <x v="0"/>
    <x v="5"/>
    <x v="4"/>
    <x v="1"/>
    <n v="29726"/>
  </r>
  <r>
    <n v="28909"/>
    <x v="19"/>
    <x v="2"/>
    <x v="8"/>
    <x v="8"/>
    <x v="0"/>
    <x v="5"/>
    <x v="4"/>
    <x v="1"/>
    <n v="29727"/>
  </r>
  <r>
    <n v="28910"/>
    <x v="19"/>
    <x v="2"/>
    <x v="9"/>
    <x v="9"/>
    <x v="0"/>
    <x v="5"/>
    <x v="4"/>
    <x v="1"/>
    <n v="29728"/>
  </r>
  <r>
    <n v="28911"/>
    <x v="19"/>
    <x v="2"/>
    <x v="10"/>
    <x v="10"/>
    <x v="0"/>
    <x v="5"/>
    <x v="4"/>
    <x v="1"/>
    <n v="29729"/>
  </r>
  <r>
    <n v="28912"/>
    <x v="19"/>
    <x v="2"/>
    <x v="6"/>
    <x v="6"/>
    <x v="0"/>
    <x v="5"/>
    <x v="4"/>
    <x v="1"/>
    <n v="29730"/>
  </r>
  <r>
    <n v="28913"/>
    <x v="19"/>
    <x v="1"/>
    <x v="1"/>
    <x v="1"/>
    <x v="2"/>
    <x v="5"/>
    <x v="4"/>
    <x v="1"/>
    <n v="29731"/>
  </r>
  <r>
    <n v="28914"/>
    <x v="19"/>
    <x v="2"/>
    <x v="2"/>
    <x v="2"/>
    <x v="2"/>
    <x v="5"/>
    <x v="4"/>
    <x v="1"/>
    <n v="29732"/>
  </r>
  <r>
    <n v="28915"/>
    <x v="20"/>
    <x v="2"/>
    <x v="0"/>
    <x v="3"/>
    <x v="3"/>
    <x v="5"/>
    <x v="4"/>
    <x v="1"/>
    <n v="29733"/>
  </r>
  <r>
    <n v="28916"/>
    <x v="20"/>
    <x v="2"/>
    <x v="0"/>
    <x v="0"/>
    <x v="0"/>
    <x v="5"/>
    <x v="4"/>
    <x v="1"/>
    <n v="29734"/>
  </r>
  <r>
    <n v="28917"/>
    <x v="20"/>
    <x v="2"/>
    <x v="3"/>
    <x v="0"/>
    <x v="0"/>
    <x v="5"/>
    <x v="4"/>
    <x v="1"/>
    <n v="29735"/>
  </r>
  <r>
    <n v="28918"/>
    <x v="20"/>
    <x v="1"/>
    <x v="1"/>
    <x v="1"/>
    <x v="1"/>
    <x v="5"/>
    <x v="4"/>
    <x v="1"/>
    <n v="29736"/>
  </r>
  <r>
    <n v="28919"/>
    <x v="20"/>
    <x v="2"/>
    <x v="2"/>
    <x v="2"/>
    <x v="1"/>
    <x v="5"/>
    <x v="4"/>
    <x v="1"/>
    <n v="29737"/>
  </r>
  <r>
    <n v="28920"/>
    <x v="20"/>
    <x v="2"/>
    <x v="11"/>
    <x v="11"/>
    <x v="3"/>
    <x v="5"/>
    <x v="4"/>
    <x v="1"/>
    <n v="29738"/>
  </r>
  <r>
    <n v="28921"/>
    <x v="20"/>
    <x v="2"/>
    <x v="4"/>
    <x v="4"/>
    <x v="3"/>
    <x v="5"/>
    <x v="4"/>
    <x v="1"/>
    <n v="29739"/>
  </r>
  <r>
    <n v="28922"/>
    <x v="20"/>
    <x v="2"/>
    <x v="5"/>
    <x v="5"/>
    <x v="3"/>
    <x v="5"/>
    <x v="4"/>
    <x v="1"/>
    <n v="29740"/>
  </r>
  <r>
    <n v="28923"/>
    <x v="20"/>
    <x v="2"/>
    <x v="6"/>
    <x v="6"/>
    <x v="3"/>
    <x v="5"/>
    <x v="4"/>
    <x v="1"/>
    <n v="29741"/>
  </r>
  <r>
    <n v="28924"/>
    <x v="20"/>
    <x v="2"/>
    <x v="7"/>
    <x v="7"/>
    <x v="0"/>
    <x v="5"/>
    <x v="4"/>
    <x v="1"/>
    <n v="29742"/>
  </r>
  <r>
    <n v="28925"/>
    <x v="20"/>
    <x v="2"/>
    <x v="8"/>
    <x v="8"/>
    <x v="0"/>
    <x v="5"/>
    <x v="4"/>
    <x v="1"/>
    <n v="29743"/>
  </r>
  <r>
    <n v="28926"/>
    <x v="20"/>
    <x v="2"/>
    <x v="9"/>
    <x v="9"/>
    <x v="0"/>
    <x v="5"/>
    <x v="4"/>
    <x v="1"/>
    <n v="29744"/>
  </r>
  <r>
    <n v="28927"/>
    <x v="20"/>
    <x v="2"/>
    <x v="10"/>
    <x v="10"/>
    <x v="0"/>
    <x v="5"/>
    <x v="4"/>
    <x v="1"/>
    <n v="29745"/>
  </r>
  <r>
    <n v="28928"/>
    <x v="20"/>
    <x v="2"/>
    <x v="6"/>
    <x v="6"/>
    <x v="0"/>
    <x v="5"/>
    <x v="4"/>
    <x v="1"/>
    <n v="29746"/>
  </r>
  <r>
    <n v="28929"/>
    <x v="20"/>
    <x v="1"/>
    <x v="1"/>
    <x v="1"/>
    <x v="2"/>
    <x v="5"/>
    <x v="4"/>
    <x v="1"/>
    <n v="29747"/>
  </r>
  <r>
    <n v="28930"/>
    <x v="20"/>
    <x v="2"/>
    <x v="2"/>
    <x v="2"/>
    <x v="2"/>
    <x v="5"/>
    <x v="4"/>
    <x v="1"/>
    <n v="29748"/>
  </r>
  <r>
    <n v="28931"/>
    <x v="21"/>
    <x v="2"/>
    <x v="0"/>
    <x v="3"/>
    <x v="3"/>
    <x v="6"/>
    <x v="4"/>
    <x v="1"/>
    <n v="29749"/>
  </r>
  <r>
    <n v="28932"/>
    <x v="21"/>
    <x v="2"/>
    <x v="0"/>
    <x v="0"/>
    <x v="0"/>
    <x v="6"/>
    <x v="4"/>
    <x v="1"/>
    <n v="29750"/>
  </r>
  <r>
    <n v="28933"/>
    <x v="21"/>
    <x v="2"/>
    <x v="3"/>
    <x v="0"/>
    <x v="0"/>
    <x v="6"/>
    <x v="4"/>
    <x v="1"/>
    <n v="29751"/>
  </r>
  <r>
    <n v="28934"/>
    <x v="21"/>
    <x v="1"/>
    <x v="1"/>
    <x v="1"/>
    <x v="1"/>
    <x v="6"/>
    <x v="4"/>
    <x v="1"/>
    <n v="29752"/>
  </r>
  <r>
    <n v="28935"/>
    <x v="21"/>
    <x v="2"/>
    <x v="2"/>
    <x v="2"/>
    <x v="1"/>
    <x v="6"/>
    <x v="4"/>
    <x v="1"/>
    <n v="29753"/>
  </r>
  <r>
    <n v="28936"/>
    <x v="21"/>
    <x v="2"/>
    <x v="11"/>
    <x v="11"/>
    <x v="3"/>
    <x v="6"/>
    <x v="4"/>
    <x v="1"/>
    <n v="29754"/>
  </r>
  <r>
    <n v="28937"/>
    <x v="21"/>
    <x v="2"/>
    <x v="4"/>
    <x v="4"/>
    <x v="3"/>
    <x v="6"/>
    <x v="4"/>
    <x v="1"/>
    <n v="29755"/>
  </r>
  <r>
    <n v="28938"/>
    <x v="21"/>
    <x v="2"/>
    <x v="5"/>
    <x v="5"/>
    <x v="3"/>
    <x v="6"/>
    <x v="4"/>
    <x v="1"/>
    <n v="29756"/>
  </r>
  <r>
    <n v="28939"/>
    <x v="21"/>
    <x v="2"/>
    <x v="6"/>
    <x v="6"/>
    <x v="3"/>
    <x v="6"/>
    <x v="4"/>
    <x v="1"/>
    <n v="29757"/>
  </r>
  <r>
    <n v="28940"/>
    <x v="21"/>
    <x v="2"/>
    <x v="7"/>
    <x v="7"/>
    <x v="0"/>
    <x v="6"/>
    <x v="4"/>
    <x v="1"/>
    <n v="29758"/>
  </r>
  <r>
    <n v="28941"/>
    <x v="21"/>
    <x v="2"/>
    <x v="8"/>
    <x v="8"/>
    <x v="0"/>
    <x v="6"/>
    <x v="4"/>
    <x v="1"/>
    <n v="29759"/>
  </r>
  <r>
    <n v="28942"/>
    <x v="21"/>
    <x v="2"/>
    <x v="9"/>
    <x v="9"/>
    <x v="0"/>
    <x v="6"/>
    <x v="4"/>
    <x v="1"/>
    <n v="29760"/>
  </r>
  <r>
    <n v="28943"/>
    <x v="21"/>
    <x v="2"/>
    <x v="10"/>
    <x v="10"/>
    <x v="0"/>
    <x v="6"/>
    <x v="4"/>
    <x v="1"/>
    <n v="29761"/>
  </r>
  <r>
    <n v="28944"/>
    <x v="21"/>
    <x v="2"/>
    <x v="6"/>
    <x v="6"/>
    <x v="0"/>
    <x v="6"/>
    <x v="4"/>
    <x v="1"/>
    <n v="29762"/>
  </r>
  <r>
    <n v="28945"/>
    <x v="21"/>
    <x v="1"/>
    <x v="1"/>
    <x v="1"/>
    <x v="2"/>
    <x v="6"/>
    <x v="4"/>
    <x v="1"/>
    <n v="29763"/>
  </r>
  <r>
    <n v="28946"/>
    <x v="21"/>
    <x v="2"/>
    <x v="2"/>
    <x v="2"/>
    <x v="2"/>
    <x v="6"/>
    <x v="4"/>
    <x v="1"/>
    <n v="29764"/>
  </r>
  <r>
    <n v="28947"/>
    <x v="22"/>
    <x v="2"/>
    <x v="0"/>
    <x v="3"/>
    <x v="3"/>
    <x v="6"/>
    <x v="4"/>
    <x v="1"/>
    <n v="29765"/>
  </r>
  <r>
    <n v="28948"/>
    <x v="22"/>
    <x v="2"/>
    <x v="0"/>
    <x v="0"/>
    <x v="0"/>
    <x v="6"/>
    <x v="4"/>
    <x v="1"/>
    <n v="29766"/>
  </r>
  <r>
    <n v="28949"/>
    <x v="22"/>
    <x v="2"/>
    <x v="3"/>
    <x v="0"/>
    <x v="0"/>
    <x v="6"/>
    <x v="4"/>
    <x v="1"/>
    <n v="29767"/>
  </r>
  <r>
    <n v="28950"/>
    <x v="22"/>
    <x v="1"/>
    <x v="1"/>
    <x v="1"/>
    <x v="1"/>
    <x v="6"/>
    <x v="4"/>
    <x v="1"/>
    <n v="29768"/>
  </r>
  <r>
    <n v="28951"/>
    <x v="22"/>
    <x v="2"/>
    <x v="2"/>
    <x v="2"/>
    <x v="1"/>
    <x v="6"/>
    <x v="4"/>
    <x v="1"/>
    <n v="29769"/>
  </r>
  <r>
    <n v="28952"/>
    <x v="22"/>
    <x v="2"/>
    <x v="11"/>
    <x v="11"/>
    <x v="3"/>
    <x v="6"/>
    <x v="4"/>
    <x v="1"/>
    <n v="29770"/>
  </r>
  <r>
    <n v="28953"/>
    <x v="22"/>
    <x v="2"/>
    <x v="4"/>
    <x v="4"/>
    <x v="3"/>
    <x v="6"/>
    <x v="4"/>
    <x v="1"/>
    <n v="29771"/>
  </r>
  <r>
    <n v="28954"/>
    <x v="22"/>
    <x v="2"/>
    <x v="5"/>
    <x v="5"/>
    <x v="3"/>
    <x v="6"/>
    <x v="4"/>
    <x v="1"/>
    <n v="29772"/>
  </r>
  <r>
    <n v="28955"/>
    <x v="22"/>
    <x v="2"/>
    <x v="6"/>
    <x v="6"/>
    <x v="3"/>
    <x v="6"/>
    <x v="4"/>
    <x v="1"/>
    <n v="29773"/>
  </r>
  <r>
    <n v="28956"/>
    <x v="22"/>
    <x v="2"/>
    <x v="7"/>
    <x v="7"/>
    <x v="0"/>
    <x v="6"/>
    <x v="4"/>
    <x v="1"/>
    <n v="29774"/>
  </r>
  <r>
    <n v="28957"/>
    <x v="22"/>
    <x v="2"/>
    <x v="8"/>
    <x v="8"/>
    <x v="0"/>
    <x v="6"/>
    <x v="4"/>
    <x v="1"/>
    <n v="29775"/>
  </r>
  <r>
    <n v="28958"/>
    <x v="22"/>
    <x v="2"/>
    <x v="9"/>
    <x v="9"/>
    <x v="0"/>
    <x v="6"/>
    <x v="4"/>
    <x v="1"/>
    <n v="29776"/>
  </r>
  <r>
    <n v="28959"/>
    <x v="22"/>
    <x v="2"/>
    <x v="10"/>
    <x v="10"/>
    <x v="0"/>
    <x v="6"/>
    <x v="4"/>
    <x v="1"/>
    <n v="29777"/>
  </r>
  <r>
    <n v="28960"/>
    <x v="22"/>
    <x v="2"/>
    <x v="6"/>
    <x v="6"/>
    <x v="0"/>
    <x v="6"/>
    <x v="4"/>
    <x v="1"/>
    <n v="29778"/>
  </r>
  <r>
    <n v="28961"/>
    <x v="22"/>
    <x v="1"/>
    <x v="1"/>
    <x v="1"/>
    <x v="2"/>
    <x v="6"/>
    <x v="4"/>
    <x v="1"/>
    <n v="29779"/>
  </r>
  <r>
    <n v="28962"/>
    <x v="22"/>
    <x v="2"/>
    <x v="2"/>
    <x v="2"/>
    <x v="2"/>
    <x v="6"/>
    <x v="4"/>
    <x v="1"/>
    <n v="29780"/>
  </r>
  <r>
    <n v="28963"/>
    <x v="23"/>
    <x v="2"/>
    <x v="0"/>
    <x v="3"/>
    <x v="3"/>
    <x v="7"/>
    <x v="4"/>
    <x v="1"/>
    <n v="29781"/>
  </r>
  <r>
    <n v="28964"/>
    <x v="23"/>
    <x v="2"/>
    <x v="0"/>
    <x v="0"/>
    <x v="0"/>
    <x v="7"/>
    <x v="4"/>
    <x v="1"/>
    <n v="29782"/>
  </r>
  <r>
    <n v="28965"/>
    <x v="23"/>
    <x v="2"/>
    <x v="3"/>
    <x v="0"/>
    <x v="0"/>
    <x v="7"/>
    <x v="4"/>
    <x v="1"/>
    <n v="29783"/>
  </r>
  <r>
    <n v="28966"/>
    <x v="23"/>
    <x v="1"/>
    <x v="1"/>
    <x v="1"/>
    <x v="1"/>
    <x v="7"/>
    <x v="4"/>
    <x v="1"/>
    <n v="29784"/>
  </r>
  <r>
    <n v="28967"/>
    <x v="23"/>
    <x v="2"/>
    <x v="2"/>
    <x v="2"/>
    <x v="1"/>
    <x v="7"/>
    <x v="4"/>
    <x v="1"/>
    <n v="29785"/>
  </r>
  <r>
    <n v="28968"/>
    <x v="23"/>
    <x v="2"/>
    <x v="11"/>
    <x v="11"/>
    <x v="3"/>
    <x v="7"/>
    <x v="4"/>
    <x v="1"/>
    <n v="29786"/>
  </r>
  <r>
    <n v="28969"/>
    <x v="23"/>
    <x v="2"/>
    <x v="4"/>
    <x v="4"/>
    <x v="3"/>
    <x v="7"/>
    <x v="4"/>
    <x v="1"/>
    <n v="29787"/>
  </r>
  <r>
    <n v="28970"/>
    <x v="23"/>
    <x v="2"/>
    <x v="5"/>
    <x v="5"/>
    <x v="3"/>
    <x v="7"/>
    <x v="4"/>
    <x v="1"/>
    <n v="29788"/>
  </r>
  <r>
    <n v="28971"/>
    <x v="23"/>
    <x v="2"/>
    <x v="6"/>
    <x v="6"/>
    <x v="3"/>
    <x v="7"/>
    <x v="4"/>
    <x v="1"/>
    <n v="29789"/>
  </r>
  <r>
    <n v="28972"/>
    <x v="23"/>
    <x v="2"/>
    <x v="7"/>
    <x v="7"/>
    <x v="0"/>
    <x v="7"/>
    <x v="4"/>
    <x v="1"/>
    <n v="29790"/>
  </r>
  <r>
    <n v="28973"/>
    <x v="23"/>
    <x v="2"/>
    <x v="8"/>
    <x v="8"/>
    <x v="0"/>
    <x v="7"/>
    <x v="4"/>
    <x v="1"/>
    <n v="29791"/>
  </r>
  <r>
    <n v="28974"/>
    <x v="23"/>
    <x v="2"/>
    <x v="9"/>
    <x v="9"/>
    <x v="0"/>
    <x v="7"/>
    <x v="4"/>
    <x v="1"/>
    <n v="29792"/>
  </r>
  <r>
    <n v="28975"/>
    <x v="23"/>
    <x v="2"/>
    <x v="10"/>
    <x v="10"/>
    <x v="0"/>
    <x v="7"/>
    <x v="4"/>
    <x v="1"/>
    <n v="29793"/>
  </r>
  <r>
    <n v="28976"/>
    <x v="23"/>
    <x v="2"/>
    <x v="6"/>
    <x v="6"/>
    <x v="0"/>
    <x v="7"/>
    <x v="4"/>
    <x v="1"/>
    <n v="29794"/>
  </r>
  <r>
    <n v="28977"/>
    <x v="23"/>
    <x v="1"/>
    <x v="1"/>
    <x v="1"/>
    <x v="2"/>
    <x v="7"/>
    <x v="4"/>
    <x v="1"/>
    <n v="29795"/>
  </r>
  <r>
    <n v="28978"/>
    <x v="23"/>
    <x v="2"/>
    <x v="2"/>
    <x v="2"/>
    <x v="2"/>
    <x v="7"/>
    <x v="4"/>
    <x v="1"/>
    <n v="29796"/>
  </r>
  <r>
    <n v="28979"/>
    <x v="24"/>
    <x v="2"/>
    <x v="0"/>
    <x v="3"/>
    <x v="3"/>
    <x v="7"/>
    <x v="4"/>
    <x v="1"/>
    <n v="29797"/>
  </r>
  <r>
    <n v="28980"/>
    <x v="24"/>
    <x v="2"/>
    <x v="0"/>
    <x v="0"/>
    <x v="0"/>
    <x v="7"/>
    <x v="4"/>
    <x v="1"/>
    <n v="29798"/>
  </r>
  <r>
    <n v="28981"/>
    <x v="24"/>
    <x v="2"/>
    <x v="3"/>
    <x v="0"/>
    <x v="0"/>
    <x v="7"/>
    <x v="4"/>
    <x v="1"/>
    <n v="29799"/>
  </r>
  <r>
    <n v="28982"/>
    <x v="24"/>
    <x v="1"/>
    <x v="1"/>
    <x v="1"/>
    <x v="1"/>
    <x v="7"/>
    <x v="4"/>
    <x v="1"/>
    <n v="29800"/>
  </r>
  <r>
    <n v="28983"/>
    <x v="24"/>
    <x v="2"/>
    <x v="2"/>
    <x v="2"/>
    <x v="1"/>
    <x v="7"/>
    <x v="4"/>
    <x v="1"/>
    <n v="29801"/>
  </r>
  <r>
    <n v="28984"/>
    <x v="24"/>
    <x v="2"/>
    <x v="11"/>
    <x v="11"/>
    <x v="3"/>
    <x v="7"/>
    <x v="4"/>
    <x v="1"/>
    <n v="29802"/>
  </r>
  <r>
    <n v="28985"/>
    <x v="24"/>
    <x v="2"/>
    <x v="4"/>
    <x v="4"/>
    <x v="3"/>
    <x v="7"/>
    <x v="4"/>
    <x v="1"/>
    <n v="29803"/>
  </r>
  <r>
    <n v="28986"/>
    <x v="24"/>
    <x v="2"/>
    <x v="5"/>
    <x v="5"/>
    <x v="3"/>
    <x v="7"/>
    <x v="4"/>
    <x v="1"/>
    <n v="29804"/>
  </r>
  <r>
    <n v="28987"/>
    <x v="24"/>
    <x v="2"/>
    <x v="6"/>
    <x v="6"/>
    <x v="3"/>
    <x v="7"/>
    <x v="4"/>
    <x v="1"/>
    <n v="29805"/>
  </r>
  <r>
    <n v="28988"/>
    <x v="24"/>
    <x v="2"/>
    <x v="7"/>
    <x v="7"/>
    <x v="0"/>
    <x v="7"/>
    <x v="4"/>
    <x v="1"/>
    <n v="29806"/>
  </r>
  <r>
    <n v="28989"/>
    <x v="24"/>
    <x v="2"/>
    <x v="8"/>
    <x v="8"/>
    <x v="0"/>
    <x v="7"/>
    <x v="4"/>
    <x v="1"/>
    <n v="29807"/>
  </r>
  <r>
    <n v="28990"/>
    <x v="24"/>
    <x v="2"/>
    <x v="9"/>
    <x v="9"/>
    <x v="0"/>
    <x v="7"/>
    <x v="4"/>
    <x v="1"/>
    <n v="29808"/>
  </r>
  <r>
    <n v="28991"/>
    <x v="24"/>
    <x v="2"/>
    <x v="10"/>
    <x v="10"/>
    <x v="0"/>
    <x v="7"/>
    <x v="4"/>
    <x v="1"/>
    <n v="29809"/>
  </r>
  <r>
    <n v="28992"/>
    <x v="24"/>
    <x v="2"/>
    <x v="6"/>
    <x v="6"/>
    <x v="0"/>
    <x v="7"/>
    <x v="4"/>
    <x v="1"/>
    <n v="29810"/>
  </r>
  <r>
    <n v="28993"/>
    <x v="24"/>
    <x v="1"/>
    <x v="1"/>
    <x v="1"/>
    <x v="2"/>
    <x v="7"/>
    <x v="4"/>
    <x v="1"/>
    <n v="29811"/>
  </r>
  <r>
    <n v="28994"/>
    <x v="24"/>
    <x v="2"/>
    <x v="2"/>
    <x v="2"/>
    <x v="2"/>
    <x v="7"/>
    <x v="4"/>
    <x v="1"/>
    <n v="29812"/>
  </r>
  <r>
    <n v="28995"/>
    <x v="25"/>
    <x v="2"/>
    <x v="0"/>
    <x v="3"/>
    <x v="3"/>
    <x v="7"/>
    <x v="4"/>
    <x v="1"/>
    <n v="29813"/>
  </r>
  <r>
    <n v="28996"/>
    <x v="25"/>
    <x v="2"/>
    <x v="0"/>
    <x v="0"/>
    <x v="0"/>
    <x v="7"/>
    <x v="4"/>
    <x v="1"/>
    <n v="29814"/>
  </r>
  <r>
    <n v="28997"/>
    <x v="25"/>
    <x v="2"/>
    <x v="3"/>
    <x v="0"/>
    <x v="0"/>
    <x v="7"/>
    <x v="4"/>
    <x v="1"/>
    <n v="29815"/>
  </r>
  <r>
    <n v="28998"/>
    <x v="25"/>
    <x v="1"/>
    <x v="1"/>
    <x v="1"/>
    <x v="1"/>
    <x v="7"/>
    <x v="4"/>
    <x v="1"/>
    <n v="29816"/>
  </r>
  <r>
    <n v="28999"/>
    <x v="25"/>
    <x v="2"/>
    <x v="2"/>
    <x v="2"/>
    <x v="1"/>
    <x v="7"/>
    <x v="4"/>
    <x v="1"/>
    <n v="29817"/>
  </r>
  <r>
    <n v="29000"/>
    <x v="25"/>
    <x v="2"/>
    <x v="11"/>
    <x v="11"/>
    <x v="3"/>
    <x v="7"/>
    <x v="4"/>
    <x v="1"/>
    <n v="29818"/>
  </r>
  <r>
    <n v="29001"/>
    <x v="25"/>
    <x v="2"/>
    <x v="4"/>
    <x v="4"/>
    <x v="3"/>
    <x v="7"/>
    <x v="4"/>
    <x v="1"/>
    <n v="29819"/>
  </r>
  <r>
    <n v="29002"/>
    <x v="25"/>
    <x v="2"/>
    <x v="5"/>
    <x v="5"/>
    <x v="3"/>
    <x v="7"/>
    <x v="4"/>
    <x v="1"/>
    <n v="29820"/>
  </r>
  <r>
    <n v="29003"/>
    <x v="25"/>
    <x v="2"/>
    <x v="6"/>
    <x v="6"/>
    <x v="3"/>
    <x v="7"/>
    <x v="4"/>
    <x v="1"/>
    <n v="29821"/>
  </r>
  <r>
    <n v="29004"/>
    <x v="25"/>
    <x v="2"/>
    <x v="7"/>
    <x v="7"/>
    <x v="0"/>
    <x v="7"/>
    <x v="4"/>
    <x v="1"/>
    <n v="29822"/>
  </r>
  <r>
    <n v="29005"/>
    <x v="25"/>
    <x v="2"/>
    <x v="8"/>
    <x v="8"/>
    <x v="0"/>
    <x v="7"/>
    <x v="4"/>
    <x v="1"/>
    <n v="29823"/>
  </r>
  <r>
    <n v="29006"/>
    <x v="25"/>
    <x v="2"/>
    <x v="9"/>
    <x v="9"/>
    <x v="0"/>
    <x v="7"/>
    <x v="4"/>
    <x v="1"/>
    <n v="29824"/>
  </r>
  <r>
    <n v="29007"/>
    <x v="25"/>
    <x v="2"/>
    <x v="10"/>
    <x v="10"/>
    <x v="0"/>
    <x v="7"/>
    <x v="4"/>
    <x v="1"/>
    <n v="29825"/>
  </r>
  <r>
    <n v="29008"/>
    <x v="25"/>
    <x v="2"/>
    <x v="6"/>
    <x v="6"/>
    <x v="0"/>
    <x v="7"/>
    <x v="4"/>
    <x v="1"/>
    <n v="29826"/>
  </r>
  <r>
    <n v="29009"/>
    <x v="25"/>
    <x v="1"/>
    <x v="1"/>
    <x v="1"/>
    <x v="2"/>
    <x v="7"/>
    <x v="4"/>
    <x v="1"/>
    <n v="29827"/>
  </r>
  <r>
    <n v="29010"/>
    <x v="25"/>
    <x v="2"/>
    <x v="2"/>
    <x v="2"/>
    <x v="2"/>
    <x v="7"/>
    <x v="4"/>
    <x v="1"/>
    <n v="29828"/>
  </r>
  <r>
    <n v="29011"/>
    <x v="26"/>
    <x v="2"/>
    <x v="0"/>
    <x v="3"/>
    <x v="3"/>
    <x v="7"/>
    <x v="4"/>
    <x v="1"/>
    <n v="29829"/>
  </r>
  <r>
    <n v="29012"/>
    <x v="26"/>
    <x v="2"/>
    <x v="0"/>
    <x v="0"/>
    <x v="0"/>
    <x v="7"/>
    <x v="4"/>
    <x v="1"/>
    <n v="29830"/>
  </r>
  <r>
    <n v="29013"/>
    <x v="26"/>
    <x v="2"/>
    <x v="3"/>
    <x v="0"/>
    <x v="0"/>
    <x v="7"/>
    <x v="4"/>
    <x v="1"/>
    <n v="29831"/>
  </r>
  <r>
    <n v="29014"/>
    <x v="26"/>
    <x v="1"/>
    <x v="1"/>
    <x v="1"/>
    <x v="1"/>
    <x v="7"/>
    <x v="4"/>
    <x v="1"/>
    <n v="29832"/>
  </r>
  <r>
    <n v="29015"/>
    <x v="26"/>
    <x v="2"/>
    <x v="2"/>
    <x v="2"/>
    <x v="1"/>
    <x v="7"/>
    <x v="4"/>
    <x v="1"/>
    <n v="29833"/>
  </r>
  <r>
    <n v="29016"/>
    <x v="26"/>
    <x v="2"/>
    <x v="11"/>
    <x v="11"/>
    <x v="3"/>
    <x v="7"/>
    <x v="4"/>
    <x v="1"/>
    <n v="29834"/>
  </r>
  <r>
    <n v="29017"/>
    <x v="26"/>
    <x v="2"/>
    <x v="4"/>
    <x v="4"/>
    <x v="3"/>
    <x v="7"/>
    <x v="4"/>
    <x v="1"/>
    <n v="29835"/>
  </r>
  <r>
    <n v="29018"/>
    <x v="26"/>
    <x v="2"/>
    <x v="5"/>
    <x v="5"/>
    <x v="3"/>
    <x v="7"/>
    <x v="4"/>
    <x v="1"/>
    <n v="29836"/>
  </r>
  <r>
    <n v="29019"/>
    <x v="26"/>
    <x v="2"/>
    <x v="6"/>
    <x v="6"/>
    <x v="3"/>
    <x v="7"/>
    <x v="4"/>
    <x v="1"/>
    <n v="29837"/>
  </r>
  <r>
    <n v="29020"/>
    <x v="26"/>
    <x v="2"/>
    <x v="7"/>
    <x v="7"/>
    <x v="0"/>
    <x v="7"/>
    <x v="4"/>
    <x v="1"/>
    <n v="29838"/>
  </r>
  <r>
    <n v="29021"/>
    <x v="26"/>
    <x v="2"/>
    <x v="8"/>
    <x v="8"/>
    <x v="0"/>
    <x v="7"/>
    <x v="4"/>
    <x v="1"/>
    <n v="29839"/>
  </r>
  <r>
    <n v="29022"/>
    <x v="26"/>
    <x v="2"/>
    <x v="9"/>
    <x v="9"/>
    <x v="0"/>
    <x v="7"/>
    <x v="4"/>
    <x v="1"/>
    <n v="29840"/>
  </r>
  <r>
    <n v="29023"/>
    <x v="26"/>
    <x v="2"/>
    <x v="10"/>
    <x v="10"/>
    <x v="0"/>
    <x v="7"/>
    <x v="4"/>
    <x v="1"/>
    <n v="29841"/>
  </r>
  <r>
    <n v="29024"/>
    <x v="26"/>
    <x v="2"/>
    <x v="6"/>
    <x v="6"/>
    <x v="0"/>
    <x v="7"/>
    <x v="4"/>
    <x v="1"/>
    <n v="29842"/>
  </r>
  <r>
    <n v="29025"/>
    <x v="26"/>
    <x v="1"/>
    <x v="1"/>
    <x v="1"/>
    <x v="2"/>
    <x v="7"/>
    <x v="4"/>
    <x v="1"/>
    <n v="29843"/>
  </r>
  <r>
    <n v="29026"/>
    <x v="26"/>
    <x v="2"/>
    <x v="2"/>
    <x v="2"/>
    <x v="2"/>
    <x v="7"/>
    <x v="4"/>
    <x v="1"/>
    <n v="29844"/>
  </r>
  <r>
    <n v="29027"/>
    <x v="27"/>
    <x v="2"/>
    <x v="0"/>
    <x v="3"/>
    <x v="3"/>
    <x v="7"/>
    <x v="4"/>
    <x v="1"/>
    <n v="29845"/>
  </r>
  <r>
    <n v="29028"/>
    <x v="27"/>
    <x v="2"/>
    <x v="0"/>
    <x v="0"/>
    <x v="0"/>
    <x v="7"/>
    <x v="4"/>
    <x v="1"/>
    <n v="29846"/>
  </r>
  <r>
    <n v="29029"/>
    <x v="27"/>
    <x v="2"/>
    <x v="3"/>
    <x v="0"/>
    <x v="0"/>
    <x v="7"/>
    <x v="4"/>
    <x v="1"/>
    <n v="29847"/>
  </r>
  <r>
    <n v="29030"/>
    <x v="27"/>
    <x v="1"/>
    <x v="1"/>
    <x v="1"/>
    <x v="1"/>
    <x v="7"/>
    <x v="4"/>
    <x v="1"/>
    <n v="29848"/>
  </r>
  <r>
    <n v="29031"/>
    <x v="27"/>
    <x v="2"/>
    <x v="2"/>
    <x v="2"/>
    <x v="1"/>
    <x v="7"/>
    <x v="4"/>
    <x v="1"/>
    <n v="29849"/>
  </r>
  <r>
    <n v="29032"/>
    <x v="27"/>
    <x v="2"/>
    <x v="11"/>
    <x v="11"/>
    <x v="3"/>
    <x v="7"/>
    <x v="4"/>
    <x v="1"/>
    <n v="29850"/>
  </r>
  <r>
    <n v="29033"/>
    <x v="27"/>
    <x v="2"/>
    <x v="4"/>
    <x v="4"/>
    <x v="3"/>
    <x v="7"/>
    <x v="4"/>
    <x v="1"/>
    <n v="29851"/>
  </r>
  <r>
    <n v="29034"/>
    <x v="27"/>
    <x v="2"/>
    <x v="5"/>
    <x v="5"/>
    <x v="3"/>
    <x v="7"/>
    <x v="4"/>
    <x v="1"/>
    <n v="29852"/>
  </r>
  <r>
    <n v="29035"/>
    <x v="27"/>
    <x v="2"/>
    <x v="6"/>
    <x v="6"/>
    <x v="3"/>
    <x v="7"/>
    <x v="4"/>
    <x v="1"/>
    <n v="29853"/>
  </r>
  <r>
    <n v="29036"/>
    <x v="27"/>
    <x v="2"/>
    <x v="7"/>
    <x v="7"/>
    <x v="0"/>
    <x v="7"/>
    <x v="4"/>
    <x v="1"/>
    <n v="29854"/>
  </r>
  <r>
    <n v="29037"/>
    <x v="27"/>
    <x v="2"/>
    <x v="8"/>
    <x v="8"/>
    <x v="0"/>
    <x v="7"/>
    <x v="4"/>
    <x v="1"/>
    <n v="29855"/>
  </r>
  <r>
    <n v="29038"/>
    <x v="27"/>
    <x v="2"/>
    <x v="9"/>
    <x v="9"/>
    <x v="0"/>
    <x v="7"/>
    <x v="4"/>
    <x v="1"/>
    <n v="29856"/>
  </r>
  <r>
    <n v="29039"/>
    <x v="27"/>
    <x v="2"/>
    <x v="10"/>
    <x v="10"/>
    <x v="0"/>
    <x v="7"/>
    <x v="4"/>
    <x v="1"/>
    <n v="29857"/>
  </r>
  <r>
    <n v="29040"/>
    <x v="27"/>
    <x v="2"/>
    <x v="6"/>
    <x v="6"/>
    <x v="0"/>
    <x v="7"/>
    <x v="4"/>
    <x v="1"/>
    <n v="29858"/>
  </r>
  <r>
    <n v="29041"/>
    <x v="27"/>
    <x v="1"/>
    <x v="1"/>
    <x v="1"/>
    <x v="2"/>
    <x v="7"/>
    <x v="4"/>
    <x v="1"/>
    <n v="29859"/>
  </r>
  <r>
    <n v="29042"/>
    <x v="27"/>
    <x v="2"/>
    <x v="2"/>
    <x v="2"/>
    <x v="2"/>
    <x v="7"/>
    <x v="4"/>
    <x v="1"/>
    <n v="29860"/>
  </r>
  <r>
    <n v="29043"/>
    <x v="28"/>
    <x v="2"/>
    <x v="0"/>
    <x v="3"/>
    <x v="3"/>
    <x v="7"/>
    <x v="4"/>
    <x v="1"/>
    <n v="29861"/>
  </r>
  <r>
    <n v="29044"/>
    <x v="28"/>
    <x v="2"/>
    <x v="0"/>
    <x v="0"/>
    <x v="0"/>
    <x v="7"/>
    <x v="4"/>
    <x v="1"/>
    <n v="29862"/>
  </r>
  <r>
    <n v="29045"/>
    <x v="28"/>
    <x v="2"/>
    <x v="3"/>
    <x v="0"/>
    <x v="0"/>
    <x v="7"/>
    <x v="4"/>
    <x v="1"/>
    <n v="29863"/>
  </r>
  <r>
    <n v="29046"/>
    <x v="28"/>
    <x v="1"/>
    <x v="1"/>
    <x v="1"/>
    <x v="1"/>
    <x v="7"/>
    <x v="4"/>
    <x v="1"/>
    <n v="29864"/>
  </r>
  <r>
    <n v="29047"/>
    <x v="28"/>
    <x v="2"/>
    <x v="2"/>
    <x v="2"/>
    <x v="1"/>
    <x v="7"/>
    <x v="4"/>
    <x v="1"/>
    <n v="29865"/>
  </r>
  <r>
    <n v="29048"/>
    <x v="28"/>
    <x v="2"/>
    <x v="11"/>
    <x v="11"/>
    <x v="3"/>
    <x v="7"/>
    <x v="4"/>
    <x v="1"/>
    <n v="29866"/>
  </r>
  <r>
    <n v="29049"/>
    <x v="28"/>
    <x v="2"/>
    <x v="4"/>
    <x v="4"/>
    <x v="3"/>
    <x v="7"/>
    <x v="4"/>
    <x v="1"/>
    <n v="29867"/>
  </r>
  <r>
    <n v="29050"/>
    <x v="28"/>
    <x v="2"/>
    <x v="5"/>
    <x v="5"/>
    <x v="3"/>
    <x v="7"/>
    <x v="4"/>
    <x v="1"/>
    <n v="29868"/>
  </r>
  <r>
    <n v="29051"/>
    <x v="28"/>
    <x v="2"/>
    <x v="6"/>
    <x v="6"/>
    <x v="3"/>
    <x v="7"/>
    <x v="4"/>
    <x v="1"/>
    <n v="29869"/>
  </r>
  <r>
    <n v="29052"/>
    <x v="28"/>
    <x v="2"/>
    <x v="7"/>
    <x v="7"/>
    <x v="0"/>
    <x v="7"/>
    <x v="4"/>
    <x v="1"/>
    <n v="29870"/>
  </r>
  <r>
    <n v="29053"/>
    <x v="28"/>
    <x v="2"/>
    <x v="8"/>
    <x v="8"/>
    <x v="0"/>
    <x v="7"/>
    <x v="4"/>
    <x v="1"/>
    <n v="29871"/>
  </r>
  <r>
    <n v="29054"/>
    <x v="28"/>
    <x v="2"/>
    <x v="9"/>
    <x v="9"/>
    <x v="0"/>
    <x v="7"/>
    <x v="4"/>
    <x v="1"/>
    <n v="29872"/>
  </r>
  <r>
    <n v="29055"/>
    <x v="28"/>
    <x v="2"/>
    <x v="10"/>
    <x v="10"/>
    <x v="0"/>
    <x v="7"/>
    <x v="4"/>
    <x v="1"/>
    <n v="29873"/>
  </r>
  <r>
    <n v="29056"/>
    <x v="28"/>
    <x v="2"/>
    <x v="6"/>
    <x v="6"/>
    <x v="0"/>
    <x v="7"/>
    <x v="4"/>
    <x v="1"/>
    <n v="29874"/>
  </r>
  <r>
    <n v="29057"/>
    <x v="28"/>
    <x v="1"/>
    <x v="1"/>
    <x v="1"/>
    <x v="2"/>
    <x v="7"/>
    <x v="4"/>
    <x v="1"/>
    <n v="29875"/>
  </r>
  <r>
    <n v="29058"/>
    <x v="28"/>
    <x v="2"/>
    <x v="2"/>
    <x v="2"/>
    <x v="2"/>
    <x v="7"/>
    <x v="4"/>
    <x v="1"/>
    <n v="29876"/>
  </r>
  <r>
    <n v="29059"/>
    <x v="29"/>
    <x v="2"/>
    <x v="0"/>
    <x v="3"/>
    <x v="3"/>
    <x v="8"/>
    <x v="5"/>
    <x v="1"/>
    <n v="29877"/>
  </r>
  <r>
    <n v="29060"/>
    <x v="29"/>
    <x v="2"/>
    <x v="0"/>
    <x v="0"/>
    <x v="0"/>
    <x v="8"/>
    <x v="5"/>
    <x v="1"/>
    <n v="29878"/>
  </r>
  <r>
    <n v="29061"/>
    <x v="29"/>
    <x v="2"/>
    <x v="3"/>
    <x v="0"/>
    <x v="0"/>
    <x v="8"/>
    <x v="5"/>
    <x v="1"/>
    <n v="29879"/>
  </r>
  <r>
    <n v="29062"/>
    <x v="29"/>
    <x v="1"/>
    <x v="1"/>
    <x v="1"/>
    <x v="1"/>
    <x v="8"/>
    <x v="5"/>
    <x v="1"/>
    <n v="29880"/>
  </r>
  <r>
    <n v="29063"/>
    <x v="29"/>
    <x v="2"/>
    <x v="2"/>
    <x v="2"/>
    <x v="1"/>
    <x v="8"/>
    <x v="5"/>
    <x v="1"/>
    <n v="29881"/>
  </r>
  <r>
    <n v="29064"/>
    <x v="29"/>
    <x v="2"/>
    <x v="11"/>
    <x v="11"/>
    <x v="3"/>
    <x v="8"/>
    <x v="5"/>
    <x v="1"/>
    <n v="29882"/>
  </r>
  <r>
    <n v="29065"/>
    <x v="29"/>
    <x v="2"/>
    <x v="4"/>
    <x v="4"/>
    <x v="3"/>
    <x v="8"/>
    <x v="5"/>
    <x v="1"/>
    <n v="29883"/>
  </r>
  <r>
    <n v="29066"/>
    <x v="29"/>
    <x v="2"/>
    <x v="5"/>
    <x v="5"/>
    <x v="3"/>
    <x v="8"/>
    <x v="5"/>
    <x v="1"/>
    <n v="29884"/>
  </r>
  <r>
    <n v="29067"/>
    <x v="29"/>
    <x v="2"/>
    <x v="6"/>
    <x v="6"/>
    <x v="3"/>
    <x v="8"/>
    <x v="5"/>
    <x v="1"/>
    <n v="29885"/>
  </r>
  <r>
    <n v="29068"/>
    <x v="29"/>
    <x v="2"/>
    <x v="7"/>
    <x v="7"/>
    <x v="0"/>
    <x v="8"/>
    <x v="5"/>
    <x v="1"/>
    <n v="29886"/>
  </r>
  <r>
    <n v="29069"/>
    <x v="29"/>
    <x v="2"/>
    <x v="8"/>
    <x v="8"/>
    <x v="0"/>
    <x v="8"/>
    <x v="5"/>
    <x v="1"/>
    <n v="29887"/>
  </r>
  <r>
    <n v="29070"/>
    <x v="29"/>
    <x v="2"/>
    <x v="9"/>
    <x v="9"/>
    <x v="0"/>
    <x v="8"/>
    <x v="5"/>
    <x v="1"/>
    <n v="29888"/>
  </r>
  <r>
    <n v="29071"/>
    <x v="29"/>
    <x v="2"/>
    <x v="10"/>
    <x v="10"/>
    <x v="0"/>
    <x v="8"/>
    <x v="5"/>
    <x v="1"/>
    <n v="29889"/>
  </r>
  <r>
    <n v="29072"/>
    <x v="29"/>
    <x v="2"/>
    <x v="6"/>
    <x v="6"/>
    <x v="0"/>
    <x v="8"/>
    <x v="5"/>
    <x v="1"/>
    <n v="29890"/>
  </r>
  <r>
    <n v="29073"/>
    <x v="29"/>
    <x v="1"/>
    <x v="1"/>
    <x v="1"/>
    <x v="2"/>
    <x v="8"/>
    <x v="5"/>
    <x v="1"/>
    <n v="29891"/>
  </r>
  <r>
    <n v="29074"/>
    <x v="29"/>
    <x v="2"/>
    <x v="2"/>
    <x v="2"/>
    <x v="2"/>
    <x v="8"/>
    <x v="5"/>
    <x v="1"/>
    <n v="29892"/>
  </r>
  <r>
    <n v="29075"/>
    <x v="30"/>
    <x v="2"/>
    <x v="0"/>
    <x v="3"/>
    <x v="3"/>
    <x v="8"/>
    <x v="5"/>
    <x v="1"/>
    <n v="29893"/>
  </r>
  <r>
    <n v="29076"/>
    <x v="30"/>
    <x v="2"/>
    <x v="0"/>
    <x v="0"/>
    <x v="0"/>
    <x v="8"/>
    <x v="5"/>
    <x v="1"/>
    <n v="29894"/>
  </r>
  <r>
    <n v="29077"/>
    <x v="30"/>
    <x v="2"/>
    <x v="3"/>
    <x v="0"/>
    <x v="0"/>
    <x v="8"/>
    <x v="5"/>
    <x v="1"/>
    <n v="29895"/>
  </r>
  <r>
    <n v="29078"/>
    <x v="30"/>
    <x v="1"/>
    <x v="1"/>
    <x v="1"/>
    <x v="1"/>
    <x v="8"/>
    <x v="5"/>
    <x v="1"/>
    <n v="29896"/>
  </r>
  <r>
    <n v="29079"/>
    <x v="30"/>
    <x v="2"/>
    <x v="2"/>
    <x v="2"/>
    <x v="1"/>
    <x v="8"/>
    <x v="5"/>
    <x v="1"/>
    <n v="29897"/>
  </r>
  <r>
    <n v="29080"/>
    <x v="30"/>
    <x v="2"/>
    <x v="11"/>
    <x v="11"/>
    <x v="3"/>
    <x v="8"/>
    <x v="5"/>
    <x v="1"/>
    <n v="29898"/>
  </r>
  <r>
    <n v="29081"/>
    <x v="30"/>
    <x v="2"/>
    <x v="4"/>
    <x v="4"/>
    <x v="3"/>
    <x v="8"/>
    <x v="5"/>
    <x v="1"/>
    <n v="29899"/>
  </r>
  <r>
    <n v="29082"/>
    <x v="30"/>
    <x v="2"/>
    <x v="5"/>
    <x v="5"/>
    <x v="3"/>
    <x v="8"/>
    <x v="5"/>
    <x v="1"/>
    <n v="29900"/>
  </r>
  <r>
    <n v="29083"/>
    <x v="30"/>
    <x v="2"/>
    <x v="6"/>
    <x v="6"/>
    <x v="3"/>
    <x v="8"/>
    <x v="5"/>
    <x v="1"/>
    <n v="29901"/>
  </r>
  <r>
    <n v="29084"/>
    <x v="30"/>
    <x v="2"/>
    <x v="7"/>
    <x v="7"/>
    <x v="0"/>
    <x v="8"/>
    <x v="5"/>
    <x v="1"/>
    <n v="29902"/>
  </r>
  <r>
    <n v="29085"/>
    <x v="30"/>
    <x v="2"/>
    <x v="8"/>
    <x v="8"/>
    <x v="0"/>
    <x v="8"/>
    <x v="5"/>
    <x v="1"/>
    <n v="29903"/>
  </r>
  <r>
    <n v="29086"/>
    <x v="30"/>
    <x v="2"/>
    <x v="9"/>
    <x v="9"/>
    <x v="0"/>
    <x v="8"/>
    <x v="5"/>
    <x v="1"/>
    <n v="29904"/>
  </r>
  <r>
    <n v="29087"/>
    <x v="30"/>
    <x v="2"/>
    <x v="10"/>
    <x v="10"/>
    <x v="0"/>
    <x v="8"/>
    <x v="5"/>
    <x v="1"/>
    <n v="29905"/>
  </r>
  <r>
    <n v="29088"/>
    <x v="30"/>
    <x v="2"/>
    <x v="6"/>
    <x v="6"/>
    <x v="0"/>
    <x v="8"/>
    <x v="5"/>
    <x v="1"/>
    <n v="29906"/>
  </r>
  <r>
    <n v="29089"/>
    <x v="30"/>
    <x v="1"/>
    <x v="1"/>
    <x v="1"/>
    <x v="2"/>
    <x v="8"/>
    <x v="5"/>
    <x v="1"/>
    <n v="29907"/>
  </r>
  <r>
    <n v="29090"/>
    <x v="30"/>
    <x v="2"/>
    <x v="2"/>
    <x v="2"/>
    <x v="2"/>
    <x v="8"/>
    <x v="5"/>
    <x v="1"/>
    <n v="29908"/>
  </r>
  <r>
    <n v="29091"/>
    <x v="31"/>
    <x v="2"/>
    <x v="0"/>
    <x v="3"/>
    <x v="3"/>
    <x v="8"/>
    <x v="5"/>
    <x v="1"/>
    <n v="29909"/>
  </r>
  <r>
    <n v="29092"/>
    <x v="31"/>
    <x v="2"/>
    <x v="0"/>
    <x v="0"/>
    <x v="0"/>
    <x v="8"/>
    <x v="5"/>
    <x v="1"/>
    <n v="29910"/>
  </r>
  <r>
    <n v="29093"/>
    <x v="31"/>
    <x v="2"/>
    <x v="3"/>
    <x v="0"/>
    <x v="0"/>
    <x v="8"/>
    <x v="5"/>
    <x v="1"/>
    <n v="29911"/>
  </r>
  <r>
    <n v="29094"/>
    <x v="31"/>
    <x v="1"/>
    <x v="1"/>
    <x v="1"/>
    <x v="1"/>
    <x v="8"/>
    <x v="5"/>
    <x v="1"/>
    <n v="29912"/>
  </r>
  <r>
    <n v="29095"/>
    <x v="31"/>
    <x v="2"/>
    <x v="2"/>
    <x v="2"/>
    <x v="1"/>
    <x v="8"/>
    <x v="5"/>
    <x v="1"/>
    <n v="29913"/>
  </r>
  <r>
    <n v="29096"/>
    <x v="31"/>
    <x v="2"/>
    <x v="11"/>
    <x v="11"/>
    <x v="3"/>
    <x v="8"/>
    <x v="5"/>
    <x v="1"/>
    <n v="29914"/>
  </r>
  <r>
    <n v="29097"/>
    <x v="31"/>
    <x v="2"/>
    <x v="4"/>
    <x v="4"/>
    <x v="3"/>
    <x v="8"/>
    <x v="5"/>
    <x v="1"/>
    <n v="29915"/>
  </r>
  <r>
    <n v="29098"/>
    <x v="31"/>
    <x v="2"/>
    <x v="5"/>
    <x v="5"/>
    <x v="3"/>
    <x v="8"/>
    <x v="5"/>
    <x v="1"/>
    <n v="29916"/>
  </r>
  <r>
    <n v="29099"/>
    <x v="31"/>
    <x v="2"/>
    <x v="6"/>
    <x v="6"/>
    <x v="3"/>
    <x v="8"/>
    <x v="5"/>
    <x v="1"/>
    <n v="29917"/>
  </r>
  <r>
    <n v="29100"/>
    <x v="31"/>
    <x v="2"/>
    <x v="7"/>
    <x v="7"/>
    <x v="0"/>
    <x v="8"/>
    <x v="5"/>
    <x v="1"/>
    <n v="29918"/>
  </r>
  <r>
    <n v="29101"/>
    <x v="31"/>
    <x v="2"/>
    <x v="8"/>
    <x v="8"/>
    <x v="0"/>
    <x v="8"/>
    <x v="5"/>
    <x v="1"/>
    <n v="29919"/>
  </r>
  <r>
    <n v="29102"/>
    <x v="31"/>
    <x v="2"/>
    <x v="9"/>
    <x v="9"/>
    <x v="0"/>
    <x v="8"/>
    <x v="5"/>
    <x v="1"/>
    <n v="29920"/>
  </r>
  <r>
    <n v="29103"/>
    <x v="31"/>
    <x v="2"/>
    <x v="10"/>
    <x v="10"/>
    <x v="0"/>
    <x v="8"/>
    <x v="5"/>
    <x v="1"/>
    <n v="29921"/>
  </r>
  <r>
    <n v="29104"/>
    <x v="31"/>
    <x v="2"/>
    <x v="6"/>
    <x v="6"/>
    <x v="0"/>
    <x v="8"/>
    <x v="5"/>
    <x v="1"/>
    <n v="29922"/>
  </r>
  <r>
    <n v="29105"/>
    <x v="31"/>
    <x v="1"/>
    <x v="1"/>
    <x v="1"/>
    <x v="2"/>
    <x v="8"/>
    <x v="5"/>
    <x v="1"/>
    <n v="29923"/>
  </r>
  <r>
    <n v="29106"/>
    <x v="31"/>
    <x v="2"/>
    <x v="2"/>
    <x v="2"/>
    <x v="2"/>
    <x v="8"/>
    <x v="5"/>
    <x v="1"/>
    <n v="29924"/>
  </r>
  <r>
    <n v="29107"/>
    <x v="32"/>
    <x v="2"/>
    <x v="0"/>
    <x v="3"/>
    <x v="3"/>
    <x v="8"/>
    <x v="5"/>
    <x v="1"/>
    <n v="29925"/>
  </r>
  <r>
    <n v="29108"/>
    <x v="32"/>
    <x v="2"/>
    <x v="0"/>
    <x v="0"/>
    <x v="0"/>
    <x v="8"/>
    <x v="5"/>
    <x v="1"/>
    <n v="29926"/>
  </r>
  <r>
    <n v="29109"/>
    <x v="32"/>
    <x v="2"/>
    <x v="3"/>
    <x v="0"/>
    <x v="0"/>
    <x v="8"/>
    <x v="5"/>
    <x v="1"/>
    <n v="29927"/>
  </r>
  <r>
    <n v="29110"/>
    <x v="32"/>
    <x v="1"/>
    <x v="1"/>
    <x v="1"/>
    <x v="1"/>
    <x v="8"/>
    <x v="5"/>
    <x v="1"/>
    <n v="29928"/>
  </r>
  <r>
    <n v="29111"/>
    <x v="32"/>
    <x v="2"/>
    <x v="2"/>
    <x v="2"/>
    <x v="1"/>
    <x v="8"/>
    <x v="5"/>
    <x v="1"/>
    <n v="29929"/>
  </r>
  <r>
    <n v="29112"/>
    <x v="32"/>
    <x v="2"/>
    <x v="11"/>
    <x v="11"/>
    <x v="3"/>
    <x v="8"/>
    <x v="5"/>
    <x v="1"/>
    <n v="29930"/>
  </r>
  <r>
    <n v="29113"/>
    <x v="32"/>
    <x v="2"/>
    <x v="4"/>
    <x v="4"/>
    <x v="3"/>
    <x v="8"/>
    <x v="5"/>
    <x v="1"/>
    <n v="29931"/>
  </r>
  <r>
    <n v="29114"/>
    <x v="32"/>
    <x v="2"/>
    <x v="5"/>
    <x v="5"/>
    <x v="3"/>
    <x v="8"/>
    <x v="5"/>
    <x v="1"/>
    <n v="29932"/>
  </r>
  <r>
    <n v="29115"/>
    <x v="32"/>
    <x v="2"/>
    <x v="6"/>
    <x v="6"/>
    <x v="3"/>
    <x v="8"/>
    <x v="5"/>
    <x v="1"/>
    <n v="29933"/>
  </r>
  <r>
    <n v="29116"/>
    <x v="32"/>
    <x v="2"/>
    <x v="7"/>
    <x v="7"/>
    <x v="0"/>
    <x v="8"/>
    <x v="5"/>
    <x v="1"/>
    <n v="29934"/>
  </r>
  <r>
    <n v="29117"/>
    <x v="32"/>
    <x v="2"/>
    <x v="8"/>
    <x v="8"/>
    <x v="0"/>
    <x v="8"/>
    <x v="5"/>
    <x v="1"/>
    <n v="29935"/>
  </r>
  <r>
    <n v="29118"/>
    <x v="32"/>
    <x v="2"/>
    <x v="9"/>
    <x v="9"/>
    <x v="0"/>
    <x v="8"/>
    <x v="5"/>
    <x v="1"/>
    <n v="29936"/>
  </r>
  <r>
    <n v="29119"/>
    <x v="32"/>
    <x v="2"/>
    <x v="10"/>
    <x v="10"/>
    <x v="0"/>
    <x v="8"/>
    <x v="5"/>
    <x v="1"/>
    <n v="29937"/>
  </r>
  <r>
    <n v="29120"/>
    <x v="32"/>
    <x v="2"/>
    <x v="6"/>
    <x v="6"/>
    <x v="0"/>
    <x v="8"/>
    <x v="5"/>
    <x v="1"/>
    <n v="29938"/>
  </r>
  <r>
    <n v="29121"/>
    <x v="32"/>
    <x v="1"/>
    <x v="1"/>
    <x v="1"/>
    <x v="2"/>
    <x v="8"/>
    <x v="5"/>
    <x v="1"/>
    <n v="29939"/>
  </r>
  <r>
    <n v="29122"/>
    <x v="32"/>
    <x v="2"/>
    <x v="2"/>
    <x v="2"/>
    <x v="2"/>
    <x v="8"/>
    <x v="5"/>
    <x v="1"/>
    <n v="29940"/>
  </r>
  <r>
    <n v="29123"/>
    <x v="33"/>
    <x v="2"/>
    <x v="0"/>
    <x v="3"/>
    <x v="3"/>
    <x v="8"/>
    <x v="5"/>
    <x v="1"/>
    <n v="29941"/>
  </r>
  <r>
    <n v="29124"/>
    <x v="33"/>
    <x v="2"/>
    <x v="0"/>
    <x v="0"/>
    <x v="0"/>
    <x v="8"/>
    <x v="5"/>
    <x v="1"/>
    <n v="29942"/>
  </r>
  <r>
    <n v="29125"/>
    <x v="33"/>
    <x v="2"/>
    <x v="3"/>
    <x v="0"/>
    <x v="0"/>
    <x v="8"/>
    <x v="5"/>
    <x v="1"/>
    <n v="29943"/>
  </r>
  <r>
    <n v="29126"/>
    <x v="33"/>
    <x v="1"/>
    <x v="1"/>
    <x v="1"/>
    <x v="1"/>
    <x v="8"/>
    <x v="5"/>
    <x v="1"/>
    <n v="29944"/>
  </r>
  <r>
    <n v="29127"/>
    <x v="33"/>
    <x v="2"/>
    <x v="2"/>
    <x v="2"/>
    <x v="1"/>
    <x v="8"/>
    <x v="5"/>
    <x v="1"/>
    <n v="29945"/>
  </r>
  <r>
    <n v="29128"/>
    <x v="33"/>
    <x v="2"/>
    <x v="11"/>
    <x v="11"/>
    <x v="3"/>
    <x v="8"/>
    <x v="5"/>
    <x v="1"/>
    <n v="29946"/>
  </r>
  <r>
    <n v="29129"/>
    <x v="33"/>
    <x v="2"/>
    <x v="4"/>
    <x v="4"/>
    <x v="3"/>
    <x v="8"/>
    <x v="5"/>
    <x v="1"/>
    <n v="29947"/>
  </r>
  <r>
    <n v="29130"/>
    <x v="33"/>
    <x v="2"/>
    <x v="5"/>
    <x v="5"/>
    <x v="3"/>
    <x v="8"/>
    <x v="5"/>
    <x v="1"/>
    <n v="29948"/>
  </r>
  <r>
    <n v="29131"/>
    <x v="33"/>
    <x v="2"/>
    <x v="6"/>
    <x v="6"/>
    <x v="3"/>
    <x v="8"/>
    <x v="5"/>
    <x v="1"/>
    <n v="29949"/>
  </r>
  <r>
    <n v="29132"/>
    <x v="33"/>
    <x v="2"/>
    <x v="7"/>
    <x v="7"/>
    <x v="0"/>
    <x v="8"/>
    <x v="5"/>
    <x v="1"/>
    <n v="29950"/>
  </r>
  <r>
    <n v="29133"/>
    <x v="33"/>
    <x v="2"/>
    <x v="8"/>
    <x v="8"/>
    <x v="0"/>
    <x v="8"/>
    <x v="5"/>
    <x v="1"/>
    <n v="29951"/>
  </r>
  <r>
    <n v="29134"/>
    <x v="33"/>
    <x v="2"/>
    <x v="9"/>
    <x v="9"/>
    <x v="0"/>
    <x v="8"/>
    <x v="5"/>
    <x v="1"/>
    <n v="29952"/>
  </r>
  <r>
    <n v="29135"/>
    <x v="33"/>
    <x v="2"/>
    <x v="10"/>
    <x v="10"/>
    <x v="0"/>
    <x v="8"/>
    <x v="5"/>
    <x v="1"/>
    <n v="29953"/>
  </r>
  <r>
    <n v="29136"/>
    <x v="33"/>
    <x v="2"/>
    <x v="6"/>
    <x v="6"/>
    <x v="0"/>
    <x v="8"/>
    <x v="5"/>
    <x v="1"/>
    <n v="29954"/>
  </r>
  <r>
    <n v="29137"/>
    <x v="33"/>
    <x v="1"/>
    <x v="1"/>
    <x v="1"/>
    <x v="2"/>
    <x v="8"/>
    <x v="5"/>
    <x v="1"/>
    <n v="29955"/>
  </r>
  <r>
    <n v="29138"/>
    <x v="33"/>
    <x v="2"/>
    <x v="2"/>
    <x v="2"/>
    <x v="2"/>
    <x v="8"/>
    <x v="5"/>
    <x v="1"/>
    <n v="29956"/>
  </r>
  <r>
    <n v="29139"/>
    <x v="34"/>
    <x v="2"/>
    <x v="0"/>
    <x v="3"/>
    <x v="3"/>
    <x v="9"/>
    <x v="5"/>
    <x v="1"/>
    <n v="29957"/>
  </r>
  <r>
    <n v="29140"/>
    <x v="34"/>
    <x v="2"/>
    <x v="0"/>
    <x v="0"/>
    <x v="0"/>
    <x v="9"/>
    <x v="5"/>
    <x v="1"/>
    <n v="29958"/>
  </r>
  <r>
    <n v="29141"/>
    <x v="34"/>
    <x v="2"/>
    <x v="3"/>
    <x v="0"/>
    <x v="0"/>
    <x v="9"/>
    <x v="5"/>
    <x v="1"/>
    <n v="29959"/>
  </r>
  <r>
    <n v="29142"/>
    <x v="34"/>
    <x v="1"/>
    <x v="1"/>
    <x v="1"/>
    <x v="1"/>
    <x v="9"/>
    <x v="5"/>
    <x v="1"/>
    <n v="29960"/>
  </r>
  <r>
    <n v="29143"/>
    <x v="34"/>
    <x v="2"/>
    <x v="2"/>
    <x v="2"/>
    <x v="1"/>
    <x v="9"/>
    <x v="5"/>
    <x v="1"/>
    <n v="29961"/>
  </r>
  <r>
    <n v="29144"/>
    <x v="34"/>
    <x v="2"/>
    <x v="11"/>
    <x v="11"/>
    <x v="3"/>
    <x v="9"/>
    <x v="5"/>
    <x v="1"/>
    <n v="29962"/>
  </r>
  <r>
    <n v="29145"/>
    <x v="34"/>
    <x v="2"/>
    <x v="4"/>
    <x v="4"/>
    <x v="3"/>
    <x v="9"/>
    <x v="5"/>
    <x v="1"/>
    <n v="29963"/>
  </r>
  <r>
    <n v="29146"/>
    <x v="34"/>
    <x v="2"/>
    <x v="5"/>
    <x v="5"/>
    <x v="3"/>
    <x v="9"/>
    <x v="5"/>
    <x v="1"/>
    <n v="29964"/>
  </r>
  <r>
    <n v="29147"/>
    <x v="34"/>
    <x v="2"/>
    <x v="6"/>
    <x v="6"/>
    <x v="3"/>
    <x v="9"/>
    <x v="5"/>
    <x v="1"/>
    <n v="29965"/>
  </r>
  <r>
    <n v="29148"/>
    <x v="34"/>
    <x v="2"/>
    <x v="7"/>
    <x v="7"/>
    <x v="0"/>
    <x v="9"/>
    <x v="5"/>
    <x v="1"/>
    <n v="29966"/>
  </r>
  <r>
    <n v="29149"/>
    <x v="34"/>
    <x v="2"/>
    <x v="8"/>
    <x v="8"/>
    <x v="0"/>
    <x v="9"/>
    <x v="5"/>
    <x v="1"/>
    <n v="29967"/>
  </r>
  <r>
    <n v="29150"/>
    <x v="34"/>
    <x v="2"/>
    <x v="9"/>
    <x v="9"/>
    <x v="0"/>
    <x v="9"/>
    <x v="5"/>
    <x v="1"/>
    <n v="29968"/>
  </r>
  <r>
    <n v="29151"/>
    <x v="34"/>
    <x v="2"/>
    <x v="10"/>
    <x v="10"/>
    <x v="0"/>
    <x v="9"/>
    <x v="5"/>
    <x v="1"/>
    <n v="29969"/>
  </r>
  <r>
    <n v="29152"/>
    <x v="34"/>
    <x v="2"/>
    <x v="6"/>
    <x v="6"/>
    <x v="0"/>
    <x v="9"/>
    <x v="5"/>
    <x v="1"/>
    <n v="29970"/>
  </r>
  <r>
    <n v="29153"/>
    <x v="34"/>
    <x v="1"/>
    <x v="1"/>
    <x v="1"/>
    <x v="2"/>
    <x v="9"/>
    <x v="5"/>
    <x v="1"/>
    <n v="29971"/>
  </r>
  <r>
    <n v="29154"/>
    <x v="34"/>
    <x v="2"/>
    <x v="2"/>
    <x v="2"/>
    <x v="2"/>
    <x v="9"/>
    <x v="5"/>
    <x v="1"/>
    <n v="29972"/>
  </r>
  <r>
    <n v="29155"/>
    <x v="35"/>
    <x v="2"/>
    <x v="0"/>
    <x v="3"/>
    <x v="3"/>
    <x v="6"/>
    <x v="5"/>
    <x v="1"/>
    <n v="29973"/>
  </r>
  <r>
    <n v="29156"/>
    <x v="35"/>
    <x v="2"/>
    <x v="0"/>
    <x v="0"/>
    <x v="0"/>
    <x v="6"/>
    <x v="5"/>
    <x v="1"/>
    <n v="29974"/>
  </r>
  <r>
    <n v="29157"/>
    <x v="35"/>
    <x v="2"/>
    <x v="3"/>
    <x v="0"/>
    <x v="0"/>
    <x v="6"/>
    <x v="5"/>
    <x v="1"/>
    <n v="29975"/>
  </r>
  <r>
    <n v="29158"/>
    <x v="35"/>
    <x v="1"/>
    <x v="1"/>
    <x v="1"/>
    <x v="1"/>
    <x v="6"/>
    <x v="5"/>
    <x v="1"/>
    <n v="29976"/>
  </r>
  <r>
    <n v="29159"/>
    <x v="35"/>
    <x v="2"/>
    <x v="2"/>
    <x v="2"/>
    <x v="1"/>
    <x v="6"/>
    <x v="5"/>
    <x v="1"/>
    <n v="29977"/>
  </r>
  <r>
    <n v="29160"/>
    <x v="35"/>
    <x v="2"/>
    <x v="11"/>
    <x v="11"/>
    <x v="3"/>
    <x v="6"/>
    <x v="5"/>
    <x v="1"/>
    <n v="29978"/>
  </r>
  <r>
    <n v="29161"/>
    <x v="35"/>
    <x v="2"/>
    <x v="4"/>
    <x v="4"/>
    <x v="3"/>
    <x v="6"/>
    <x v="5"/>
    <x v="1"/>
    <n v="29979"/>
  </r>
  <r>
    <n v="29162"/>
    <x v="35"/>
    <x v="2"/>
    <x v="5"/>
    <x v="5"/>
    <x v="3"/>
    <x v="6"/>
    <x v="5"/>
    <x v="1"/>
    <n v="29980"/>
  </r>
  <r>
    <n v="29163"/>
    <x v="35"/>
    <x v="2"/>
    <x v="6"/>
    <x v="6"/>
    <x v="3"/>
    <x v="6"/>
    <x v="5"/>
    <x v="1"/>
    <n v="29981"/>
  </r>
  <r>
    <n v="29164"/>
    <x v="35"/>
    <x v="2"/>
    <x v="7"/>
    <x v="7"/>
    <x v="0"/>
    <x v="6"/>
    <x v="5"/>
    <x v="1"/>
    <n v="29982"/>
  </r>
  <r>
    <n v="29165"/>
    <x v="35"/>
    <x v="2"/>
    <x v="8"/>
    <x v="8"/>
    <x v="0"/>
    <x v="6"/>
    <x v="5"/>
    <x v="1"/>
    <n v="29983"/>
  </r>
  <r>
    <n v="29166"/>
    <x v="35"/>
    <x v="2"/>
    <x v="9"/>
    <x v="9"/>
    <x v="0"/>
    <x v="6"/>
    <x v="5"/>
    <x v="1"/>
    <n v="29984"/>
  </r>
  <r>
    <n v="29167"/>
    <x v="35"/>
    <x v="2"/>
    <x v="10"/>
    <x v="10"/>
    <x v="0"/>
    <x v="6"/>
    <x v="5"/>
    <x v="1"/>
    <n v="29985"/>
  </r>
  <r>
    <n v="29168"/>
    <x v="35"/>
    <x v="2"/>
    <x v="6"/>
    <x v="6"/>
    <x v="0"/>
    <x v="6"/>
    <x v="5"/>
    <x v="1"/>
    <n v="29986"/>
  </r>
  <r>
    <n v="29169"/>
    <x v="35"/>
    <x v="1"/>
    <x v="1"/>
    <x v="1"/>
    <x v="2"/>
    <x v="6"/>
    <x v="5"/>
    <x v="1"/>
    <n v="29987"/>
  </r>
  <r>
    <n v="29170"/>
    <x v="35"/>
    <x v="2"/>
    <x v="2"/>
    <x v="2"/>
    <x v="2"/>
    <x v="6"/>
    <x v="5"/>
    <x v="1"/>
    <n v="29988"/>
  </r>
  <r>
    <n v="29171"/>
    <x v="36"/>
    <x v="2"/>
    <x v="0"/>
    <x v="3"/>
    <x v="3"/>
    <x v="6"/>
    <x v="5"/>
    <x v="1"/>
    <n v="29989"/>
  </r>
  <r>
    <n v="29172"/>
    <x v="36"/>
    <x v="2"/>
    <x v="0"/>
    <x v="0"/>
    <x v="0"/>
    <x v="6"/>
    <x v="5"/>
    <x v="1"/>
    <n v="29990"/>
  </r>
  <r>
    <n v="29173"/>
    <x v="36"/>
    <x v="2"/>
    <x v="3"/>
    <x v="0"/>
    <x v="0"/>
    <x v="6"/>
    <x v="5"/>
    <x v="1"/>
    <n v="29991"/>
  </r>
  <r>
    <n v="29174"/>
    <x v="36"/>
    <x v="1"/>
    <x v="1"/>
    <x v="1"/>
    <x v="1"/>
    <x v="6"/>
    <x v="5"/>
    <x v="1"/>
    <n v="29992"/>
  </r>
  <r>
    <n v="29175"/>
    <x v="36"/>
    <x v="2"/>
    <x v="2"/>
    <x v="2"/>
    <x v="1"/>
    <x v="6"/>
    <x v="5"/>
    <x v="1"/>
    <n v="29993"/>
  </r>
  <r>
    <n v="29176"/>
    <x v="36"/>
    <x v="2"/>
    <x v="11"/>
    <x v="11"/>
    <x v="3"/>
    <x v="6"/>
    <x v="5"/>
    <x v="1"/>
    <n v="29994"/>
  </r>
  <r>
    <n v="29177"/>
    <x v="36"/>
    <x v="2"/>
    <x v="4"/>
    <x v="4"/>
    <x v="3"/>
    <x v="6"/>
    <x v="5"/>
    <x v="1"/>
    <n v="29995"/>
  </r>
  <r>
    <n v="29178"/>
    <x v="36"/>
    <x v="2"/>
    <x v="5"/>
    <x v="5"/>
    <x v="3"/>
    <x v="6"/>
    <x v="5"/>
    <x v="1"/>
    <n v="29996"/>
  </r>
  <r>
    <n v="29179"/>
    <x v="36"/>
    <x v="2"/>
    <x v="6"/>
    <x v="6"/>
    <x v="3"/>
    <x v="6"/>
    <x v="5"/>
    <x v="1"/>
    <n v="29997"/>
  </r>
  <r>
    <n v="29180"/>
    <x v="36"/>
    <x v="2"/>
    <x v="7"/>
    <x v="7"/>
    <x v="0"/>
    <x v="6"/>
    <x v="5"/>
    <x v="1"/>
    <n v="29998"/>
  </r>
  <r>
    <n v="29181"/>
    <x v="36"/>
    <x v="2"/>
    <x v="8"/>
    <x v="8"/>
    <x v="0"/>
    <x v="6"/>
    <x v="5"/>
    <x v="1"/>
    <n v="29999"/>
  </r>
  <r>
    <n v="29182"/>
    <x v="36"/>
    <x v="2"/>
    <x v="9"/>
    <x v="9"/>
    <x v="0"/>
    <x v="6"/>
    <x v="5"/>
    <x v="1"/>
    <n v="30000"/>
  </r>
  <r>
    <n v="29183"/>
    <x v="36"/>
    <x v="2"/>
    <x v="10"/>
    <x v="10"/>
    <x v="0"/>
    <x v="6"/>
    <x v="5"/>
    <x v="1"/>
    <n v="30001"/>
  </r>
  <r>
    <n v="29184"/>
    <x v="36"/>
    <x v="2"/>
    <x v="6"/>
    <x v="6"/>
    <x v="0"/>
    <x v="6"/>
    <x v="5"/>
    <x v="1"/>
    <n v="30002"/>
  </r>
  <r>
    <n v="29185"/>
    <x v="36"/>
    <x v="1"/>
    <x v="1"/>
    <x v="1"/>
    <x v="2"/>
    <x v="6"/>
    <x v="5"/>
    <x v="1"/>
    <n v="30003"/>
  </r>
  <r>
    <n v="29186"/>
    <x v="36"/>
    <x v="2"/>
    <x v="2"/>
    <x v="2"/>
    <x v="2"/>
    <x v="6"/>
    <x v="5"/>
    <x v="1"/>
    <n v="30004"/>
  </r>
  <r>
    <n v="29187"/>
    <x v="37"/>
    <x v="2"/>
    <x v="0"/>
    <x v="3"/>
    <x v="3"/>
    <x v="6"/>
    <x v="5"/>
    <x v="1"/>
    <n v="30005"/>
  </r>
  <r>
    <n v="29188"/>
    <x v="37"/>
    <x v="2"/>
    <x v="0"/>
    <x v="0"/>
    <x v="0"/>
    <x v="6"/>
    <x v="5"/>
    <x v="1"/>
    <n v="30006"/>
  </r>
  <r>
    <n v="29189"/>
    <x v="37"/>
    <x v="2"/>
    <x v="3"/>
    <x v="0"/>
    <x v="0"/>
    <x v="6"/>
    <x v="5"/>
    <x v="1"/>
    <n v="30007"/>
  </r>
  <r>
    <n v="29190"/>
    <x v="37"/>
    <x v="1"/>
    <x v="1"/>
    <x v="1"/>
    <x v="1"/>
    <x v="6"/>
    <x v="5"/>
    <x v="1"/>
    <n v="30008"/>
  </r>
  <r>
    <n v="29191"/>
    <x v="37"/>
    <x v="2"/>
    <x v="2"/>
    <x v="2"/>
    <x v="1"/>
    <x v="6"/>
    <x v="5"/>
    <x v="1"/>
    <n v="30009"/>
  </r>
  <r>
    <n v="29192"/>
    <x v="37"/>
    <x v="2"/>
    <x v="11"/>
    <x v="11"/>
    <x v="3"/>
    <x v="6"/>
    <x v="5"/>
    <x v="1"/>
    <n v="30010"/>
  </r>
  <r>
    <n v="29193"/>
    <x v="37"/>
    <x v="2"/>
    <x v="4"/>
    <x v="4"/>
    <x v="3"/>
    <x v="6"/>
    <x v="5"/>
    <x v="1"/>
    <n v="30011"/>
  </r>
  <r>
    <n v="29194"/>
    <x v="37"/>
    <x v="2"/>
    <x v="5"/>
    <x v="5"/>
    <x v="3"/>
    <x v="6"/>
    <x v="5"/>
    <x v="1"/>
    <n v="30012"/>
  </r>
  <r>
    <n v="29195"/>
    <x v="37"/>
    <x v="2"/>
    <x v="6"/>
    <x v="6"/>
    <x v="3"/>
    <x v="6"/>
    <x v="5"/>
    <x v="1"/>
    <n v="30013"/>
  </r>
  <r>
    <n v="29196"/>
    <x v="37"/>
    <x v="2"/>
    <x v="7"/>
    <x v="7"/>
    <x v="0"/>
    <x v="6"/>
    <x v="5"/>
    <x v="1"/>
    <n v="30014"/>
  </r>
  <r>
    <n v="29197"/>
    <x v="37"/>
    <x v="2"/>
    <x v="8"/>
    <x v="8"/>
    <x v="0"/>
    <x v="6"/>
    <x v="5"/>
    <x v="1"/>
    <n v="30015"/>
  </r>
  <r>
    <n v="29198"/>
    <x v="37"/>
    <x v="2"/>
    <x v="9"/>
    <x v="9"/>
    <x v="0"/>
    <x v="6"/>
    <x v="5"/>
    <x v="1"/>
    <n v="30016"/>
  </r>
  <r>
    <n v="29199"/>
    <x v="37"/>
    <x v="2"/>
    <x v="10"/>
    <x v="10"/>
    <x v="0"/>
    <x v="6"/>
    <x v="5"/>
    <x v="1"/>
    <n v="30017"/>
  </r>
  <r>
    <n v="29200"/>
    <x v="37"/>
    <x v="2"/>
    <x v="6"/>
    <x v="6"/>
    <x v="0"/>
    <x v="6"/>
    <x v="5"/>
    <x v="1"/>
    <n v="30018"/>
  </r>
  <r>
    <n v="29201"/>
    <x v="37"/>
    <x v="1"/>
    <x v="1"/>
    <x v="1"/>
    <x v="2"/>
    <x v="6"/>
    <x v="5"/>
    <x v="1"/>
    <n v="30019"/>
  </r>
  <r>
    <n v="29202"/>
    <x v="37"/>
    <x v="2"/>
    <x v="2"/>
    <x v="2"/>
    <x v="2"/>
    <x v="6"/>
    <x v="5"/>
    <x v="1"/>
    <n v="30020"/>
  </r>
  <r>
    <n v="29203"/>
    <x v="38"/>
    <x v="2"/>
    <x v="0"/>
    <x v="3"/>
    <x v="3"/>
    <x v="6"/>
    <x v="5"/>
    <x v="1"/>
    <n v="30021"/>
  </r>
  <r>
    <n v="29204"/>
    <x v="38"/>
    <x v="2"/>
    <x v="0"/>
    <x v="0"/>
    <x v="0"/>
    <x v="6"/>
    <x v="5"/>
    <x v="1"/>
    <n v="30022"/>
  </r>
  <r>
    <n v="29205"/>
    <x v="38"/>
    <x v="2"/>
    <x v="3"/>
    <x v="0"/>
    <x v="0"/>
    <x v="6"/>
    <x v="5"/>
    <x v="1"/>
    <n v="30023"/>
  </r>
  <r>
    <n v="29206"/>
    <x v="38"/>
    <x v="1"/>
    <x v="1"/>
    <x v="1"/>
    <x v="1"/>
    <x v="6"/>
    <x v="5"/>
    <x v="1"/>
    <n v="30024"/>
  </r>
  <r>
    <n v="29207"/>
    <x v="38"/>
    <x v="2"/>
    <x v="2"/>
    <x v="2"/>
    <x v="1"/>
    <x v="6"/>
    <x v="5"/>
    <x v="1"/>
    <n v="30025"/>
  </r>
  <r>
    <n v="29208"/>
    <x v="38"/>
    <x v="2"/>
    <x v="11"/>
    <x v="11"/>
    <x v="3"/>
    <x v="6"/>
    <x v="5"/>
    <x v="1"/>
    <n v="30026"/>
  </r>
  <r>
    <n v="29209"/>
    <x v="38"/>
    <x v="2"/>
    <x v="4"/>
    <x v="4"/>
    <x v="3"/>
    <x v="6"/>
    <x v="5"/>
    <x v="1"/>
    <n v="30027"/>
  </r>
  <r>
    <n v="29210"/>
    <x v="38"/>
    <x v="2"/>
    <x v="5"/>
    <x v="5"/>
    <x v="3"/>
    <x v="6"/>
    <x v="5"/>
    <x v="1"/>
    <n v="30028"/>
  </r>
  <r>
    <n v="29211"/>
    <x v="38"/>
    <x v="2"/>
    <x v="6"/>
    <x v="6"/>
    <x v="3"/>
    <x v="6"/>
    <x v="5"/>
    <x v="1"/>
    <n v="30029"/>
  </r>
  <r>
    <n v="29212"/>
    <x v="38"/>
    <x v="2"/>
    <x v="7"/>
    <x v="7"/>
    <x v="0"/>
    <x v="6"/>
    <x v="5"/>
    <x v="1"/>
    <n v="30030"/>
  </r>
  <r>
    <n v="29213"/>
    <x v="38"/>
    <x v="2"/>
    <x v="8"/>
    <x v="8"/>
    <x v="0"/>
    <x v="6"/>
    <x v="5"/>
    <x v="1"/>
    <n v="30031"/>
  </r>
  <r>
    <n v="29214"/>
    <x v="38"/>
    <x v="2"/>
    <x v="9"/>
    <x v="9"/>
    <x v="0"/>
    <x v="6"/>
    <x v="5"/>
    <x v="1"/>
    <n v="30032"/>
  </r>
  <r>
    <n v="29215"/>
    <x v="38"/>
    <x v="2"/>
    <x v="10"/>
    <x v="10"/>
    <x v="0"/>
    <x v="6"/>
    <x v="5"/>
    <x v="1"/>
    <n v="30033"/>
  </r>
  <r>
    <n v="29216"/>
    <x v="38"/>
    <x v="2"/>
    <x v="6"/>
    <x v="6"/>
    <x v="0"/>
    <x v="6"/>
    <x v="5"/>
    <x v="1"/>
    <n v="30034"/>
  </r>
  <r>
    <n v="29217"/>
    <x v="38"/>
    <x v="1"/>
    <x v="1"/>
    <x v="1"/>
    <x v="2"/>
    <x v="6"/>
    <x v="5"/>
    <x v="1"/>
    <n v="30035"/>
  </r>
  <r>
    <n v="29218"/>
    <x v="38"/>
    <x v="2"/>
    <x v="2"/>
    <x v="2"/>
    <x v="2"/>
    <x v="6"/>
    <x v="5"/>
    <x v="1"/>
    <n v="30036"/>
  </r>
  <r>
    <n v="29219"/>
    <x v="39"/>
    <x v="2"/>
    <x v="0"/>
    <x v="3"/>
    <x v="3"/>
    <x v="6"/>
    <x v="5"/>
    <x v="1"/>
    <n v="30037"/>
  </r>
  <r>
    <n v="29220"/>
    <x v="39"/>
    <x v="2"/>
    <x v="0"/>
    <x v="0"/>
    <x v="0"/>
    <x v="6"/>
    <x v="5"/>
    <x v="1"/>
    <n v="30038"/>
  </r>
  <r>
    <n v="29221"/>
    <x v="39"/>
    <x v="2"/>
    <x v="3"/>
    <x v="0"/>
    <x v="0"/>
    <x v="6"/>
    <x v="5"/>
    <x v="1"/>
    <n v="30039"/>
  </r>
  <r>
    <n v="29222"/>
    <x v="39"/>
    <x v="1"/>
    <x v="1"/>
    <x v="1"/>
    <x v="1"/>
    <x v="6"/>
    <x v="5"/>
    <x v="1"/>
    <n v="30040"/>
  </r>
  <r>
    <n v="29223"/>
    <x v="39"/>
    <x v="2"/>
    <x v="2"/>
    <x v="2"/>
    <x v="1"/>
    <x v="6"/>
    <x v="5"/>
    <x v="1"/>
    <n v="30041"/>
  </r>
  <r>
    <n v="29224"/>
    <x v="39"/>
    <x v="2"/>
    <x v="11"/>
    <x v="11"/>
    <x v="3"/>
    <x v="6"/>
    <x v="5"/>
    <x v="1"/>
    <n v="30042"/>
  </r>
  <r>
    <n v="29225"/>
    <x v="39"/>
    <x v="2"/>
    <x v="4"/>
    <x v="4"/>
    <x v="3"/>
    <x v="6"/>
    <x v="5"/>
    <x v="1"/>
    <n v="30043"/>
  </r>
  <r>
    <n v="29226"/>
    <x v="39"/>
    <x v="2"/>
    <x v="5"/>
    <x v="5"/>
    <x v="3"/>
    <x v="6"/>
    <x v="5"/>
    <x v="1"/>
    <n v="30044"/>
  </r>
  <r>
    <n v="29227"/>
    <x v="39"/>
    <x v="2"/>
    <x v="6"/>
    <x v="6"/>
    <x v="3"/>
    <x v="6"/>
    <x v="5"/>
    <x v="1"/>
    <n v="30045"/>
  </r>
  <r>
    <n v="29228"/>
    <x v="39"/>
    <x v="2"/>
    <x v="7"/>
    <x v="7"/>
    <x v="0"/>
    <x v="6"/>
    <x v="5"/>
    <x v="1"/>
    <n v="30046"/>
  </r>
  <r>
    <n v="29229"/>
    <x v="39"/>
    <x v="2"/>
    <x v="8"/>
    <x v="8"/>
    <x v="0"/>
    <x v="6"/>
    <x v="5"/>
    <x v="1"/>
    <n v="30047"/>
  </r>
  <r>
    <n v="29230"/>
    <x v="39"/>
    <x v="2"/>
    <x v="9"/>
    <x v="9"/>
    <x v="0"/>
    <x v="6"/>
    <x v="5"/>
    <x v="1"/>
    <n v="30048"/>
  </r>
  <r>
    <n v="29231"/>
    <x v="39"/>
    <x v="2"/>
    <x v="10"/>
    <x v="10"/>
    <x v="0"/>
    <x v="6"/>
    <x v="5"/>
    <x v="1"/>
    <n v="30049"/>
  </r>
  <r>
    <n v="29232"/>
    <x v="39"/>
    <x v="2"/>
    <x v="6"/>
    <x v="6"/>
    <x v="0"/>
    <x v="6"/>
    <x v="5"/>
    <x v="1"/>
    <n v="30050"/>
  </r>
  <r>
    <n v="29233"/>
    <x v="39"/>
    <x v="1"/>
    <x v="1"/>
    <x v="1"/>
    <x v="2"/>
    <x v="6"/>
    <x v="5"/>
    <x v="1"/>
    <n v="30051"/>
  </r>
  <r>
    <n v="29234"/>
    <x v="39"/>
    <x v="2"/>
    <x v="2"/>
    <x v="2"/>
    <x v="2"/>
    <x v="6"/>
    <x v="5"/>
    <x v="1"/>
    <n v="30052"/>
  </r>
  <r>
    <n v="29235"/>
    <x v="40"/>
    <x v="2"/>
    <x v="0"/>
    <x v="3"/>
    <x v="3"/>
    <x v="6"/>
    <x v="5"/>
    <x v="1"/>
    <n v="30053"/>
  </r>
  <r>
    <n v="29236"/>
    <x v="40"/>
    <x v="2"/>
    <x v="0"/>
    <x v="0"/>
    <x v="0"/>
    <x v="6"/>
    <x v="5"/>
    <x v="1"/>
    <n v="30054"/>
  </r>
  <r>
    <n v="29237"/>
    <x v="40"/>
    <x v="2"/>
    <x v="3"/>
    <x v="0"/>
    <x v="0"/>
    <x v="6"/>
    <x v="5"/>
    <x v="1"/>
    <n v="30055"/>
  </r>
  <r>
    <n v="29238"/>
    <x v="40"/>
    <x v="1"/>
    <x v="1"/>
    <x v="1"/>
    <x v="1"/>
    <x v="6"/>
    <x v="5"/>
    <x v="1"/>
    <n v="30056"/>
  </r>
  <r>
    <n v="29239"/>
    <x v="40"/>
    <x v="2"/>
    <x v="2"/>
    <x v="2"/>
    <x v="1"/>
    <x v="6"/>
    <x v="5"/>
    <x v="1"/>
    <n v="30057"/>
  </r>
  <r>
    <n v="29240"/>
    <x v="40"/>
    <x v="2"/>
    <x v="11"/>
    <x v="11"/>
    <x v="3"/>
    <x v="6"/>
    <x v="5"/>
    <x v="1"/>
    <n v="30058"/>
  </r>
  <r>
    <n v="29241"/>
    <x v="40"/>
    <x v="2"/>
    <x v="4"/>
    <x v="4"/>
    <x v="3"/>
    <x v="6"/>
    <x v="5"/>
    <x v="1"/>
    <n v="30059"/>
  </r>
  <r>
    <n v="29242"/>
    <x v="40"/>
    <x v="2"/>
    <x v="5"/>
    <x v="5"/>
    <x v="3"/>
    <x v="6"/>
    <x v="5"/>
    <x v="1"/>
    <n v="30060"/>
  </r>
  <r>
    <n v="29243"/>
    <x v="40"/>
    <x v="2"/>
    <x v="6"/>
    <x v="6"/>
    <x v="3"/>
    <x v="6"/>
    <x v="5"/>
    <x v="1"/>
    <n v="30061"/>
  </r>
  <r>
    <n v="29244"/>
    <x v="40"/>
    <x v="2"/>
    <x v="7"/>
    <x v="7"/>
    <x v="0"/>
    <x v="6"/>
    <x v="5"/>
    <x v="1"/>
    <n v="30062"/>
  </r>
  <r>
    <n v="29245"/>
    <x v="40"/>
    <x v="2"/>
    <x v="8"/>
    <x v="8"/>
    <x v="0"/>
    <x v="6"/>
    <x v="5"/>
    <x v="1"/>
    <n v="30063"/>
  </r>
  <r>
    <n v="29246"/>
    <x v="40"/>
    <x v="2"/>
    <x v="9"/>
    <x v="9"/>
    <x v="0"/>
    <x v="6"/>
    <x v="5"/>
    <x v="1"/>
    <n v="30064"/>
  </r>
  <r>
    <n v="29247"/>
    <x v="40"/>
    <x v="2"/>
    <x v="10"/>
    <x v="10"/>
    <x v="0"/>
    <x v="6"/>
    <x v="5"/>
    <x v="1"/>
    <n v="30065"/>
  </r>
  <r>
    <n v="29248"/>
    <x v="40"/>
    <x v="2"/>
    <x v="6"/>
    <x v="6"/>
    <x v="0"/>
    <x v="6"/>
    <x v="5"/>
    <x v="1"/>
    <n v="30066"/>
  </r>
  <r>
    <n v="29249"/>
    <x v="40"/>
    <x v="1"/>
    <x v="1"/>
    <x v="1"/>
    <x v="2"/>
    <x v="6"/>
    <x v="5"/>
    <x v="1"/>
    <n v="30067"/>
  </r>
  <r>
    <n v="29250"/>
    <x v="40"/>
    <x v="2"/>
    <x v="2"/>
    <x v="2"/>
    <x v="2"/>
    <x v="6"/>
    <x v="5"/>
    <x v="1"/>
    <n v="30068"/>
  </r>
  <r>
    <n v="29251"/>
    <x v="41"/>
    <x v="2"/>
    <x v="0"/>
    <x v="3"/>
    <x v="3"/>
    <x v="6"/>
    <x v="5"/>
    <x v="1"/>
    <n v="30069"/>
  </r>
  <r>
    <n v="29252"/>
    <x v="41"/>
    <x v="2"/>
    <x v="0"/>
    <x v="0"/>
    <x v="0"/>
    <x v="6"/>
    <x v="5"/>
    <x v="1"/>
    <n v="30070"/>
  </r>
  <r>
    <n v="29253"/>
    <x v="41"/>
    <x v="2"/>
    <x v="3"/>
    <x v="0"/>
    <x v="0"/>
    <x v="6"/>
    <x v="5"/>
    <x v="1"/>
    <n v="30071"/>
  </r>
  <r>
    <n v="29254"/>
    <x v="41"/>
    <x v="1"/>
    <x v="1"/>
    <x v="1"/>
    <x v="1"/>
    <x v="6"/>
    <x v="5"/>
    <x v="1"/>
    <n v="30072"/>
  </r>
  <r>
    <n v="29255"/>
    <x v="41"/>
    <x v="2"/>
    <x v="2"/>
    <x v="2"/>
    <x v="1"/>
    <x v="6"/>
    <x v="5"/>
    <x v="1"/>
    <n v="30073"/>
  </r>
  <r>
    <n v="29256"/>
    <x v="41"/>
    <x v="2"/>
    <x v="11"/>
    <x v="11"/>
    <x v="3"/>
    <x v="6"/>
    <x v="5"/>
    <x v="1"/>
    <n v="30074"/>
  </r>
  <r>
    <n v="29257"/>
    <x v="41"/>
    <x v="2"/>
    <x v="4"/>
    <x v="4"/>
    <x v="3"/>
    <x v="6"/>
    <x v="5"/>
    <x v="1"/>
    <n v="30075"/>
  </r>
  <r>
    <n v="29258"/>
    <x v="41"/>
    <x v="2"/>
    <x v="5"/>
    <x v="5"/>
    <x v="3"/>
    <x v="6"/>
    <x v="5"/>
    <x v="1"/>
    <n v="30076"/>
  </r>
  <r>
    <n v="29259"/>
    <x v="41"/>
    <x v="2"/>
    <x v="6"/>
    <x v="6"/>
    <x v="3"/>
    <x v="6"/>
    <x v="5"/>
    <x v="1"/>
    <n v="30077"/>
  </r>
  <r>
    <n v="29260"/>
    <x v="41"/>
    <x v="2"/>
    <x v="7"/>
    <x v="7"/>
    <x v="0"/>
    <x v="6"/>
    <x v="5"/>
    <x v="1"/>
    <n v="30078"/>
  </r>
  <r>
    <n v="29261"/>
    <x v="41"/>
    <x v="2"/>
    <x v="8"/>
    <x v="8"/>
    <x v="0"/>
    <x v="6"/>
    <x v="5"/>
    <x v="1"/>
    <n v="30079"/>
  </r>
  <r>
    <n v="29262"/>
    <x v="41"/>
    <x v="2"/>
    <x v="9"/>
    <x v="9"/>
    <x v="0"/>
    <x v="6"/>
    <x v="5"/>
    <x v="1"/>
    <n v="30080"/>
  </r>
  <r>
    <n v="29263"/>
    <x v="41"/>
    <x v="2"/>
    <x v="10"/>
    <x v="10"/>
    <x v="0"/>
    <x v="6"/>
    <x v="5"/>
    <x v="1"/>
    <n v="30081"/>
  </r>
  <r>
    <n v="29264"/>
    <x v="41"/>
    <x v="2"/>
    <x v="6"/>
    <x v="6"/>
    <x v="0"/>
    <x v="6"/>
    <x v="5"/>
    <x v="1"/>
    <n v="30082"/>
  </r>
  <r>
    <n v="29265"/>
    <x v="41"/>
    <x v="1"/>
    <x v="1"/>
    <x v="1"/>
    <x v="2"/>
    <x v="6"/>
    <x v="5"/>
    <x v="1"/>
    <n v="30083"/>
  </r>
  <r>
    <n v="29266"/>
    <x v="41"/>
    <x v="2"/>
    <x v="2"/>
    <x v="2"/>
    <x v="2"/>
    <x v="6"/>
    <x v="5"/>
    <x v="1"/>
    <n v="30084"/>
  </r>
  <r>
    <n v="29267"/>
    <x v="42"/>
    <x v="2"/>
    <x v="0"/>
    <x v="3"/>
    <x v="3"/>
    <x v="6"/>
    <x v="5"/>
    <x v="1"/>
    <n v="30085"/>
  </r>
  <r>
    <n v="29268"/>
    <x v="42"/>
    <x v="2"/>
    <x v="0"/>
    <x v="0"/>
    <x v="0"/>
    <x v="6"/>
    <x v="5"/>
    <x v="1"/>
    <n v="30086"/>
  </r>
  <r>
    <n v="29269"/>
    <x v="42"/>
    <x v="2"/>
    <x v="3"/>
    <x v="0"/>
    <x v="0"/>
    <x v="6"/>
    <x v="5"/>
    <x v="1"/>
    <n v="30087"/>
  </r>
  <r>
    <n v="29270"/>
    <x v="42"/>
    <x v="1"/>
    <x v="1"/>
    <x v="1"/>
    <x v="1"/>
    <x v="6"/>
    <x v="5"/>
    <x v="1"/>
    <n v="30088"/>
  </r>
  <r>
    <n v="29271"/>
    <x v="42"/>
    <x v="2"/>
    <x v="2"/>
    <x v="2"/>
    <x v="1"/>
    <x v="6"/>
    <x v="5"/>
    <x v="1"/>
    <n v="30089"/>
  </r>
  <r>
    <n v="29272"/>
    <x v="42"/>
    <x v="2"/>
    <x v="11"/>
    <x v="11"/>
    <x v="3"/>
    <x v="6"/>
    <x v="5"/>
    <x v="1"/>
    <n v="30090"/>
  </r>
  <r>
    <n v="29273"/>
    <x v="42"/>
    <x v="2"/>
    <x v="4"/>
    <x v="4"/>
    <x v="3"/>
    <x v="6"/>
    <x v="5"/>
    <x v="1"/>
    <n v="30091"/>
  </r>
  <r>
    <n v="29274"/>
    <x v="42"/>
    <x v="2"/>
    <x v="5"/>
    <x v="5"/>
    <x v="3"/>
    <x v="6"/>
    <x v="5"/>
    <x v="1"/>
    <n v="30092"/>
  </r>
  <r>
    <n v="29275"/>
    <x v="42"/>
    <x v="2"/>
    <x v="6"/>
    <x v="6"/>
    <x v="3"/>
    <x v="6"/>
    <x v="5"/>
    <x v="1"/>
    <n v="30093"/>
  </r>
  <r>
    <n v="29276"/>
    <x v="42"/>
    <x v="2"/>
    <x v="7"/>
    <x v="7"/>
    <x v="0"/>
    <x v="6"/>
    <x v="5"/>
    <x v="1"/>
    <n v="30094"/>
  </r>
  <r>
    <n v="29277"/>
    <x v="42"/>
    <x v="2"/>
    <x v="8"/>
    <x v="8"/>
    <x v="0"/>
    <x v="6"/>
    <x v="5"/>
    <x v="1"/>
    <n v="30095"/>
  </r>
  <r>
    <n v="29278"/>
    <x v="42"/>
    <x v="2"/>
    <x v="9"/>
    <x v="9"/>
    <x v="0"/>
    <x v="6"/>
    <x v="5"/>
    <x v="1"/>
    <n v="30096"/>
  </r>
  <r>
    <n v="29279"/>
    <x v="42"/>
    <x v="2"/>
    <x v="10"/>
    <x v="10"/>
    <x v="0"/>
    <x v="6"/>
    <x v="5"/>
    <x v="1"/>
    <n v="30097"/>
  </r>
  <r>
    <n v="29280"/>
    <x v="42"/>
    <x v="2"/>
    <x v="6"/>
    <x v="6"/>
    <x v="0"/>
    <x v="6"/>
    <x v="5"/>
    <x v="1"/>
    <n v="30098"/>
  </r>
  <r>
    <n v="29281"/>
    <x v="42"/>
    <x v="1"/>
    <x v="1"/>
    <x v="1"/>
    <x v="2"/>
    <x v="6"/>
    <x v="5"/>
    <x v="1"/>
    <n v="30099"/>
  </r>
  <r>
    <n v="29282"/>
    <x v="42"/>
    <x v="2"/>
    <x v="2"/>
    <x v="2"/>
    <x v="2"/>
    <x v="6"/>
    <x v="5"/>
    <x v="1"/>
    <n v="30100"/>
  </r>
  <r>
    <n v="29283"/>
    <x v="43"/>
    <x v="2"/>
    <x v="0"/>
    <x v="3"/>
    <x v="3"/>
    <x v="6"/>
    <x v="5"/>
    <x v="1"/>
    <n v="30101"/>
  </r>
  <r>
    <n v="29284"/>
    <x v="43"/>
    <x v="2"/>
    <x v="0"/>
    <x v="0"/>
    <x v="0"/>
    <x v="6"/>
    <x v="5"/>
    <x v="1"/>
    <n v="30102"/>
  </r>
  <r>
    <n v="29285"/>
    <x v="43"/>
    <x v="2"/>
    <x v="3"/>
    <x v="0"/>
    <x v="0"/>
    <x v="6"/>
    <x v="5"/>
    <x v="1"/>
    <n v="30103"/>
  </r>
  <r>
    <n v="29286"/>
    <x v="43"/>
    <x v="1"/>
    <x v="1"/>
    <x v="1"/>
    <x v="1"/>
    <x v="6"/>
    <x v="5"/>
    <x v="1"/>
    <n v="30104"/>
  </r>
  <r>
    <n v="29287"/>
    <x v="43"/>
    <x v="2"/>
    <x v="2"/>
    <x v="2"/>
    <x v="1"/>
    <x v="6"/>
    <x v="5"/>
    <x v="1"/>
    <n v="30105"/>
  </r>
  <r>
    <n v="29288"/>
    <x v="43"/>
    <x v="2"/>
    <x v="11"/>
    <x v="11"/>
    <x v="3"/>
    <x v="6"/>
    <x v="5"/>
    <x v="1"/>
    <n v="30106"/>
  </r>
  <r>
    <n v="29289"/>
    <x v="43"/>
    <x v="2"/>
    <x v="4"/>
    <x v="4"/>
    <x v="3"/>
    <x v="6"/>
    <x v="5"/>
    <x v="1"/>
    <n v="30107"/>
  </r>
  <r>
    <n v="29290"/>
    <x v="43"/>
    <x v="2"/>
    <x v="5"/>
    <x v="5"/>
    <x v="3"/>
    <x v="6"/>
    <x v="5"/>
    <x v="1"/>
    <n v="30108"/>
  </r>
  <r>
    <n v="29291"/>
    <x v="43"/>
    <x v="2"/>
    <x v="6"/>
    <x v="6"/>
    <x v="3"/>
    <x v="6"/>
    <x v="5"/>
    <x v="1"/>
    <n v="30109"/>
  </r>
  <r>
    <n v="29292"/>
    <x v="43"/>
    <x v="2"/>
    <x v="7"/>
    <x v="7"/>
    <x v="0"/>
    <x v="6"/>
    <x v="5"/>
    <x v="1"/>
    <n v="30110"/>
  </r>
  <r>
    <n v="29293"/>
    <x v="43"/>
    <x v="2"/>
    <x v="8"/>
    <x v="8"/>
    <x v="0"/>
    <x v="6"/>
    <x v="5"/>
    <x v="1"/>
    <n v="30111"/>
  </r>
  <r>
    <n v="29294"/>
    <x v="43"/>
    <x v="2"/>
    <x v="9"/>
    <x v="9"/>
    <x v="0"/>
    <x v="6"/>
    <x v="5"/>
    <x v="1"/>
    <n v="30112"/>
  </r>
  <r>
    <n v="29295"/>
    <x v="43"/>
    <x v="2"/>
    <x v="10"/>
    <x v="10"/>
    <x v="0"/>
    <x v="6"/>
    <x v="5"/>
    <x v="1"/>
    <n v="30113"/>
  </r>
  <r>
    <n v="29296"/>
    <x v="43"/>
    <x v="2"/>
    <x v="6"/>
    <x v="6"/>
    <x v="0"/>
    <x v="6"/>
    <x v="5"/>
    <x v="1"/>
    <n v="30114"/>
  </r>
  <r>
    <n v="29297"/>
    <x v="43"/>
    <x v="1"/>
    <x v="1"/>
    <x v="1"/>
    <x v="2"/>
    <x v="6"/>
    <x v="5"/>
    <x v="1"/>
    <n v="30115"/>
  </r>
  <r>
    <n v="29298"/>
    <x v="43"/>
    <x v="2"/>
    <x v="2"/>
    <x v="2"/>
    <x v="2"/>
    <x v="6"/>
    <x v="5"/>
    <x v="1"/>
    <n v="30116"/>
  </r>
  <r>
    <n v="29299"/>
    <x v="44"/>
    <x v="2"/>
    <x v="0"/>
    <x v="3"/>
    <x v="3"/>
    <x v="10"/>
    <x v="5"/>
    <x v="1"/>
    <n v="30117"/>
  </r>
  <r>
    <n v="29300"/>
    <x v="44"/>
    <x v="2"/>
    <x v="0"/>
    <x v="0"/>
    <x v="0"/>
    <x v="10"/>
    <x v="5"/>
    <x v="1"/>
    <n v="30118"/>
  </r>
  <r>
    <n v="29301"/>
    <x v="44"/>
    <x v="2"/>
    <x v="3"/>
    <x v="0"/>
    <x v="0"/>
    <x v="10"/>
    <x v="5"/>
    <x v="1"/>
    <n v="30119"/>
  </r>
  <r>
    <n v="29302"/>
    <x v="44"/>
    <x v="1"/>
    <x v="1"/>
    <x v="1"/>
    <x v="1"/>
    <x v="10"/>
    <x v="5"/>
    <x v="1"/>
    <n v="30120"/>
  </r>
  <r>
    <n v="29303"/>
    <x v="44"/>
    <x v="2"/>
    <x v="2"/>
    <x v="2"/>
    <x v="1"/>
    <x v="10"/>
    <x v="5"/>
    <x v="1"/>
    <n v="30121"/>
  </r>
  <r>
    <n v="29304"/>
    <x v="44"/>
    <x v="2"/>
    <x v="11"/>
    <x v="11"/>
    <x v="3"/>
    <x v="10"/>
    <x v="5"/>
    <x v="1"/>
    <n v="30122"/>
  </r>
  <r>
    <n v="29305"/>
    <x v="44"/>
    <x v="2"/>
    <x v="4"/>
    <x v="4"/>
    <x v="3"/>
    <x v="10"/>
    <x v="5"/>
    <x v="1"/>
    <n v="30123"/>
  </r>
  <r>
    <n v="29306"/>
    <x v="44"/>
    <x v="2"/>
    <x v="5"/>
    <x v="5"/>
    <x v="3"/>
    <x v="10"/>
    <x v="5"/>
    <x v="1"/>
    <n v="30124"/>
  </r>
  <r>
    <n v="29307"/>
    <x v="44"/>
    <x v="2"/>
    <x v="6"/>
    <x v="6"/>
    <x v="3"/>
    <x v="10"/>
    <x v="5"/>
    <x v="1"/>
    <n v="30125"/>
  </r>
  <r>
    <n v="29308"/>
    <x v="44"/>
    <x v="2"/>
    <x v="7"/>
    <x v="7"/>
    <x v="0"/>
    <x v="10"/>
    <x v="5"/>
    <x v="1"/>
    <n v="30126"/>
  </r>
  <r>
    <n v="29309"/>
    <x v="44"/>
    <x v="2"/>
    <x v="8"/>
    <x v="8"/>
    <x v="0"/>
    <x v="10"/>
    <x v="5"/>
    <x v="1"/>
    <n v="30127"/>
  </r>
  <r>
    <n v="29310"/>
    <x v="44"/>
    <x v="2"/>
    <x v="9"/>
    <x v="9"/>
    <x v="0"/>
    <x v="10"/>
    <x v="5"/>
    <x v="1"/>
    <n v="30128"/>
  </r>
  <r>
    <n v="29311"/>
    <x v="44"/>
    <x v="2"/>
    <x v="10"/>
    <x v="10"/>
    <x v="0"/>
    <x v="10"/>
    <x v="5"/>
    <x v="1"/>
    <n v="30129"/>
  </r>
  <r>
    <n v="29312"/>
    <x v="44"/>
    <x v="2"/>
    <x v="6"/>
    <x v="6"/>
    <x v="0"/>
    <x v="10"/>
    <x v="5"/>
    <x v="1"/>
    <n v="30130"/>
  </r>
  <r>
    <n v="29313"/>
    <x v="44"/>
    <x v="1"/>
    <x v="1"/>
    <x v="1"/>
    <x v="2"/>
    <x v="10"/>
    <x v="5"/>
    <x v="1"/>
    <n v="30131"/>
  </r>
  <r>
    <n v="29314"/>
    <x v="44"/>
    <x v="2"/>
    <x v="2"/>
    <x v="2"/>
    <x v="2"/>
    <x v="10"/>
    <x v="5"/>
    <x v="1"/>
    <n v="30132"/>
  </r>
  <r>
    <n v="29315"/>
    <x v="45"/>
    <x v="2"/>
    <x v="0"/>
    <x v="3"/>
    <x v="3"/>
    <x v="10"/>
    <x v="5"/>
    <x v="1"/>
    <n v="30133"/>
  </r>
  <r>
    <n v="29316"/>
    <x v="45"/>
    <x v="2"/>
    <x v="0"/>
    <x v="0"/>
    <x v="0"/>
    <x v="10"/>
    <x v="5"/>
    <x v="1"/>
    <n v="30134"/>
  </r>
  <r>
    <n v="29317"/>
    <x v="45"/>
    <x v="2"/>
    <x v="3"/>
    <x v="0"/>
    <x v="0"/>
    <x v="10"/>
    <x v="5"/>
    <x v="1"/>
    <n v="30135"/>
  </r>
  <r>
    <n v="29318"/>
    <x v="45"/>
    <x v="1"/>
    <x v="1"/>
    <x v="1"/>
    <x v="1"/>
    <x v="10"/>
    <x v="5"/>
    <x v="1"/>
    <n v="30136"/>
  </r>
  <r>
    <n v="29319"/>
    <x v="45"/>
    <x v="2"/>
    <x v="2"/>
    <x v="2"/>
    <x v="1"/>
    <x v="10"/>
    <x v="5"/>
    <x v="1"/>
    <n v="30137"/>
  </r>
  <r>
    <n v="29320"/>
    <x v="45"/>
    <x v="2"/>
    <x v="11"/>
    <x v="11"/>
    <x v="3"/>
    <x v="10"/>
    <x v="5"/>
    <x v="1"/>
    <n v="30138"/>
  </r>
  <r>
    <n v="29321"/>
    <x v="45"/>
    <x v="2"/>
    <x v="4"/>
    <x v="4"/>
    <x v="3"/>
    <x v="10"/>
    <x v="5"/>
    <x v="1"/>
    <n v="30139"/>
  </r>
  <r>
    <n v="29322"/>
    <x v="45"/>
    <x v="2"/>
    <x v="5"/>
    <x v="5"/>
    <x v="3"/>
    <x v="10"/>
    <x v="5"/>
    <x v="1"/>
    <n v="30140"/>
  </r>
  <r>
    <n v="29323"/>
    <x v="45"/>
    <x v="2"/>
    <x v="6"/>
    <x v="6"/>
    <x v="3"/>
    <x v="10"/>
    <x v="5"/>
    <x v="1"/>
    <n v="30141"/>
  </r>
  <r>
    <n v="29324"/>
    <x v="45"/>
    <x v="2"/>
    <x v="7"/>
    <x v="7"/>
    <x v="0"/>
    <x v="10"/>
    <x v="5"/>
    <x v="1"/>
    <n v="30142"/>
  </r>
  <r>
    <n v="29325"/>
    <x v="45"/>
    <x v="2"/>
    <x v="8"/>
    <x v="8"/>
    <x v="0"/>
    <x v="10"/>
    <x v="5"/>
    <x v="1"/>
    <n v="30143"/>
  </r>
  <r>
    <n v="29326"/>
    <x v="45"/>
    <x v="2"/>
    <x v="9"/>
    <x v="9"/>
    <x v="0"/>
    <x v="10"/>
    <x v="5"/>
    <x v="1"/>
    <n v="30144"/>
  </r>
  <r>
    <n v="29327"/>
    <x v="45"/>
    <x v="2"/>
    <x v="10"/>
    <x v="10"/>
    <x v="0"/>
    <x v="10"/>
    <x v="5"/>
    <x v="1"/>
    <n v="30145"/>
  </r>
  <r>
    <n v="29328"/>
    <x v="45"/>
    <x v="2"/>
    <x v="6"/>
    <x v="6"/>
    <x v="0"/>
    <x v="10"/>
    <x v="5"/>
    <x v="1"/>
    <n v="30146"/>
  </r>
  <r>
    <n v="29329"/>
    <x v="45"/>
    <x v="1"/>
    <x v="1"/>
    <x v="1"/>
    <x v="2"/>
    <x v="10"/>
    <x v="5"/>
    <x v="1"/>
    <n v="30147"/>
  </r>
  <r>
    <n v="29330"/>
    <x v="45"/>
    <x v="2"/>
    <x v="2"/>
    <x v="2"/>
    <x v="2"/>
    <x v="10"/>
    <x v="5"/>
    <x v="1"/>
    <n v="30148"/>
  </r>
  <r>
    <n v="29331"/>
    <x v="46"/>
    <x v="2"/>
    <x v="0"/>
    <x v="3"/>
    <x v="3"/>
    <x v="10"/>
    <x v="5"/>
    <x v="1"/>
    <n v="30149"/>
  </r>
  <r>
    <n v="29332"/>
    <x v="46"/>
    <x v="2"/>
    <x v="0"/>
    <x v="0"/>
    <x v="0"/>
    <x v="10"/>
    <x v="5"/>
    <x v="1"/>
    <n v="30150"/>
  </r>
  <r>
    <n v="29333"/>
    <x v="46"/>
    <x v="2"/>
    <x v="3"/>
    <x v="0"/>
    <x v="0"/>
    <x v="10"/>
    <x v="5"/>
    <x v="1"/>
    <n v="30151"/>
  </r>
  <r>
    <n v="29334"/>
    <x v="46"/>
    <x v="1"/>
    <x v="1"/>
    <x v="1"/>
    <x v="1"/>
    <x v="10"/>
    <x v="5"/>
    <x v="1"/>
    <n v="30152"/>
  </r>
  <r>
    <n v="29335"/>
    <x v="46"/>
    <x v="2"/>
    <x v="2"/>
    <x v="2"/>
    <x v="1"/>
    <x v="10"/>
    <x v="5"/>
    <x v="1"/>
    <n v="30153"/>
  </r>
  <r>
    <n v="29336"/>
    <x v="46"/>
    <x v="2"/>
    <x v="11"/>
    <x v="11"/>
    <x v="3"/>
    <x v="10"/>
    <x v="5"/>
    <x v="1"/>
    <n v="30154"/>
  </r>
  <r>
    <n v="29337"/>
    <x v="46"/>
    <x v="2"/>
    <x v="4"/>
    <x v="4"/>
    <x v="3"/>
    <x v="10"/>
    <x v="5"/>
    <x v="1"/>
    <n v="30155"/>
  </r>
  <r>
    <n v="29338"/>
    <x v="46"/>
    <x v="2"/>
    <x v="5"/>
    <x v="5"/>
    <x v="3"/>
    <x v="10"/>
    <x v="5"/>
    <x v="1"/>
    <n v="30156"/>
  </r>
  <r>
    <n v="29339"/>
    <x v="46"/>
    <x v="2"/>
    <x v="6"/>
    <x v="6"/>
    <x v="3"/>
    <x v="10"/>
    <x v="5"/>
    <x v="1"/>
    <n v="30157"/>
  </r>
  <r>
    <n v="29340"/>
    <x v="46"/>
    <x v="2"/>
    <x v="7"/>
    <x v="7"/>
    <x v="0"/>
    <x v="10"/>
    <x v="5"/>
    <x v="1"/>
    <n v="30158"/>
  </r>
  <r>
    <n v="29341"/>
    <x v="46"/>
    <x v="2"/>
    <x v="8"/>
    <x v="8"/>
    <x v="0"/>
    <x v="10"/>
    <x v="5"/>
    <x v="1"/>
    <n v="30159"/>
  </r>
  <r>
    <n v="29342"/>
    <x v="46"/>
    <x v="2"/>
    <x v="9"/>
    <x v="9"/>
    <x v="0"/>
    <x v="10"/>
    <x v="5"/>
    <x v="1"/>
    <n v="30160"/>
  </r>
  <r>
    <n v="29343"/>
    <x v="46"/>
    <x v="2"/>
    <x v="10"/>
    <x v="10"/>
    <x v="0"/>
    <x v="10"/>
    <x v="5"/>
    <x v="1"/>
    <n v="30161"/>
  </r>
  <r>
    <n v="29344"/>
    <x v="46"/>
    <x v="2"/>
    <x v="6"/>
    <x v="6"/>
    <x v="0"/>
    <x v="10"/>
    <x v="5"/>
    <x v="1"/>
    <n v="30162"/>
  </r>
  <r>
    <n v="29345"/>
    <x v="46"/>
    <x v="1"/>
    <x v="1"/>
    <x v="1"/>
    <x v="2"/>
    <x v="10"/>
    <x v="5"/>
    <x v="1"/>
    <n v="30163"/>
  </r>
  <r>
    <n v="29346"/>
    <x v="46"/>
    <x v="2"/>
    <x v="2"/>
    <x v="2"/>
    <x v="2"/>
    <x v="10"/>
    <x v="5"/>
    <x v="1"/>
    <n v="30164"/>
  </r>
  <r>
    <n v="29347"/>
    <x v="47"/>
    <x v="2"/>
    <x v="0"/>
    <x v="3"/>
    <x v="3"/>
    <x v="10"/>
    <x v="5"/>
    <x v="1"/>
    <n v="30165"/>
  </r>
  <r>
    <n v="29348"/>
    <x v="47"/>
    <x v="2"/>
    <x v="0"/>
    <x v="0"/>
    <x v="0"/>
    <x v="10"/>
    <x v="5"/>
    <x v="1"/>
    <n v="30166"/>
  </r>
  <r>
    <n v="29349"/>
    <x v="47"/>
    <x v="2"/>
    <x v="3"/>
    <x v="0"/>
    <x v="0"/>
    <x v="10"/>
    <x v="5"/>
    <x v="1"/>
    <n v="30167"/>
  </r>
  <r>
    <n v="29350"/>
    <x v="47"/>
    <x v="1"/>
    <x v="1"/>
    <x v="1"/>
    <x v="1"/>
    <x v="10"/>
    <x v="5"/>
    <x v="1"/>
    <n v="30168"/>
  </r>
  <r>
    <n v="29351"/>
    <x v="47"/>
    <x v="2"/>
    <x v="2"/>
    <x v="2"/>
    <x v="1"/>
    <x v="10"/>
    <x v="5"/>
    <x v="1"/>
    <n v="30169"/>
  </r>
  <r>
    <n v="29352"/>
    <x v="47"/>
    <x v="2"/>
    <x v="11"/>
    <x v="11"/>
    <x v="3"/>
    <x v="10"/>
    <x v="5"/>
    <x v="1"/>
    <n v="30170"/>
  </r>
  <r>
    <n v="29353"/>
    <x v="47"/>
    <x v="2"/>
    <x v="4"/>
    <x v="4"/>
    <x v="3"/>
    <x v="10"/>
    <x v="5"/>
    <x v="1"/>
    <n v="30171"/>
  </r>
  <r>
    <n v="29354"/>
    <x v="47"/>
    <x v="2"/>
    <x v="5"/>
    <x v="5"/>
    <x v="3"/>
    <x v="10"/>
    <x v="5"/>
    <x v="1"/>
    <n v="30172"/>
  </r>
  <r>
    <n v="29355"/>
    <x v="47"/>
    <x v="2"/>
    <x v="6"/>
    <x v="6"/>
    <x v="3"/>
    <x v="10"/>
    <x v="5"/>
    <x v="1"/>
    <n v="30173"/>
  </r>
  <r>
    <n v="29356"/>
    <x v="47"/>
    <x v="2"/>
    <x v="7"/>
    <x v="7"/>
    <x v="0"/>
    <x v="10"/>
    <x v="5"/>
    <x v="1"/>
    <n v="30174"/>
  </r>
  <r>
    <n v="29357"/>
    <x v="47"/>
    <x v="2"/>
    <x v="8"/>
    <x v="8"/>
    <x v="0"/>
    <x v="10"/>
    <x v="5"/>
    <x v="1"/>
    <n v="30175"/>
  </r>
  <r>
    <n v="29358"/>
    <x v="47"/>
    <x v="2"/>
    <x v="9"/>
    <x v="9"/>
    <x v="0"/>
    <x v="10"/>
    <x v="5"/>
    <x v="1"/>
    <n v="30176"/>
  </r>
  <r>
    <n v="29359"/>
    <x v="47"/>
    <x v="2"/>
    <x v="10"/>
    <x v="10"/>
    <x v="0"/>
    <x v="10"/>
    <x v="5"/>
    <x v="1"/>
    <n v="30177"/>
  </r>
  <r>
    <n v="29360"/>
    <x v="47"/>
    <x v="2"/>
    <x v="6"/>
    <x v="6"/>
    <x v="0"/>
    <x v="10"/>
    <x v="5"/>
    <x v="1"/>
    <n v="30178"/>
  </r>
  <r>
    <n v="29361"/>
    <x v="47"/>
    <x v="1"/>
    <x v="1"/>
    <x v="1"/>
    <x v="2"/>
    <x v="10"/>
    <x v="5"/>
    <x v="1"/>
    <n v="30179"/>
  </r>
  <r>
    <n v="29362"/>
    <x v="47"/>
    <x v="2"/>
    <x v="2"/>
    <x v="2"/>
    <x v="2"/>
    <x v="10"/>
    <x v="5"/>
    <x v="1"/>
    <n v="30180"/>
  </r>
  <r>
    <n v="29363"/>
    <x v="48"/>
    <x v="2"/>
    <x v="0"/>
    <x v="3"/>
    <x v="3"/>
    <x v="11"/>
    <x v="5"/>
    <x v="1"/>
    <n v="30181"/>
  </r>
  <r>
    <n v="29364"/>
    <x v="48"/>
    <x v="2"/>
    <x v="0"/>
    <x v="0"/>
    <x v="0"/>
    <x v="11"/>
    <x v="5"/>
    <x v="1"/>
    <n v="30182"/>
  </r>
  <r>
    <n v="29365"/>
    <x v="48"/>
    <x v="2"/>
    <x v="3"/>
    <x v="0"/>
    <x v="0"/>
    <x v="11"/>
    <x v="5"/>
    <x v="1"/>
    <n v="30183"/>
  </r>
  <r>
    <n v="29366"/>
    <x v="48"/>
    <x v="1"/>
    <x v="1"/>
    <x v="1"/>
    <x v="1"/>
    <x v="11"/>
    <x v="5"/>
    <x v="1"/>
    <n v="30184"/>
  </r>
  <r>
    <n v="29367"/>
    <x v="48"/>
    <x v="2"/>
    <x v="2"/>
    <x v="2"/>
    <x v="1"/>
    <x v="11"/>
    <x v="5"/>
    <x v="1"/>
    <n v="30185"/>
  </r>
  <r>
    <n v="29368"/>
    <x v="48"/>
    <x v="2"/>
    <x v="11"/>
    <x v="11"/>
    <x v="3"/>
    <x v="11"/>
    <x v="5"/>
    <x v="1"/>
    <n v="30186"/>
  </r>
  <r>
    <n v="29369"/>
    <x v="48"/>
    <x v="2"/>
    <x v="4"/>
    <x v="4"/>
    <x v="3"/>
    <x v="11"/>
    <x v="5"/>
    <x v="1"/>
    <n v="30187"/>
  </r>
  <r>
    <n v="29370"/>
    <x v="48"/>
    <x v="2"/>
    <x v="5"/>
    <x v="5"/>
    <x v="3"/>
    <x v="11"/>
    <x v="5"/>
    <x v="1"/>
    <n v="30188"/>
  </r>
  <r>
    <n v="29371"/>
    <x v="48"/>
    <x v="2"/>
    <x v="6"/>
    <x v="6"/>
    <x v="3"/>
    <x v="11"/>
    <x v="5"/>
    <x v="1"/>
    <n v="30189"/>
  </r>
  <r>
    <n v="29372"/>
    <x v="48"/>
    <x v="2"/>
    <x v="7"/>
    <x v="7"/>
    <x v="0"/>
    <x v="11"/>
    <x v="5"/>
    <x v="1"/>
    <n v="30190"/>
  </r>
  <r>
    <n v="29373"/>
    <x v="48"/>
    <x v="2"/>
    <x v="8"/>
    <x v="8"/>
    <x v="0"/>
    <x v="11"/>
    <x v="5"/>
    <x v="1"/>
    <n v="30191"/>
  </r>
  <r>
    <n v="29374"/>
    <x v="48"/>
    <x v="2"/>
    <x v="9"/>
    <x v="9"/>
    <x v="0"/>
    <x v="11"/>
    <x v="5"/>
    <x v="1"/>
    <n v="30192"/>
  </r>
  <r>
    <n v="29375"/>
    <x v="48"/>
    <x v="2"/>
    <x v="10"/>
    <x v="10"/>
    <x v="0"/>
    <x v="11"/>
    <x v="5"/>
    <x v="1"/>
    <n v="30193"/>
  </r>
  <r>
    <n v="29376"/>
    <x v="48"/>
    <x v="2"/>
    <x v="6"/>
    <x v="6"/>
    <x v="0"/>
    <x v="11"/>
    <x v="5"/>
    <x v="1"/>
    <n v="30194"/>
  </r>
  <r>
    <n v="29377"/>
    <x v="48"/>
    <x v="1"/>
    <x v="1"/>
    <x v="1"/>
    <x v="2"/>
    <x v="11"/>
    <x v="5"/>
    <x v="1"/>
    <n v="30195"/>
  </r>
  <r>
    <n v="29378"/>
    <x v="48"/>
    <x v="2"/>
    <x v="2"/>
    <x v="2"/>
    <x v="2"/>
    <x v="11"/>
    <x v="5"/>
    <x v="1"/>
    <n v="30196"/>
  </r>
  <r>
    <n v="28578"/>
    <x v="0"/>
    <x v="2"/>
    <x v="2"/>
    <x v="2"/>
    <x v="2"/>
    <x v="0"/>
    <x v="0"/>
    <x v="0"/>
    <n v="293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errorCaption="0" showError="1" missingCaption="0" updatedVersion="6" minRefreshableVersion="3" visualTotals="0" subtotalHiddenItems="1" rowGrandTotals="0" colGrandTotals="0" itemPrintTitles="1" createdVersion="6" indent="0" outline="1" outlineData="1" multipleFieldFilters="0" rowHeaderCaption="Tên xăng dầu">
  <location ref="B5:F21" firstHeaderRow="1" firstDataRow="2" firstDataCol="1"/>
  <pivotFields count="5">
    <pivotField axis="axisRow" allDrilled="1" showAll="0">
      <items count="50">
        <item x="2" e="0"/>
        <item x="4" e="0"/>
        <item x="6" e="0"/>
        <item x="7" e="0"/>
        <item x="0" e="0"/>
        <item x="1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x="23" e="0"/>
        <item x="24" e="0"/>
        <item x="3" e="0"/>
        <item x="25" e="0"/>
        <item x="26" e="0"/>
        <item x="27" e="0"/>
        <item x="28" e="0"/>
        <item x="29" e="0"/>
        <item x="30" e="0"/>
        <item x="31" e="0"/>
        <item x="32" e="0"/>
        <item x="33" e="0"/>
        <item x="34" e="0"/>
        <item x="35" e="0"/>
        <item x="36" e="0"/>
        <item x="37" e="0"/>
        <item x="38" e="0"/>
        <item x="39" e="0"/>
        <item x="40" e="0"/>
        <item x="41" e="0"/>
        <item x="42" e="0"/>
        <item x="43" e="0"/>
        <item x="44" e="0"/>
        <item x="45" e="0"/>
        <item x="46" e="0"/>
        <item x="47" e="0"/>
        <item x="48" e="0"/>
        <item x="5" e="0"/>
        <item t="default"/>
      </items>
    </pivotField>
    <pivotField axis="axisRow" allDrilled="1" showAll="0" defaultAttributeDrillState="1">
      <items count="14">
        <item x="3"/>
        <item x="11"/>
        <item x="12"/>
        <item x="2"/>
        <item x="0"/>
        <item x="4"/>
        <item x="5"/>
        <item x="6"/>
        <item x="7"/>
        <item x="1"/>
        <item x="8"/>
        <item x="9"/>
        <item x="10"/>
        <item t="default"/>
      </items>
    </pivotField>
    <pivotField axis="axisRow" allDrilled="1" showAll="0" sortType="descending" defaultAttributeDrillState="1">
      <items count="4">
        <item x="2"/>
        <item x="1"/>
        <item x="0"/>
        <item t="default"/>
      </items>
    </pivotField>
    <pivotField dataField="1" showAll="0"/>
    <pivotField axis="axisCol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2"/>
    <field x="1"/>
    <field x="0"/>
  </rowFields>
  <rowItems count="15">
    <i>
      <x/>
    </i>
    <i r="1">
      <x/>
    </i>
    <i r="2">
      <x v="2"/>
    </i>
    <i r="2">
      <x v="3"/>
    </i>
    <i r="1">
      <x v="3"/>
    </i>
    <i r="2">
      <x v="48"/>
    </i>
    <i>
      <x v="1"/>
    </i>
    <i r="1">
      <x v="9"/>
    </i>
    <i r="2">
      <x v="1"/>
    </i>
    <i r="2">
      <x v="23"/>
    </i>
    <i>
      <x v="2"/>
    </i>
    <i r="1">
      <x v="4"/>
    </i>
    <i r="2">
      <x/>
    </i>
    <i r="2">
      <x v="4"/>
    </i>
    <i r="2">
      <x v="5"/>
    </i>
  </rowItems>
  <colFields count="1">
    <field x="4"/>
  </colFields>
  <colItems count="4">
    <i>
      <x/>
    </i>
    <i>
      <x v="1"/>
    </i>
    <i>
      <x v="2"/>
    </i>
    <i>
      <x v="3"/>
    </i>
  </colItems>
  <dataFields count="1">
    <dataField name="so_luong" fld="3" baseField="2" baseItem="0"/>
  </dataFields>
  <formats count="86">
    <format dxfId="222">
      <pivotArea type="all" dataOnly="0" outline="0" fieldPosition="0"/>
    </format>
    <format dxfId="221">
      <pivotArea outline="0" collapsedLevelsAreSubtotals="1" fieldPosition="0"/>
    </format>
    <format dxfId="220">
      <pivotArea type="origin" dataOnly="0" labelOnly="1" outline="0" fieldPosition="0"/>
    </format>
    <format dxfId="219">
      <pivotArea type="topRight" dataOnly="0" labelOnly="1" outline="0" fieldPosition="0"/>
    </format>
    <format dxfId="218">
      <pivotArea field="2" type="button" dataOnly="0" labelOnly="1" outline="0" axis="axisRow" fieldPosition="0"/>
    </format>
    <format dxfId="217">
      <pivotArea dataOnly="0" labelOnly="1" fieldPosition="0">
        <references count="1">
          <reference field="2" count="0"/>
        </references>
      </pivotArea>
    </format>
    <format dxfId="216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215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214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213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212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211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210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209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208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207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206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205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204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203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202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201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200">
      <pivotArea type="all" dataOnly="0" outline="0" fieldPosition="0"/>
    </format>
    <format dxfId="199">
      <pivotArea outline="0" collapsedLevelsAreSubtotals="1" fieldPosition="0"/>
    </format>
    <format dxfId="198">
      <pivotArea type="origin" dataOnly="0" labelOnly="1" outline="0" fieldPosition="0"/>
    </format>
    <format dxfId="197">
      <pivotArea type="topRight" dataOnly="0" labelOnly="1" outline="0" fieldPosition="0"/>
    </format>
    <format dxfId="196">
      <pivotArea field="2" type="button" dataOnly="0" labelOnly="1" outline="0" axis="axisRow" fieldPosition="0"/>
    </format>
    <format dxfId="195">
      <pivotArea dataOnly="0" labelOnly="1" fieldPosition="0">
        <references count="1">
          <reference field="2" count="0"/>
        </references>
      </pivotArea>
    </format>
    <format dxfId="194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193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192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191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190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189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88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87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86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185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184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183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82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181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180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179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178">
      <pivotArea type="origin" dataOnly="0" labelOnly="1" outline="0" fieldPosition="0"/>
    </format>
    <format dxfId="177">
      <pivotArea field="2" type="button" dataOnly="0" labelOnly="1" outline="0" axis="axisRow" fieldPosition="0"/>
    </format>
    <format dxfId="176">
      <pivotArea dataOnly="0" labelOnly="1" fieldPosition="0">
        <references count="1">
          <reference field="2" count="0"/>
        </references>
      </pivotArea>
    </format>
    <format dxfId="175">
      <pivotArea dataOnly="0" labelOnly="1" fieldPosition="0">
        <references count="1">
          <reference field="2" count="0" defaultSubtotal="1"/>
        </references>
      </pivotArea>
    </format>
    <format dxfId="174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73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72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71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70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69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68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67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66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65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64">
      <pivotArea type="origin" dataOnly="0" labelOnly="1" outline="0" fieldPosition="0"/>
    </format>
    <format dxfId="163">
      <pivotArea field="2" type="button" dataOnly="0" labelOnly="1" outline="0" axis="axisRow" fieldPosition="0"/>
    </format>
    <format dxfId="162">
      <pivotArea dataOnly="0" labelOnly="1" fieldPosition="0">
        <references count="1">
          <reference field="2" count="0"/>
        </references>
      </pivotArea>
    </format>
    <format dxfId="161">
      <pivotArea dataOnly="0" labelOnly="1" fieldPosition="0">
        <references count="1">
          <reference field="2" count="0" defaultSubtotal="1"/>
        </references>
      </pivotArea>
    </format>
    <format dxfId="160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59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58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57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56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55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54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53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52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51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50">
      <pivotArea type="origin" dataOnly="0" labelOnly="1" outline="0" fieldPosition="0"/>
    </format>
    <format dxfId="149">
      <pivotArea field="2" type="button" dataOnly="0" labelOnly="1" outline="0" axis="axisRow" fieldPosition="0"/>
    </format>
    <format dxfId="148">
      <pivotArea dataOnly="0" labelOnly="1" fieldPosition="0">
        <references count="1">
          <reference field="2" count="0"/>
        </references>
      </pivotArea>
    </format>
    <format dxfId="147">
      <pivotArea dataOnly="0" labelOnly="1" fieldPosition="0">
        <references count="1">
          <reference field="2" count="0" defaultSubtotal="1"/>
        </references>
      </pivotArea>
    </format>
    <format dxfId="146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45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44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43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42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41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40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39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38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37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</formats>
  <pivotHierarchies count="8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8" showRowHeaders="1" showColHeaders="1" showRowStripes="0" showColStripes="0" showLastColumn="1"/>
  <rowHierarchiesUsage count="3">
    <rowHierarchyUsage hierarchyUsage="7"/>
    <rowHierarchyUsage hierarchyUsage="3"/>
    <rowHierarchyUsage hierarchyUsage="2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socai]"/>
        <x15:activeTabTopLevelEntity name="[tb_loaixd2]"/>
        <x15:activeTabTopLevelEntity name="[tb_tructhuoc]"/>
        <x15:activeTabTopLevelEntity name="[tb_nguon_nx]"/>
      </x15:pivotTableUISettings>
    </ext>
  </extLst>
</pivotTableDefinition>
</file>

<file path=xl/pivotTables/pivotTable2.xml><?xml version="1.0" encoding="utf-8"?>
<pivotTableDefinition xmlns="http://schemas.openxmlformats.org/spreadsheetml/2006/main" name="nxt_pv_table" cacheId="10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7:AA82" firstHeaderRow="1" firstDataRow="4" firstDataCol="1"/>
  <pivotFields count="11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6"/>
        <item x="9"/>
        <item x="25"/>
        <item x="39"/>
        <item x="34"/>
        <item x="31"/>
        <item x="32"/>
        <item x="5"/>
        <item x="4"/>
        <item x="30"/>
        <item x="29"/>
        <item x="2"/>
        <item x="16"/>
        <item x="19"/>
        <item x="42"/>
        <item x="40"/>
        <item x="41"/>
        <item x="10"/>
        <item x="33"/>
        <item x="11"/>
        <item x="22"/>
        <item x="17"/>
        <item x="18"/>
        <item x="6"/>
        <item x="7"/>
        <item x="23"/>
        <item x="44"/>
        <item x="45"/>
        <item x="26"/>
        <item x="27"/>
        <item x="46"/>
        <item x="47"/>
        <item x="24"/>
        <item x="20"/>
        <item x="8"/>
        <item x="13"/>
        <item x="43"/>
        <item x="28"/>
        <item x="21"/>
        <item x="15"/>
        <item x="14"/>
        <item x="12"/>
        <item x="37"/>
        <item x="38"/>
        <item x="35"/>
        <item x="0"/>
        <item x="1"/>
        <item x="48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2">
        <item x="8"/>
        <item sd="0" x="1"/>
        <item sd="0" x="2"/>
        <item x="9"/>
        <item x="11"/>
        <item x="6"/>
        <item x="5"/>
        <item x="3"/>
        <item x="4"/>
        <item x="10"/>
        <item x="0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3">
        <item x="0"/>
        <item x="3"/>
        <item n="(blank)" m="1" x="12"/>
        <item x="1"/>
        <item x="2"/>
        <item x="11"/>
        <item x="4"/>
        <item x="5"/>
        <item x="6"/>
        <item x="7"/>
        <item x="8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5">
        <item x="1"/>
        <item x="3"/>
        <item x="0"/>
        <item x="2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3"/>
        <item x="4"/>
        <item x="8"/>
        <item x="2"/>
        <item x="6"/>
        <item x="9"/>
        <item x="5"/>
        <item x="1"/>
        <item x="11"/>
        <item x="7"/>
        <item x="10"/>
        <item x="0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4"/>
        <item x="5"/>
        <item sd="0" m="1" x="6"/>
        <item x="0"/>
        <item x="1"/>
        <item x="2"/>
        <item x="3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6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8"/>
    </i>
    <i r="1">
      <x v="6"/>
    </i>
    <i r="2">
      <x/>
    </i>
    <i r="3">
      <x v="7"/>
    </i>
    <i r="3">
      <x v="8"/>
    </i>
    <i r="3">
      <x v="48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7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0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2">
      <x v="10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6">
    <format dxfId="136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35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34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3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32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31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30">
      <pivotArea dataOnly="0" labelOnly="1" fieldPosition="0">
        <references count="1">
          <reference field="5" count="0"/>
        </references>
      </pivotArea>
    </format>
    <format dxfId="129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8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127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6">
      <pivotArea dataOnly="0" labelOnly="1" fieldPosition="0">
        <references count="1">
          <reference field="5" count="0"/>
        </references>
      </pivotArea>
    </format>
    <format dxfId="125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4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3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22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1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20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19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18">
      <pivotArea dataOnly="0" labelOnly="1" fieldPosition="0">
        <references count="1">
          <reference field="6" count="0"/>
        </references>
      </pivotArea>
    </format>
    <format dxfId="117">
      <pivotArea dataOnly="0" labelOnly="1" fieldPosition="0">
        <references count="1">
          <reference field="8" count="1">
            <x v="0"/>
          </reference>
        </references>
      </pivotArea>
    </format>
    <format dxfId="116">
      <pivotArea dataOnly="0" labelOnly="1" fieldPosition="0">
        <references count="1">
          <reference field="8" count="1">
            <x v="2"/>
          </reference>
        </references>
      </pivotArea>
    </format>
    <format dxfId="115">
      <pivotArea outline="0" collapsedLevelsAreSubtotals="1" fieldPosition="0"/>
    </format>
    <format dxfId="114">
      <pivotArea outline="0" collapsedLevelsAreSubtotals="1" fieldPosition="0"/>
    </format>
    <format dxfId="113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2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1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10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09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8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7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6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5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4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03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2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1">
      <pivotArea collapsedLevelsAreSubtotals="1" fieldPosition="0">
        <references count="1">
          <reference field="8" count="1">
            <x v="2"/>
          </reference>
        </references>
      </pivotArea>
    </format>
    <format dxfId="100">
      <pivotArea dataOnly="0" labelOnly="1" fieldPosition="0">
        <references count="1">
          <reference field="8" count="1">
            <x v="2"/>
          </reference>
        </references>
      </pivotArea>
    </format>
    <format dxfId="99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8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7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6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5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4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3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2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1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90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89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8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7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6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5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4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3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2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1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0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9">
      <pivotArea outline="0" collapsedLevelsAreSubtotals="1" fieldPosition="0"/>
    </format>
    <format dxfId="78">
      <pivotArea dataOnly="0" labelOnly="1" fieldPosition="0">
        <references count="1">
          <reference field="8" count="0"/>
        </references>
      </pivotArea>
    </format>
    <format dxfId="7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7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7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7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7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7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7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6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6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6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6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6">
      <pivotArea type="all" dataOnly="0" outline="0" fieldPosition="0"/>
    </format>
    <format dxfId="55">
      <pivotArea outline="0" collapsedLevelsAreSubtotals="1" fieldPosition="0"/>
    </format>
    <format dxfId="54">
      <pivotArea type="origin" dataOnly="0" labelOnly="1" outline="0" fieldPosition="0"/>
    </format>
    <format dxfId="53">
      <pivotArea field="5" type="button" dataOnly="0" labelOnly="1" outline="0" axis="axisCol" fieldPosition="0"/>
    </format>
    <format dxfId="52">
      <pivotArea field="4" type="button" dataOnly="0" labelOnly="1" outline="0" axis="axisCol" fieldPosition="1"/>
    </format>
    <format dxfId="51">
      <pivotArea field="3" type="button" dataOnly="0" labelOnly="1" outline="0" axis="axisCol" fieldPosition="2"/>
    </format>
    <format dxfId="50">
      <pivotArea type="topRight" dataOnly="0" labelOnly="1" outline="0" fieldPosition="0"/>
    </format>
    <format dxfId="49">
      <pivotArea field="8" type="button" dataOnly="0" labelOnly="1" outline="0" axis="axisRow" fieldPosition="0"/>
    </format>
    <format dxfId="48">
      <pivotArea dataOnly="0" labelOnly="1" fieldPosition="0">
        <references count="1">
          <reference field="8" count="0"/>
        </references>
      </pivotArea>
    </format>
    <format dxfId="4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4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4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4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4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4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4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3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3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3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3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5" count="0"/>
        </references>
      </pivotArea>
    </format>
    <format dxfId="25">
      <pivotArea dataOnly="0" labelOnly="1" outline="0" fieldPosition="0">
        <references count="1">
          <reference field="5" count="0" sumSubtotal="1"/>
        </references>
      </pivotArea>
    </format>
    <format dxfId="24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23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22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21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20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9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18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7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16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15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14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1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11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10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9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8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7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6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5">
      <pivotArea dataOnly="0" labelOnly="1" fieldPosition="0">
        <references count="1">
          <reference field="8" count="1">
            <x v="0"/>
          </reference>
        </references>
      </pivotArea>
    </format>
    <format dxfId="4">
      <pivotArea dataOnly="0" labelOnly="1" fieldPosition="0">
        <references count="1">
          <reference field="8" count="1">
            <x v="0"/>
          </reference>
        </references>
      </pivotArea>
    </format>
    <format dxfId="3">
      <pivotArea collapsedLevelsAreSubtotals="1" fieldPosition="0">
        <references count="1">
          <reference field="8" count="1">
            <x v="0"/>
          </reference>
        </references>
      </pivotArea>
    </format>
    <format dxfId="2">
      <pivotArea dataOnly="0" labelOnly="1" fieldPosition="0">
        <references count="1">
          <reference field="8" count="1">
            <x v="0"/>
          </reference>
        </references>
      </pivotArea>
    </format>
    <format dxfId="1">
      <pivotArea collapsedLevelsAreSubtotals="1" fieldPosition="0">
        <references count="7">
          <reference field="1" count="1">
            <x v="7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postgres" connectionId="7" autoFormatId="16" applyNumberFormats="0" applyBorderFormats="0" applyFontFormats="0" applyPatternFormats="0" applyAlignmentFormats="0" applyWidthHeightFormats="0">
  <queryTableRefresh nextId="44">
    <queryTableFields count="43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nguonnx_tructhuoc" tableColumnId="36"/>
      <queryTableField id="37" name="nguonnx_tcn" tableColumnId="37"/>
      <queryTableField id="38" name="phuongtien_id" tableColumnId="38"/>
      <queryTableField id="39" name="nguonnx_nvu_id" tableColumnId="39"/>
      <queryTableField id="40" name="phuongtien_nvu_id" tableColumnId="40"/>
      <queryTableField id="41" name="so_phut" tableColumnId="41"/>
      <queryTableField id="42" name="tonkhotong_id" tableColumnId="42"/>
      <queryTableField id="43" name="tonkho_id" tableColumnId="43"/>
    </queryTableFields>
  </queryTableRefresh>
</queryTable>
</file>

<file path=xl/queryTables/queryTable2.xml><?xml version="1.0" encoding="utf-8"?>
<queryTable xmlns="http://schemas.openxmlformats.org/spreadsheetml/2006/main" name="postgres loaixd2" connectionId="3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</queryTableFields>
  </queryTableRefresh>
</queryTable>
</file>

<file path=xl/queryTables/queryTable3.xml><?xml version="1.0" encoding="utf-8"?>
<queryTable xmlns="http://schemas.openxmlformats.org/spreadsheetml/2006/main" name="postgres nguon_nx" connectionId="4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ten" tableColumnId="2"/>
      <queryTableField id="3" name="loai" tableColumnId="3"/>
      <queryTableField id="4" name="createtime" tableColumnId="4"/>
      <queryTableField id="5" name="loai_tt" tableColumnId="5"/>
      <queryTableField id="6" name="may_bay" tableColumnId="6"/>
    </queryTableFields>
  </queryTableRefresh>
</queryTable>
</file>

<file path=xl/queryTables/queryTable4.xml><?xml version="1.0" encoding="utf-8"?>
<queryTable xmlns="http://schemas.openxmlformats.org/spreadsheetml/2006/main" name="postgres tructhuoc" connectionId="6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transaction" tableColumnId="4"/>
      <queryTableField id="5" name="timestamp" tableColumnId="5"/>
      <queryTableField id="6" name="loai_phieu" tableColumnId="6"/>
      <queryTableField id="7" name="status" tableColumnId="7"/>
    </queryTableFields>
  </queryTableRefresh>
</queryTable>
</file>

<file path=xl/queryTables/queryTable5.xml><?xml version="1.0" encoding="utf-8"?>
<queryTable xmlns="http://schemas.openxmlformats.org/spreadsheetml/2006/main" name="postgres nguonnx_tructhuoc" connectionId="5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guonnx_id" tableColumnId="2"/>
      <queryTableField id="3" name="tructhuoc_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1" name="tb_socai" displayName="tb_socai" ref="B2:AR11" tableType="queryTable" totalsRowShown="0">
  <autoFilter ref="B2:AR11"/>
  <tableColumns count="43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224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nguonnx_tructhuoc" queryTableFieldId="36"/>
    <tableColumn id="37" uniqueName="37" name="nguonnx_tcn" queryTableFieldId="37"/>
    <tableColumn id="38" uniqueName="38" name="phuongtien_id" queryTableFieldId="38"/>
    <tableColumn id="39" uniqueName="39" name="nguonnx_nvu_id" queryTableFieldId="39"/>
    <tableColumn id="40" uniqueName="40" name="phuongtien_nvu_id" queryTableFieldId="40"/>
    <tableColumn id="41" uniqueName="41" name="so_phut" queryTableFieldId="41"/>
    <tableColumn id="42" uniqueName="42" name="tonkhotong_id" queryTableFieldId="42"/>
    <tableColumn id="43" uniqueName="43" name="tonkho_id" queryTableField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_loaixd2" displayName="tb_loaixd2" ref="B2:I53" tableType="queryTable" totalsRowShown="0">
  <autoFilter ref="B2:I53"/>
  <tableColumns count="8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223"/>
    <tableColumn id="7" uniqueName="7" name="ut" queryTableFieldId="7"/>
    <tableColumn id="8" uniqueName="8" name="type" queryTableField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_nguon_nx" displayName="tb_nguon_nx" ref="A1:F46" tableType="queryTable" totalsRowShown="0">
  <autoFilter ref="A1:F46"/>
  <tableColumns count="6">
    <tableColumn id="1" uniqueName="1" name="id" queryTableFieldId="1"/>
    <tableColumn id="2" uniqueName="2" name="ten" queryTableFieldId="2"/>
    <tableColumn id="3" uniqueName="3" name="loai" queryTableFieldId="3"/>
    <tableColumn id="4" uniqueName="4" name="createtime" queryTableFieldId="4"/>
    <tableColumn id="5" uniqueName="5" name="loai_tt" queryTableFieldId="5"/>
    <tableColumn id="6" uniqueName="6" name="may_bay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b_tructhuoc" displayName="tb_tructhuoc" ref="A1:G15" tableType="queryTable" totalsRowShown="0">
  <autoFilter ref="A1:G15">
    <filterColumn colId="5">
      <filters>
        <filter val="NHAP"/>
      </filters>
    </filterColumn>
  </autoFilter>
  <sortState ref="A2:G15">
    <sortCondition ref="A1:A15"/>
  </sortState>
  <tableColumns count="7">
    <tableColumn id="1" uniqueName="1" name="id" queryTableFieldId="1"/>
    <tableColumn id="2" uniqueName="2" name="name" queryTableFieldId="2"/>
    <tableColumn id="3" uniqueName="3" name="type" queryTableFieldId="3"/>
    <tableColumn id="4" uniqueName="4" name="transaction" queryTableFieldId="4"/>
    <tableColumn id="5" uniqueName="5" name="timestamp" queryTableFieldId="5" dataDxfId="0"/>
    <tableColumn id="6" uniqueName="6" name="loai_phieu" queryTableFieldId="6"/>
    <tableColumn id="7" uniqueName="7" name="status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b_nguonnx_tructhuoc" displayName="tb_nguonnx_tructhuoc" ref="A1:C31" tableType="queryTable" totalsRowShown="0">
  <autoFilter ref="A1:C31"/>
  <tableColumns count="3">
    <tableColumn id="1" uniqueName="1" name="id" queryTableFieldId="1"/>
    <tableColumn id="2" uniqueName="2" name="nguonnx_id" queryTableFieldId="2"/>
    <tableColumn id="3" uniqueName="3" name="tructhuoc_id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R11"/>
  <sheetViews>
    <sheetView workbookViewId="0">
      <selection activeCell="F11" sqref="F11"/>
    </sheetView>
  </sheetViews>
  <sheetFormatPr defaultRowHeight="15" x14ac:dyDescent="0.25"/>
  <cols>
    <col min="2" max="2" width="5.85546875" bestFit="1" customWidth="1"/>
    <col min="3" max="3" width="10.28515625" bestFit="1" customWidth="1"/>
    <col min="4" max="4" width="9" bestFit="1" customWidth="1"/>
    <col min="5" max="5" width="18.42578125" bestFit="1" customWidth="1"/>
    <col min="6" max="6" width="12.7109375" bestFit="1" customWidth="1"/>
    <col min="7" max="7" width="12.28515625" bestFit="1" customWidth="1"/>
    <col min="8" max="8" width="5.140625" bestFit="1" customWidth="1"/>
    <col min="9" max="9" width="14.5703125" bestFit="1" customWidth="1"/>
    <col min="10" max="10" width="16.140625" bestFit="1" customWidth="1"/>
    <col min="11" max="11" width="18.7109375" bestFit="1" customWidth="1"/>
    <col min="12" max="12" width="8.42578125" bestFit="1" customWidth="1"/>
    <col min="13" max="13" width="12.7109375" bestFit="1" customWidth="1"/>
    <col min="14" max="14" width="11.7109375" bestFit="1" customWidth="1"/>
    <col min="15" max="15" width="13.140625" bestFit="1" customWidth="1"/>
    <col min="16" max="16" width="10.5703125" bestFit="1" customWidth="1"/>
    <col min="17" max="18" width="11.7109375" bestFit="1" customWidth="1"/>
    <col min="19" max="19" width="10.140625" bestFit="1" customWidth="1"/>
    <col min="20" max="20" width="12.42578125" bestFit="1" customWidth="1"/>
    <col min="22" max="22" width="8.7109375" bestFit="1" customWidth="1"/>
    <col min="23" max="23" width="11.7109375" bestFit="1" customWidth="1"/>
    <col min="24" max="24" width="4.85546875" bestFit="1" customWidth="1"/>
    <col min="25" max="25" width="11.28515625" bestFit="1" customWidth="1"/>
    <col min="26" max="26" width="13.42578125" bestFit="1" customWidth="1"/>
    <col min="27" max="27" width="6.42578125" bestFit="1" customWidth="1"/>
    <col min="28" max="28" width="18.5703125" bestFit="1" customWidth="1"/>
    <col min="29" max="29" width="6.7109375" bestFit="1" customWidth="1"/>
    <col min="30" max="30" width="10.42578125" bestFit="1" customWidth="1"/>
    <col min="31" max="31" width="12.28515625" bestFit="1" customWidth="1"/>
    <col min="32" max="32" width="15.28515625" bestFit="1" customWidth="1"/>
    <col min="33" max="33" width="8.5703125" bestFit="1" customWidth="1"/>
    <col min="34" max="34" width="13.28515625" bestFit="1" customWidth="1"/>
    <col min="35" max="35" width="12.7109375" bestFit="1" customWidth="1"/>
    <col min="36" max="36" width="15.85546875" bestFit="1" customWidth="1"/>
    <col min="37" max="37" width="20.28515625" bestFit="1" customWidth="1"/>
    <col min="38" max="38" width="14.42578125" bestFit="1" customWidth="1"/>
    <col min="39" max="39" width="15.7109375" bestFit="1" customWidth="1"/>
    <col min="40" max="40" width="17.7109375" bestFit="1" customWidth="1"/>
    <col min="41" max="41" width="20.140625" bestFit="1" customWidth="1"/>
    <col min="42" max="42" width="10.140625" bestFit="1" customWidth="1"/>
    <col min="43" max="43" width="16.140625" bestFit="1" customWidth="1"/>
    <col min="44" max="44" width="12.140625" bestFit="1" customWidth="1"/>
  </cols>
  <sheetData>
    <row r="2" spans="2:44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  <c r="AE2" t="s">
        <v>29</v>
      </c>
      <c r="AF2" t="s">
        <v>30</v>
      </c>
      <c r="AG2" t="s">
        <v>31</v>
      </c>
      <c r="AH2" t="s">
        <v>32</v>
      </c>
      <c r="AI2" t="s">
        <v>33</v>
      </c>
      <c r="AJ2" t="s">
        <v>34</v>
      </c>
      <c r="AK2" t="s">
        <v>35</v>
      </c>
      <c r="AL2" t="s">
        <v>36</v>
      </c>
      <c r="AM2" t="s">
        <v>37</v>
      </c>
      <c r="AN2" t="s">
        <v>38</v>
      </c>
      <c r="AO2" t="s">
        <v>39</v>
      </c>
      <c r="AP2" t="s">
        <v>40</v>
      </c>
      <c r="AQ2" t="s">
        <v>41</v>
      </c>
      <c r="AR2" t="s">
        <v>42</v>
      </c>
    </row>
    <row r="3" spans="2:44" x14ac:dyDescent="0.25">
      <c r="B3" t="s">
        <v>43</v>
      </c>
      <c r="C3" t="s">
        <v>44</v>
      </c>
      <c r="E3" t="s">
        <v>45</v>
      </c>
      <c r="G3" t="s">
        <v>46</v>
      </c>
      <c r="H3" t="s">
        <v>47</v>
      </c>
      <c r="I3" t="s">
        <v>48</v>
      </c>
      <c r="J3" t="s">
        <v>49</v>
      </c>
      <c r="K3" t="s">
        <v>50</v>
      </c>
      <c r="L3" t="s">
        <v>51</v>
      </c>
      <c r="N3">
        <v>20000</v>
      </c>
      <c r="O3" t="s">
        <v>52</v>
      </c>
      <c r="P3">
        <v>0</v>
      </c>
      <c r="Q3">
        <v>0</v>
      </c>
      <c r="R3">
        <v>20000</v>
      </c>
      <c r="S3">
        <v>21220</v>
      </c>
      <c r="T3">
        <v>424400000</v>
      </c>
      <c r="U3">
        <v>0</v>
      </c>
      <c r="V3">
        <v>0</v>
      </c>
      <c r="W3" t="s">
        <v>53</v>
      </c>
      <c r="X3">
        <v>463</v>
      </c>
      <c r="Y3">
        <v>20</v>
      </c>
      <c r="Z3">
        <v>54</v>
      </c>
      <c r="AB3">
        <v>1</v>
      </c>
      <c r="AD3" t="s">
        <v>54</v>
      </c>
      <c r="AE3">
        <v>20</v>
      </c>
      <c r="AF3" s="1">
        <v>45573.617604166669</v>
      </c>
      <c r="AH3">
        <v>0</v>
      </c>
      <c r="AI3">
        <v>0</v>
      </c>
      <c r="AJ3">
        <v>0</v>
      </c>
      <c r="AK3">
        <v>23</v>
      </c>
      <c r="AL3">
        <v>7</v>
      </c>
      <c r="AM3">
        <v>0</v>
      </c>
      <c r="AN3">
        <v>0</v>
      </c>
      <c r="AO3">
        <v>0</v>
      </c>
      <c r="AP3">
        <v>0</v>
      </c>
      <c r="AQ3">
        <v>177</v>
      </c>
      <c r="AR3">
        <v>315</v>
      </c>
    </row>
    <row r="4" spans="2:44" x14ac:dyDescent="0.25">
      <c r="B4" t="s">
        <v>43</v>
      </c>
      <c r="C4" t="s">
        <v>44</v>
      </c>
      <c r="E4" t="s">
        <v>55</v>
      </c>
      <c r="G4" t="s">
        <v>46</v>
      </c>
      <c r="H4" t="s">
        <v>56</v>
      </c>
      <c r="I4" t="s">
        <v>57</v>
      </c>
      <c r="J4" t="s">
        <v>49</v>
      </c>
      <c r="K4" t="s">
        <v>50</v>
      </c>
      <c r="L4" t="s">
        <v>58</v>
      </c>
      <c r="N4">
        <v>20000</v>
      </c>
      <c r="O4" t="s">
        <v>52</v>
      </c>
      <c r="P4">
        <v>0</v>
      </c>
      <c r="Q4">
        <v>0</v>
      </c>
      <c r="R4">
        <v>20000</v>
      </c>
      <c r="S4">
        <v>32152</v>
      </c>
      <c r="T4">
        <v>643040000</v>
      </c>
      <c r="U4">
        <v>0</v>
      </c>
      <c r="V4">
        <v>0</v>
      </c>
      <c r="W4" t="s">
        <v>59</v>
      </c>
      <c r="X4">
        <v>464</v>
      </c>
      <c r="Y4">
        <v>21</v>
      </c>
      <c r="Z4">
        <v>54</v>
      </c>
      <c r="AB4">
        <v>17</v>
      </c>
      <c r="AD4" t="s">
        <v>60</v>
      </c>
      <c r="AE4">
        <v>20</v>
      </c>
      <c r="AF4" s="1">
        <v>45574.326099537036</v>
      </c>
      <c r="AH4">
        <v>0</v>
      </c>
      <c r="AI4">
        <v>0</v>
      </c>
      <c r="AJ4">
        <v>0</v>
      </c>
      <c r="AK4">
        <v>25</v>
      </c>
      <c r="AL4">
        <v>5</v>
      </c>
      <c r="AM4">
        <v>0</v>
      </c>
      <c r="AN4">
        <v>0</v>
      </c>
      <c r="AO4">
        <v>0</v>
      </c>
      <c r="AP4">
        <v>0</v>
      </c>
      <c r="AQ4">
        <v>178</v>
      </c>
      <c r="AR4">
        <v>316</v>
      </c>
    </row>
    <row r="5" spans="2:44" x14ac:dyDescent="0.25">
      <c r="B5" t="s">
        <v>43</v>
      </c>
      <c r="C5" t="s">
        <v>44</v>
      </c>
      <c r="E5" t="s">
        <v>61</v>
      </c>
      <c r="G5" t="s">
        <v>46</v>
      </c>
      <c r="H5" t="s">
        <v>56</v>
      </c>
      <c r="I5" t="s">
        <v>57</v>
      </c>
      <c r="J5" t="s">
        <v>49</v>
      </c>
      <c r="K5" t="s">
        <v>50</v>
      </c>
      <c r="L5" t="s">
        <v>58</v>
      </c>
      <c r="N5">
        <v>30000</v>
      </c>
      <c r="O5" t="s">
        <v>52</v>
      </c>
      <c r="P5">
        <v>0</v>
      </c>
      <c r="Q5">
        <v>0</v>
      </c>
      <c r="R5">
        <v>30000</v>
      </c>
      <c r="S5">
        <v>31544</v>
      </c>
      <c r="T5">
        <v>946320000</v>
      </c>
      <c r="U5">
        <v>0</v>
      </c>
      <c r="V5">
        <v>0</v>
      </c>
      <c r="W5" t="s">
        <v>59</v>
      </c>
      <c r="X5">
        <v>465</v>
      </c>
      <c r="Y5">
        <v>30</v>
      </c>
      <c r="Z5">
        <v>54</v>
      </c>
      <c r="AB5">
        <v>17</v>
      </c>
      <c r="AD5" t="s">
        <v>60</v>
      </c>
      <c r="AE5">
        <v>20</v>
      </c>
      <c r="AF5" s="1">
        <v>45574.326099537036</v>
      </c>
      <c r="AH5">
        <v>0</v>
      </c>
      <c r="AI5">
        <v>0</v>
      </c>
      <c r="AJ5">
        <v>0</v>
      </c>
      <c r="AK5">
        <v>25</v>
      </c>
      <c r="AL5">
        <v>5</v>
      </c>
      <c r="AM5">
        <v>0</v>
      </c>
      <c r="AN5">
        <v>0</v>
      </c>
      <c r="AO5">
        <v>0</v>
      </c>
      <c r="AP5">
        <v>0</v>
      </c>
      <c r="AQ5">
        <v>179</v>
      </c>
      <c r="AR5">
        <v>317</v>
      </c>
    </row>
    <row r="6" spans="2:44" x14ac:dyDescent="0.25">
      <c r="B6" t="s">
        <v>43</v>
      </c>
      <c r="C6" t="s">
        <v>44</v>
      </c>
      <c r="E6" t="s">
        <v>62</v>
      </c>
      <c r="G6" t="s">
        <v>46</v>
      </c>
      <c r="H6" t="s">
        <v>63</v>
      </c>
      <c r="I6" t="s">
        <v>64</v>
      </c>
      <c r="J6" t="s">
        <v>49</v>
      </c>
      <c r="K6" t="s">
        <v>50</v>
      </c>
      <c r="L6" t="s">
        <v>64</v>
      </c>
      <c r="N6">
        <v>2000</v>
      </c>
      <c r="O6" t="s">
        <v>52</v>
      </c>
      <c r="P6">
        <v>0</v>
      </c>
      <c r="Q6">
        <v>0</v>
      </c>
      <c r="R6">
        <v>2000</v>
      </c>
      <c r="S6">
        <v>16444</v>
      </c>
      <c r="T6">
        <v>32888000</v>
      </c>
      <c r="U6">
        <v>0</v>
      </c>
      <c r="V6">
        <v>0</v>
      </c>
      <c r="W6" t="s">
        <v>65</v>
      </c>
      <c r="X6">
        <v>470</v>
      </c>
      <c r="Y6">
        <v>52</v>
      </c>
      <c r="Z6">
        <v>54</v>
      </c>
      <c r="AB6">
        <v>18</v>
      </c>
      <c r="AD6" t="s">
        <v>66</v>
      </c>
      <c r="AE6">
        <v>20</v>
      </c>
      <c r="AF6" s="1">
        <v>45574.375023148146</v>
      </c>
      <c r="AH6">
        <v>0</v>
      </c>
      <c r="AI6">
        <v>0</v>
      </c>
      <c r="AJ6">
        <v>0</v>
      </c>
      <c r="AK6">
        <v>26</v>
      </c>
      <c r="AL6">
        <v>22</v>
      </c>
      <c r="AM6">
        <v>0</v>
      </c>
      <c r="AN6">
        <v>0</v>
      </c>
      <c r="AO6">
        <v>0</v>
      </c>
      <c r="AP6">
        <v>0</v>
      </c>
      <c r="AQ6">
        <v>182</v>
      </c>
      <c r="AR6">
        <v>320</v>
      </c>
    </row>
    <row r="7" spans="2:44" x14ac:dyDescent="0.25">
      <c r="B7" t="s">
        <v>43</v>
      </c>
      <c r="C7" t="s">
        <v>44</v>
      </c>
      <c r="E7" t="s">
        <v>78</v>
      </c>
      <c r="G7" t="s">
        <v>46</v>
      </c>
      <c r="H7" t="s">
        <v>218</v>
      </c>
      <c r="I7" t="s">
        <v>219</v>
      </c>
      <c r="J7" t="s">
        <v>49</v>
      </c>
      <c r="K7" t="s">
        <v>64</v>
      </c>
      <c r="L7" t="s">
        <v>220</v>
      </c>
      <c r="N7">
        <v>20000</v>
      </c>
      <c r="O7" t="s">
        <v>52</v>
      </c>
      <c r="P7">
        <v>0</v>
      </c>
      <c r="Q7">
        <v>0</v>
      </c>
      <c r="R7">
        <v>20000</v>
      </c>
      <c r="S7">
        <v>66225</v>
      </c>
      <c r="T7">
        <v>1324500000</v>
      </c>
      <c r="U7">
        <v>0</v>
      </c>
      <c r="V7">
        <v>0</v>
      </c>
      <c r="W7" t="s">
        <v>53</v>
      </c>
      <c r="X7">
        <v>471</v>
      </c>
      <c r="Y7">
        <v>54</v>
      </c>
      <c r="Z7">
        <v>54</v>
      </c>
      <c r="AB7">
        <v>1</v>
      </c>
      <c r="AD7" t="s">
        <v>221</v>
      </c>
      <c r="AE7">
        <v>20</v>
      </c>
      <c r="AF7" s="1">
        <v>45575.422407407408</v>
      </c>
      <c r="AH7">
        <v>0</v>
      </c>
      <c r="AI7">
        <v>0</v>
      </c>
      <c r="AJ7">
        <v>0</v>
      </c>
      <c r="AK7">
        <v>51</v>
      </c>
      <c r="AL7">
        <v>7</v>
      </c>
      <c r="AM7">
        <v>0</v>
      </c>
      <c r="AN7">
        <v>0</v>
      </c>
      <c r="AO7">
        <v>0</v>
      </c>
      <c r="AP7">
        <v>0</v>
      </c>
      <c r="AQ7">
        <v>183</v>
      </c>
      <c r="AR7">
        <v>321</v>
      </c>
    </row>
    <row r="8" spans="2:44" x14ac:dyDescent="0.25">
      <c r="B8" t="s">
        <v>43</v>
      </c>
      <c r="C8" t="s">
        <v>222</v>
      </c>
      <c r="E8" t="s">
        <v>122</v>
      </c>
      <c r="G8" t="s">
        <v>46</v>
      </c>
      <c r="H8" t="s">
        <v>223</v>
      </c>
      <c r="I8" t="s">
        <v>224</v>
      </c>
      <c r="J8" t="s">
        <v>49</v>
      </c>
      <c r="K8" t="s">
        <v>50</v>
      </c>
      <c r="L8" t="s">
        <v>225</v>
      </c>
      <c r="N8">
        <v>22200</v>
      </c>
      <c r="O8" t="s">
        <v>52</v>
      </c>
      <c r="P8">
        <v>0</v>
      </c>
      <c r="Q8">
        <v>0</v>
      </c>
      <c r="R8">
        <v>22200</v>
      </c>
      <c r="S8">
        <v>15645</v>
      </c>
      <c r="T8">
        <v>347319000</v>
      </c>
      <c r="U8">
        <v>0</v>
      </c>
      <c r="V8">
        <v>0</v>
      </c>
      <c r="W8" t="s">
        <v>53</v>
      </c>
      <c r="X8">
        <v>472</v>
      </c>
      <c r="Y8">
        <v>28</v>
      </c>
      <c r="Z8">
        <v>54</v>
      </c>
      <c r="AB8">
        <v>1</v>
      </c>
      <c r="AD8" t="s">
        <v>226</v>
      </c>
      <c r="AE8">
        <v>20</v>
      </c>
      <c r="AF8" s="1">
        <v>45575.424155092594</v>
      </c>
      <c r="AH8">
        <v>0</v>
      </c>
      <c r="AI8">
        <v>0</v>
      </c>
      <c r="AJ8">
        <v>0</v>
      </c>
      <c r="AK8">
        <v>23</v>
      </c>
      <c r="AL8">
        <v>7</v>
      </c>
      <c r="AM8">
        <v>0</v>
      </c>
      <c r="AN8">
        <v>0</v>
      </c>
      <c r="AO8">
        <v>0</v>
      </c>
      <c r="AP8">
        <v>0</v>
      </c>
      <c r="AQ8">
        <v>184</v>
      </c>
      <c r="AR8">
        <v>322</v>
      </c>
    </row>
    <row r="9" spans="2:44" x14ac:dyDescent="0.25">
      <c r="B9" t="s">
        <v>43</v>
      </c>
      <c r="C9" t="s">
        <v>60</v>
      </c>
      <c r="E9" t="s">
        <v>103</v>
      </c>
      <c r="G9" t="s">
        <v>46</v>
      </c>
      <c r="H9" t="s">
        <v>227</v>
      </c>
      <c r="I9" t="s">
        <v>228</v>
      </c>
      <c r="J9" t="s">
        <v>229</v>
      </c>
      <c r="K9" t="s">
        <v>230</v>
      </c>
      <c r="L9" t="s">
        <v>231</v>
      </c>
      <c r="N9">
        <v>30000</v>
      </c>
      <c r="O9" t="s">
        <v>52</v>
      </c>
      <c r="P9">
        <v>0</v>
      </c>
      <c r="Q9">
        <v>0</v>
      </c>
      <c r="R9">
        <v>30000</v>
      </c>
      <c r="S9">
        <v>16888</v>
      </c>
      <c r="T9">
        <v>506640000</v>
      </c>
      <c r="U9">
        <v>0</v>
      </c>
      <c r="V9">
        <v>0</v>
      </c>
      <c r="W9" t="s">
        <v>173</v>
      </c>
      <c r="X9">
        <v>473</v>
      </c>
      <c r="Y9">
        <v>22</v>
      </c>
      <c r="Z9">
        <v>54</v>
      </c>
      <c r="AB9">
        <v>19</v>
      </c>
      <c r="AD9" t="s">
        <v>232</v>
      </c>
      <c r="AE9">
        <v>20</v>
      </c>
      <c r="AF9" s="1">
        <v>45575.428865740738</v>
      </c>
      <c r="AH9">
        <v>0</v>
      </c>
      <c r="AI9">
        <v>0</v>
      </c>
      <c r="AJ9">
        <v>0</v>
      </c>
      <c r="AK9">
        <v>27</v>
      </c>
      <c r="AL9">
        <v>6</v>
      </c>
      <c r="AM9">
        <v>0</v>
      </c>
      <c r="AN9">
        <v>0</v>
      </c>
      <c r="AO9">
        <v>0</v>
      </c>
      <c r="AP9">
        <v>0</v>
      </c>
      <c r="AQ9">
        <v>185</v>
      </c>
      <c r="AR9">
        <v>323</v>
      </c>
    </row>
    <row r="10" spans="2:44" x14ac:dyDescent="0.25">
      <c r="B10" t="s">
        <v>43</v>
      </c>
      <c r="C10" t="s">
        <v>60</v>
      </c>
      <c r="E10" t="s">
        <v>45</v>
      </c>
      <c r="G10" t="s">
        <v>46</v>
      </c>
      <c r="H10" t="s">
        <v>234</v>
      </c>
      <c r="I10" t="s">
        <v>235</v>
      </c>
      <c r="J10" t="s">
        <v>236</v>
      </c>
      <c r="K10" t="s">
        <v>237</v>
      </c>
      <c r="L10" t="s">
        <v>238</v>
      </c>
      <c r="N10">
        <v>15500</v>
      </c>
      <c r="O10" t="s">
        <v>52</v>
      </c>
      <c r="P10">
        <v>0</v>
      </c>
      <c r="Q10">
        <v>0</v>
      </c>
      <c r="R10">
        <v>15500</v>
      </c>
      <c r="S10">
        <v>15000</v>
      </c>
      <c r="T10">
        <v>232500000</v>
      </c>
      <c r="U10">
        <v>0</v>
      </c>
      <c r="V10">
        <v>0</v>
      </c>
      <c r="W10" t="s">
        <v>175</v>
      </c>
      <c r="X10">
        <v>474</v>
      </c>
      <c r="Y10">
        <v>20</v>
      </c>
      <c r="Z10">
        <v>54</v>
      </c>
      <c r="AB10">
        <v>20</v>
      </c>
      <c r="AD10" t="s">
        <v>232</v>
      </c>
      <c r="AE10">
        <v>20</v>
      </c>
      <c r="AF10" s="1">
        <v>45575.444490740738</v>
      </c>
      <c r="AH10">
        <v>0</v>
      </c>
      <c r="AI10">
        <v>0</v>
      </c>
      <c r="AJ10">
        <v>0</v>
      </c>
      <c r="AK10">
        <v>28</v>
      </c>
      <c r="AL10">
        <v>19</v>
      </c>
      <c r="AM10">
        <v>0</v>
      </c>
      <c r="AN10">
        <v>0</v>
      </c>
      <c r="AO10">
        <v>0</v>
      </c>
      <c r="AP10">
        <v>0</v>
      </c>
      <c r="AQ10">
        <v>177</v>
      </c>
      <c r="AR10">
        <v>324</v>
      </c>
    </row>
    <row r="11" spans="2:44" x14ac:dyDescent="0.25">
      <c r="B11" t="s">
        <v>201</v>
      </c>
      <c r="C11" t="s">
        <v>44</v>
      </c>
      <c r="E11" t="s">
        <v>77</v>
      </c>
      <c r="G11" t="s">
        <v>239</v>
      </c>
      <c r="H11" t="s">
        <v>240</v>
      </c>
      <c r="I11" t="s">
        <v>241</v>
      </c>
      <c r="J11" t="s">
        <v>242</v>
      </c>
      <c r="K11" t="s">
        <v>243</v>
      </c>
      <c r="L11" t="s">
        <v>64</v>
      </c>
      <c r="N11">
        <v>10000</v>
      </c>
      <c r="O11" t="s">
        <v>52</v>
      </c>
      <c r="P11">
        <v>0</v>
      </c>
      <c r="Q11">
        <v>0</v>
      </c>
      <c r="R11">
        <v>10000</v>
      </c>
      <c r="S11">
        <v>16555</v>
      </c>
      <c r="T11">
        <v>165550000</v>
      </c>
      <c r="U11">
        <v>0</v>
      </c>
      <c r="V11">
        <v>0</v>
      </c>
      <c r="W11" t="s">
        <v>43</v>
      </c>
      <c r="X11">
        <v>475</v>
      </c>
      <c r="Y11">
        <v>53</v>
      </c>
      <c r="Z11">
        <v>5</v>
      </c>
      <c r="AB11">
        <v>54</v>
      </c>
      <c r="AD11" t="s">
        <v>244</v>
      </c>
      <c r="AE11">
        <v>20</v>
      </c>
      <c r="AF11" s="1">
        <v>45575.642129629632</v>
      </c>
      <c r="AH11">
        <v>0</v>
      </c>
      <c r="AI11">
        <v>0</v>
      </c>
      <c r="AJ11">
        <v>0</v>
      </c>
      <c r="AK11">
        <v>44</v>
      </c>
      <c r="AL11">
        <v>52</v>
      </c>
      <c r="AM11">
        <v>0</v>
      </c>
      <c r="AN11">
        <v>0</v>
      </c>
      <c r="AO11">
        <v>0</v>
      </c>
      <c r="AP11">
        <v>0</v>
      </c>
      <c r="AQ11">
        <v>181</v>
      </c>
      <c r="AR11">
        <v>319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53"/>
  <sheetViews>
    <sheetView workbookViewId="0">
      <selection activeCell="C7" sqref="C7"/>
    </sheetView>
  </sheetViews>
  <sheetFormatPr defaultRowHeight="15" x14ac:dyDescent="0.25"/>
  <cols>
    <col min="2" max="2" width="4.85546875" bestFit="1" customWidth="1"/>
    <col min="3" max="4" width="23.85546875" bestFit="1" customWidth="1"/>
    <col min="5" max="5" width="19.42578125" bestFit="1" customWidth="1"/>
    <col min="6" max="6" width="8.28515625" bestFit="1" customWidth="1"/>
    <col min="7" max="7" width="14.28515625" bestFit="1" customWidth="1"/>
    <col min="8" max="8" width="5" bestFit="1" customWidth="1"/>
    <col min="9" max="9" width="9.5703125" bestFit="1" customWidth="1"/>
  </cols>
  <sheetData>
    <row r="2" spans="2:9" x14ac:dyDescent="0.25">
      <c r="B2" t="s">
        <v>22</v>
      </c>
      <c r="C2" t="s">
        <v>67</v>
      </c>
      <c r="D2" t="s">
        <v>68</v>
      </c>
      <c r="E2" t="s">
        <v>69</v>
      </c>
      <c r="F2" t="s">
        <v>70</v>
      </c>
      <c r="G2" t="s">
        <v>30</v>
      </c>
      <c r="H2" t="s">
        <v>71</v>
      </c>
      <c r="I2" t="s">
        <v>72</v>
      </c>
    </row>
    <row r="3" spans="2:9" x14ac:dyDescent="0.25">
      <c r="B3">
        <v>51</v>
      </c>
      <c r="C3" t="s">
        <v>73</v>
      </c>
      <c r="D3" t="s">
        <v>73</v>
      </c>
      <c r="E3" t="s">
        <v>74</v>
      </c>
      <c r="F3" t="s">
        <v>75</v>
      </c>
      <c r="G3" s="1">
        <v>45554.47215277778</v>
      </c>
      <c r="H3">
        <v>1</v>
      </c>
      <c r="I3" t="s">
        <v>76</v>
      </c>
    </row>
    <row r="4" spans="2:9" x14ac:dyDescent="0.25">
      <c r="B4">
        <v>52</v>
      </c>
      <c r="C4" t="s">
        <v>62</v>
      </c>
      <c r="D4" t="s">
        <v>62</v>
      </c>
      <c r="E4" t="s">
        <v>74</v>
      </c>
      <c r="F4" t="s">
        <v>75</v>
      </c>
      <c r="G4" s="1">
        <v>45554.47215277778</v>
      </c>
      <c r="H4">
        <v>2</v>
      </c>
      <c r="I4" t="s">
        <v>76</v>
      </c>
    </row>
    <row r="5" spans="2:9" x14ac:dyDescent="0.25">
      <c r="B5">
        <v>53</v>
      </c>
      <c r="C5" t="s">
        <v>77</v>
      </c>
      <c r="D5" t="s">
        <v>77</v>
      </c>
      <c r="E5" t="s">
        <v>74</v>
      </c>
      <c r="F5" t="s">
        <v>75</v>
      </c>
      <c r="G5" s="1">
        <v>45554.47215277778</v>
      </c>
      <c r="H5">
        <v>3</v>
      </c>
      <c r="I5" t="s">
        <v>76</v>
      </c>
    </row>
    <row r="6" spans="2:9" x14ac:dyDescent="0.25">
      <c r="B6">
        <v>54</v>
      </c>
      <c r="C6" t="s">
        <v>78</v>
      </c>
      <c r="D6" t="s">
        <v>78</v>
      </c>
      <c r="E6" t="s">
        <v>74</v>
      </c>
      <c r="F6" t="s">
        <v>75</v>
      </c>
      <c r="G6" s="1">
        <v>45554.47215277778</v>
      </c>
      <c r="H6">
        <v>4</v>
      </c>
      <c r="I6" t="s">
        <v>76</v>
      </c>
    </row>
    <row r="7" spans="2:9" x14ac:dyDescent="0.25">
      <c r="B7">
        <v>55</v>
      </c>
      <c r="C7" t="s">
        <v>79</v>
      </c>
      <c r="D7" t="s">
        <v>79</v>
      </c>
      <c r="E7" t="s">
        <v>74</v>
      </c>
      <c r="F7" t="s">
        <v>75</v>
      </c>
      <c r="G7" s="1">
        <v>45554.47216435185</v>
      </c>
      <c r="H7">
        <v>5</v>
      </c>
      <c r="I7" t="s">
        <v>76</v>
      </c>
    </row>
    <row r="8" spans="2:9" x14ac:dyDescent="0.25">
      <c r="B8">
        <v>56</v>
      </c>
      <c r="C8" t="s">
        <v>80</v>
      </c>
      <c r="D8" t="s">
        <v>80</v>
      </c>
      <c r="E8" t="s">
        <v>81</v>
      </c>
      <c r="F8" t="s">
        <v>75</v>
      </c>
      <c r="G8" s="1">
        <v>45554.47216435185</v>
      </c>
      <c r="H8">
        <v>1</v>
      </c>
      <c r="I8" t="s">
        <v>76</v>
      </c>
    </row>
    <row r="9" spans="2:9" x14ac:dyDescent="0.25">
      <c r="B9">
        <v>57</v>
      </c>
      <c r="C9" t="s">
        <v>82</v>
      </c>
      <c r="D9" t="s">
        <v>82</v>
      </c>
      <c r="E9" t="s">
        <v>83</v>
      </c>
      <c r="F9" t="s">
        <v>75</v>
      </c>
      <c r="G9" s="1">
        <v>45554.47216435185</v>
      </c>
      <c r="H9">
        <v>1</v>
      </c>
      <c r="I9" t="s">
        <v>76</v>
      </c>
    </row>
    <row r="10" spans="2:9" x14ac:dyDescent="0.25">
      <c r="B10">
        <v>58</v>
      </c>
      <c r="C10" t="s">
        <v>84</v>
      </c>
      <c r="D10" t="s">
        <v>84</v>
      </c>
      <c r="E10" t="s">
        <v>83</v>
      </c>
      <c r="F10" t="s">
        <v>75</v>
      </c>
      <c r="G10" s="1">
        <v>45554.47216435185</v>
      </c>
      <c r="H10">
        <v>2</v>
      </c>
      <c r="I10" t="s">
        <v>76</v>
      </c>
    </row>
    <row r="11" spans="2:9" x14ac:dyDescent="0.25">
      <c r="B11">
        <v>59</v>
      </c>
      <c r="C11" t="s">
        <v>85</v>
      </c>
      <c r="D11" t="s">
        <v>85</v>
      </c>
      <c r="E11" t="s">
        <v>83</v>
      </c>
      <c r="F11" t="s">
        <v>75</v>
      </c>
      <c r="G11" s="1">
        <v>45554.47216435185</v>
      </c>
      <c r="H11">
        <v>3</v>
      </c>
      <c r="I11" t="s">
        <v>76</v>
      </c>
    </row>
    <row r="12" spans="2:9" x14ac:dyDescent="0.25">
      <c r="B12">
        <v>60</v>
      </c>
      <c r="C12" t="s">
        <v>86</v>
      </c>
      <c r="D12" t="s">
        <v>86</v>
      </c>
      <c r="E12" t="s">
        <v>83</v>
      </c>
      <c r="F12" t="s">
        <v>75</v>
      </c>
      <c r="G12" s="1">
        <v>45554.47216435185</v>
      </c>
      <c r="H12">
        <v>4</v>
      </c>
      <c r="I12" t="s">
        <v>76</v>
      </c>
    </row>
    <row r="13" spans="2:9" x14ac:dyDescent="0.25">
      <c r="B13">
        <v>61</v>
      </c>
      <c r="C13" t="s">
        <v>87</v>
      </c>
      <c r="D13" t="s">
        <v>87</v>
      </c>
      <c r="E13" t="s">
        <v>83</v>
      </c>
      <c r="F13" t="s">
        <v>75</v>
      </c>
      <c r="G13" s="1">
        <v>45554.47216435185</v>
      </c>
      <c r="H13">
        <v>5</v>
      </c>
      <c r="I13" t="s">
        <v>76</v>
      </c>
    </row>
    <row r="14" spans="2:9" x14ac:dyDescent="0.25">
      <c r="B14">
        <v>62</v>
      </c>
      <c r="C14" t="s">
        <v>88</v>
      </c>
      <c r="D14" t="s">
        <v>88</v>
      </c>
      <c r="E14" t="s">
        <v>83</v>
      </c>
      <c r="F14" t="s">
        <v>75</v>
      </c>
      <c r="G14" s="1">
        <v>45554.47216435185</v>
      </c>
      <c r="H14">
        <v>6</v>
      </c>
      <c r="I14" t="s">
        <v>76</v>
      </c>
    </row>
    <row r="15" spans="2:9" x14ac:dyDescent="0.25">
      <c r="B15">
        <v>63</v>
      </c>
      <c r="C15" t="s">
        <v>89</v>
      </c>
      <c r="D15" t="s">
        <v>89</v>
      </c>
      <c r="E15" t="s">
        <v>83</v>
      </c>
      <c r="F15" t="s">
        <v>75</v>
      </c>
      <c r="G15" s="1">
        <v>45554.47216435185</v>
      </c>
      <c r="H15">
        <v>7</v>
      </c>
      <c r="I15" t="s">
        <v>76</v>
      </c>
    </row>
    <row r="16" spans="2:9" x14ac:dyDescent="0.25">
      <c r="B16">
        <v>64</v>
      </c>
      <c r="C16" t="s">
        <v>90</v>
      </c>
      <c r="D16" t="s">
        <v>90</v>
      </c>
      <c r="E16" t="s">
        <v>83</v>
      </c>
      <c r="F16" t="s">
        <v>75</v>
      </c>
      <c r="G16" s="1">
        <v>45554.47216435185</v>
      </c>
      <c r="H16">
        <v>8</v>
      </c>
      <c r="I16" t="s">
        <v>76</v>
      </c>
    </row>
    <row r="17" spans="2:9" x14ac:dyDescent="0.25">
      <c r="B17">
        <v>65</v>
      </c>
      <c r="C17" t="s">
        <v>91</v>
      </c>
      <c r="D17" t="s">
        <v>91</v>
      </c>
      <c r="E17" t="s">
        <v>83</v>
      </c>
      <c r="F17" t="s">
        <v>75</v>
      </c>
      <c r="G17" s="1">
        <v>45554.47216435185</v>
      </c>
      <c r="H17">
        <v>9</v>
      </c>
      <c r="I17" t="s">
        <v>76</v>
      </c>
    </row>
    <row r="18" spans="2:9" x14ac:dyDescent="0.25">
      <c r="B18">
        <v>66</v>
      </c>
      <c r="C18" t="s">
        <v>92</v>
      </c>
      <c r="D18" t="s">
        <v>92</v>
      </c>
      <c r="E18" t="s">
        <v>93</v>
      </c>
      <c r="F18" t="s">
        <v>75</v>
      </c>
      <c r="G18" s="1">
        <v>45554.47216435185</v>
      </c>
      <c r="H18">
        <v>1</v>
      </c>
      <c r="I18" t="s">
        <v>76</v>
      </c>
    </row>
    <row r="19" spans="2:9" x14ac:dyDescent="0.25">
      <c r="B19">
        <v>67</v>
      </c>
      <c r="C19" t="s">
        <v>94</v>
      </c>
      <c r="D19" t="s">
        <v>94</v>
      </c>
      <c r="E19" t="s">
        <v>93</v>
      </c>
      <c r="F19" t="s">
        <v>75</v>
      </c>
      <c r="G19" s="1">
        <v>45554.47216435185</v>
      </c>
      <c r="H19">
        <v>2</v>
      </c>
      <c r="I19" t="s">
        <v>76</v>
      </c>
    </row>
    <row r="20" spans="2:9" x14ac:dyDescent="0.25">
      <c r="B20">
        <v>68</v>
      </c>
      <c r="C20" t="s">
        <v>95</v>
      </c>
      <c r="D20" t="s">
        <v>95</v>
      </c>
      <c r="E20" t="s">
        <v>93</v>
      </c>
      <c r="F20" t="s">
        <v>75</v>
      </c>
      <c r="G20" s="1">
        <v>45554.47216435185</v>
      </c>
      <c r="H20">
        <v>3</v>
      </c>
      <c r="I20" t="s">
        <v>76</v>
      </c>
    </row>
    <row r="21" spans="2:9" x14ac:dyDescent="0.25">
      <c r="B21">
        <v>69</v>
      </c>
      <c r="C21" t="s">
        <v>96</v>
      </c>
      <c r="D21" t="s">
        <v>96</v>
      </c>
      <c r="E21" t="s">
        <v>93</v>
      </c>
      <c r="F21" t="s">
        <v>75</v>
      </c>
      <c r="G21" s="1">
        <v>45554.47216435185</v>
      </c>
      <c r="H21">
        <v>4</v>
      </c>
      <c r="I21" t="s">
        <v>76</v>
      </c>
    </row>
    <row r="22" spans="2:9" x14ac:dyDescent="0.25">
      <c r="B22">
        <v>70</v>
      </c>
      <c r="C22" t="s">
        <v>97</v>
      </c>
      <c r="D22" t="s">
        <v>97</v>
      </c>
      <c r="E22" t="s">
        <v>98</v>
      </c>
      <c r="F22" t="s">
        <v>75</v>
      </c>
      <c r="G22" s="1">
        <v>45554.47216435185</v>
      </c>
      <c r="H22">
        <v>1</v>
      </c>
      <c r="I22" t="s">
        <v>76</v>
      </c>
    </row>
    <row r="23" spans="2:9" x14ac:dyDescent="0.25">
      <c r="B23">
        <v>20</v>
      </c>
      <c r="C23" t="s">
        <v>99</v>
      </c>
      <c r="D23" t="s">
        <v>45</v>
      </c>
      <c r="E23" t="s">
        <v>100</v>
      </c>
      <c r="F23" t="s">
        <v>75</v>
      </c>
      <c r="G23" s="1">
        <v>45554.47215277778</v>
      </c>
      <c r="H23">
        <v>1</v>
      </c>
      <c r="I23" t="s">
        <v>101</v>
      </c>
    </row>
    <row r="24" spans="2:9" x14ac:dyDescent="0.25">
      <c r="B24">
        <v>21</v>
      </c>
      <c r="C24" t="s">
        <v>102</v>
      </c>
      <c r="D24" t="s">
        <v>55</v>
      </c>
      <c r="E24" t="s">
        <v>100</v>
      </c>
      <c r="F24" t="s">
        <v>75</v>
      </c>
      <c r="G24" s="1">
        <v>45554.47215277778</v>
      </c>
      <c r="H24">
        <v>2</v>
      </c>
      <c r="I24" t="s">
        <v>101</v>
      </c>
    </row>
    <row r="25" spans="2:9" x14ac:dyDescent="0.25">
      <c r="B25">
        <v>22</v>
      </c>
      <c r="C25" t="s">
        <v>103</v>
      </c>
      <c r="D25" t="s">
        <v>103</v>
      </c>
      <c r="E25" t="s">
        <v>104</v>
      </c>
      <c r="F25" t="s">
        <v>75</v>
      </c>
      <c r="G25" s="1">
        <v>45554.47215277778</v>
      </c>
      <c r="H25">
        <v>1</v>
      </c>
      <c r="I25" t="s">
        <v>101</v>
      </c>
    </row>
    <row r="26" spans="2:9" x14ac:dyDescent="0.25">
      <c r="B26">
        <v>36</v>
      </c>
      <c r="C26" t="s">
        <v>105</v>
      </c>
      <c r="D26" t="s">
        <v>106</v>
      </c>
      <c r="E26" t="s">
        <v>107</v>
      </c>
      <c r="F26" t="s">
        <v>75</v>
      </c>
      <c r="G26" s="1">
        <v>45554.47215277778</v>
      </c>
      <c r="H26">
        <v>1</v>
      </c>
      <c r="I26" t="s">
        <v>101</v>
      </c>
    </row>
    <row r="27" spans="2:9" x14ac:dyDescent="0.25">
      <c r="B27">
        <v>37</v>
      </c>
      <c r="C27" t="s">
        <v>108</v>
      </c>
      <c r="D27" t="s">
        <v>109</v>
      </c>
      <c r="E27" t="s">
        <v>107</v>
      </c>
      <c r="F27" t="s">
        <v>75</v>
      </c>
      <c r="G27" s="1">
        <v>45554.47215277778</v>
      </c>
      <c r="H27">
        <v>2</v>
      </c>
      <c r="I27" t="s">
        <v>101</v>
      </c>
    </row>
    <row r="28" spans="2:9" x14ac:dyDescent="0.25">
      <c r="B28">
        <v>38</v>
      </c>
      <c r="C28" t="s">
        <v>110</v>
      </c>
      <c r="D28" t="s">
        <v>111</v>
      </c>
      <c r="E28" t="s">
        <v>107</v>
      </c>
      <c r="F28" t="s">
        <v>75</v>
      </c>
      <c r="G28" s="1">
        <v>45554.47215277778</v>
      </c>
      <c r="H28">
        <v>3</v>
      </c>
      <c r="I28" t="s">
        <v>101</v>
      </c>
    </row>
    <row r="29" spans="2:9" x14ac:dyDescent="0.25">
      <c r="B29">
        <v>23</v>
      </c>
      <c r="C29" t="s">
        <v>112</v>
      </c>
      <c r="D29" t="s">
        <v>113</v>
      </c>
      <c r="E29" t="s">
        <v>114</v>
      </c>
      <c r="F29" t="s">
        <v>75</v>
      </c>
      <c r="G29" s="1">
        <v>45554.47215277778</v>
      </c>
      <c r="H29">
        <v>1</v>
      </c>
      <c r="I29" t="s">
        <v>101</v>
      </c>
    </row>
    <row r="30" spans="2:9" x14ac:dyDescent="0.25">
      <c r="B30">
        <v>24</v>
      </c>
      <c r="C30" t="s">
        <v>115</v>
      </c>
      <c r="D30" t="s">
        <v>116</v>
      </c>
      <c r="E30" t="s">
        <v>114</v>
      </c>
      <c r="F30" t="s">
        <v>75</v>
      </c>
      <c r="G30" s="1">
        <v>45554.47215277778</v>
      </c>
      <c r="H30">
        <v>2</v>
      </c>
      <c r="I30" t="s">
        <v>101</v>
      </c>
    </row>
    <row r="31" spans="2:9" x14ac:dyDescent="0.25">
      <c r="B31">
        <v>25</v>
      </c>
      <c r="C31" t="s">
        <v>117</v>
      </c>
      <c r="D31" t="s">
        <v>117</v>
      </c>
      <c r="E31" t="s">
        <v>118</v>
      </c>
      <c r="F31" t="s">
        <v>75</v>
      </c>
      <c r="G31" s="1">
        <v>45554.47215277778</v>
      </c>
      <c r="H31">
        <v>1</v>
      </c>
      <c r="I31" t="s">
        <v>119</v>
      </c>
    </row>
    <row r="32" spans="2:9" x14ac:dyDescent="0.25">
      <c r="B32">
        <v>26</v>
      </c>
      <c r="C32" t="s">
        <v>120</v>
      </c>
      <c r="D32" t="s">
        <v>120</v>
      </c>
      <c r="E32" t="s">
        <v>118</v>
      </c>
      <c r="F32" t="s">
        <v>75</v>
      </c>
      <c r="G32" s="1">
        <v>45554.47215277778</v>
      </c>
      <c r="H32">
        <v>2</v>
      </c>
      <c r="I32" t="s">
        <v>119</v>
      </c>
    </row>
    <row r="33" spans="2:9" x14ac:dyDescent="0.25">
      <c r="B33">
        <v>27</v>
      </c>
      <c r="C33" t="s">
        <v>121</v>
      </c>
      <c r="D33" t="s">
        <v>121</v>
      </c>
      <c r="E33" t="s">
        <v>118</v>
      </c>
      <c r="F33" t="s">
        <v>75</v>
      </c>
      <c r="G33" s="1">
        <v>45554.47215277778</v>
      </c>
      <c r="H33">
        <v>3</v>
      </c>
      <c r="I33" t="s">
        <v>119</v>
      </c>
    </row>
    <row r="34" spans="2:9" x14ac:dyDescent="0.25">
      <c r="B34">
        <v>28</v>
      </c>
      <c r="C34" t="s">
        <v>122</v>
      </c>
      <c r="D34" t="s">
        <v>122</v>
      </c>
      <c r="E34" t="s">
        <v>118</v>
      </c>
      <c r="F34" t="s">
        <v>75</v>
      </c>
      <c r="G34" s="1">
        <v>45554.47215277778</v>
      </c>
      <c r="H34">
        <v>4</v>
      </c>
      <c r="I34" t="s">
        <v>119</v>
      </c>
    </row>
    <row r="35" spans="2:9" x14ac:dyDescent="0.25">
      <c r="B35">
        <v>29</v>
      </c>
      <c r="C35" t="s">
        <v>123</v>
      </c>
      <c r="D35" t="s">
        <v>123</v>
      </c>
      <c r="E35" t="s">
        <v>118</v>
      </c>
      <c r="F35" t="s">
        <v>75</v>
      </c>
      <c r="G35" s="1">
        <v>45554.47215277778</v>
      </c>
      <c r="H35">
        <v>5</v>
      </c>
      <c r="I35" t="s">
        <v>119</v>
      </c>
    </row>
    <row r="36" spans="2:9" x14ac:dyDescent="0.25">
      <c r="B36">
        <v>30</v>
      </c>
      <c r="C36" t="s">
        <v>61</v>
      </c>
      <c r="D36" t="s">
        <v>61</v>
      </c>
      <c r="E36" t="s">
        <v>118</v>
      </c>
      <c r="F36" t="s">
        <v>75</v>
      </c>
      <c r="G36" s="1">
        <v>45554.47215277778</v>
      </c>
      <c r="H36">
        <v>6</v>
      </c>
      <c r="I36" t="s">
        <v>119</v>
      </c>
    </row>
    <row r="37" spans="2:9" x14ac:dyDescent="0.25">
      <c r="B37">
        <v>31</v>
      </c>
      <c r="C37" t="s">
        <v>124</v>
      </c>
      <c r="D37" t="s">
        <v>124</v>
      </c>
      <c r="E37" t="s">
        <v>118</v>
      </c>
      <c r="F37" t="s">
        <v>75</v>
      </c>
      <c r="G37" s="1">
        <v>45554.47215277778</v>
      </c>
      <c r="H37">
        <v>7</v>
      </c>
      <c r="I37" t="s">
        <v>119</v>
      </c>
    </row>
    <row r="38" spans="2:9" x14ac:dyDescent="0.25">
      <c r="B38">
        <v>32</v>
      </c>
      <c r="C38" t="s">
        <v>125</v>
      </c>
      <c r="D38" t="s">
        <v>125</v>
      </c>
      <c r="E38" t="s">
        <v>118</v>
      </c>
      <c r="F38" t="s">
        <v>75</v>
      </c>
      <c r="G38" s="1">
        <v>45554.47215277778</v>
      </c>
      <c r="H38">
        <v>8</v>
      </c>
      <c r="I38" t="s">
        <v>119</v>
      </c>
    </row>
    <row r="39" spans="2:9" x14ac:dyDescent="0.25">
      <c r="B39">
        <v>33</v>
      </c>
      <c r="C39" t="s">
        <v>126</v>
      </c>
      <c r="D39" t="s">
        <v>126</v>
      </c>
      <c r="E39" t="s">
        <v>118</v>
      </c>
      <c r="F39" t="s">
        <v>75</v>
      </c>
      <c r="G39" s="1">
        <v>45554.47215277778</v>
      </c>
      <c r="H39">
        <v>9</v>
      </c>
      <c r="I39" t="s">
        <v>119</v>
      </c>
    </row>
    <row r="40" spans="2:9" x14ac:dyDescent="0.25">
      <c r="B40">
        <v>34</v>
      </c>
      <c r="C40" t="s">
        <v>127</v>
      </c>
      <c r="D40" t="s">
        <v>127</v>
      </c>
      <c r="E40" t="s">
        <v>118</v>
      </c>
      <c r="F40" t="s">
        <v>75</v>
      </c>
      <c r="G40" s="1">
        <v>45554.47215277778</v>
      </c>
      <c r="H40">
        <v>10</v>
      </c>
      <c r="I40" t="s">
        <v>119</v>
      </c>
    </row>
    <row r="41" spans="2:9" x14ac:dyDescent="0.25">
      <c r="B41">
        <v>35</v>
      </c>
      <c r="C41" t="s">
        <v>128</v>
      </c>
      <c r="D41" t="s">
        <v>128</v>
      </c>
      <c r="E41" t="s">
        <v>129</v>
      </c>
      <c r="F41" t="s">
        <v>75</v>
      </c>
      <c r="G41" s="1">
        <v>45554.47215277778</v>
      </c>
      <c r="H41">
        <v>1</v>
      </c>
      <c r="I41" t="s">
        <v>119</v>
      </c>
    </row>
    <row r="42" spans="2:9" x14ac:dyDescent="0.25">
      <c r="B42">
        <v>39</v>
      </c>
      <c r="C42" t="s">
        <v>130</v>
      </c>
      <c r="D42" t="s">
        <v>130</v>
      </c>
      <c r="E42" t="s">
        <v>129</v>
      </c>
      <c r="F42" t="s">
        <v>75</v>
      </c>
      <c r="G42" s="1">
        <v>45554.47215277778</v>
      </c>
      <c r="H42">
        <v>2</v>
      </c>
      <c r="I42" t="s">
        <v>119</v>
      </c>
    </row>
    <row r="43" spans="2:9" x14ac:dyDescent="0.25">
      <c r="B43">
        <v>40</v>
      </c>
      <c r="C43" t="s">
        <v>131</v>
      </c>
      <c r="D43" t="s">
        <v>131</v>
      </c>
      <c r="E43" t="s">
        <v>129</v>
      </c>
      <c r="F43" t="s">
        <v>75</v>
      </c>
      <c r="G43" s="1">
        <v>45554.47215277778</v>
      </c>
      <c r="H43">
        <v>3</v>
      </c>
      <c r="I43" t="s">
        <v>119</v>
      </c>
    </row>
    <row r="44" spans="2:9" x14ac:dyDescent="0.25">
      <c r="B44">
        <v>41</v>
      </c>
      <c r="C44" t="s">
        <v>132</v>
      </c>
      <c r="D44" t="s">
        <v>132</v>
      </c>
      <c r="E44" t="s">
        <v>129</v>
      </c>
      <c r="F44" t="s">
        <v>75</v>
      </c>
      <c r="G44" s="1">
        <v>45554.47215277778</v>
      </c>
      <c r="H44">
        <v>4</v>
      </c>
      <c r="I44" t="s">
        <v>119</v>
      </c>
    </row>
    <row r="45" spans="2:9" x14ac:dyDescent="0.25">
      <c r="B45">
        <v>42</v>
      </c>
      <c r="C45" t="s">
        <v>133</v>
      </c>
      <c r="D45" t="s">
        <v>133</v>
      </c>
      <c r="E45" t="s">
        <v>129</v>
      </c>
      <c r="F45" t="s">
        <v>75</v>
      </c>
      <c r="G45" s="1">
        <v>45554.47215277778</v>
      </c>
      <c r="H45">
        <v>5</v>
      </c>
      <c r="I45" t="s">
        <v>119</v>
      </c>
    </row>
    <row r="46" spans="2:9" x14ac:dyDescent="0.25">
      <c r="B46">
        <v>43</v>
      </c>
      <c r="C46" t="s">
        <v>134</v>
      </c>
      <c r="D46" t="s">
        <v>134</v>
      </c>
      <c r="E46" t="s">
        <v>135</v>
      </c>
      <c r="F46" t="s">
        <v>75</v>
      </c>
      <c r="G46" s="1">
        <v>45554.47215277778</v>
      </c>
      <c r="H46">
        <v>1</v>
      </c>
      <c r="I46" t="s">
        <v>119</v>
      </c>
    </row>
    <row r="47" spans="2:9" x14ac:dyDescent="0.25">
      <c r="B47">
        <v>44</v>
      </c>
      <c r="C47" t="s">
        <v>136</v>
      </c>
      <c r="D47" t="s">
        <v>136</v>
      </c>
      <c r="E47" t="s">
        <v>135</v>
      </c>
      <c r="F47" t="s">
        <v>75</v>
      </c>
      <c r="G47" s="1">
        <v>45554.47215277778</v>
      </c>
      <c r="H47">
        <v>2</v>
      </c>
      <c r="I47" t="s">
        <v>119</v>
      </c>
    </row>
    <row r="48" spans="2:9" x14ac:dyDescent="0.25">
      <c r="B48">
        <v>45</v>
      </c>
      <c r="C48" t="s">
        <v>137</v>
      </c>
      <c r="D48" t="s">
        <v>137</v>
      </c>
      <c r="E48" t="s">
        <v>138</v>
      </c>
      <c r="F48" t="s">
        <v>75</v>
      </c>
      <c r="G48" s="1">
        <v>45554.47215277778</v>
      </c>
      <c r="H48">
        <v>1</v>
      </c>
      <c r="I48" t="s">
        <v>119</v>
      </c>
    </row>
    <row r="49" spans="2:9" x14ac:dyDescent="0.25">
      <c r="B49">
        <v>46</v>
      </c>
      <c r="C49" t="s">
        <v>139</v>
      </c>
      <c r="D49" t="s">
        <v>139</v>
      </c>
      <c r="E49" t="s">
        <v>138</v>
      </c>
      <c r="F49" t="s">
        <v>75</v>
      </c>
      <c r="G49" s="1">
        <v>45554.47215277778</v>
      </c>
      <c r="H49">
        <v>2</v>
      </c>
      <c r="I49" t="s">
        <v>119</v>
      </c>
    </row>
    <row r="50" spans="2:9" x14ac:dyDescent="0.25">
      <c r="B50">
        <v>47</v>
      </c>
      <c r="C50" t="s">
        <v>140</v>
      </c>
      <c r="D50" t="s">
        <v>140</v>
      </c>
      <c r="E50" t="s">
        <v>138</v>
      </c>
      <c r="F50" t="s">
        <v>75</v>
      </c>
      <c r="G50" s="1">
        <v>45554.47215277778</v>
      </c>
      <c r="H50">
        <v>3</v>
      </c>
      <c r="I50" t="s">
        <v>119</v>
      </c>
    </row>
    <row r="51" spans="2:9" x14ac:dyDescent="0.25">
      <c r="B51">
        <v>48</v>
      </c>
      <c r="C51" t="s">
        <v>141</v>
      </c>
      <c r="D51" t="s">
        <v>141</v>
      </c>
      <c r="E51" t="s">
        <v>138</v>
      </c>
      <c r="F51" t="s">
        <v>75</v>
      </c>
      <c r="G51" s="1">
        <v>45554.47215277778</v>
      </c>
      <c r="H51">
        <v>4</v>
      </c>
      <c r="I51" t="s">
        <v>119</v>
      </c>
    </row>
    <row r="52" spans="2:9" x14ac:dyDescent="0.25">
      <c r="B52">
        <v>49</v>
      </c>
      <c r="C52" t="s">
        <v>142</v>
      </c>
      <c r="D52" t="s">
        <v>142</v>
      </c>
      <c r="E52" t="s">
        <v>138</v>
      </c>
      <c r="F52" t="s">
        <v>75</v>
      </c>
      <c r="G52" s="1">
        <v>45554.47215277778</v>
      </c>
      <c r="H52">
        <v>5</v>
      </c>
      <c r="I52" t="s">
        <v>119</v>
      </c>
    </row>
    <row r="53" spans="2:9" x14ac:dyDescent="0.25">
      <c r="B53">
        <v>50</v>
      </c>
      <c r="C53" t="s">
        <v>143</v>
      </c>
      <c r="D53" t="s">
        <v>143</v>
      </c>
      <c r="E53" t="s">
        <v>138</v>
      </c>
      <c r="F53" t="s">
        <v>75</v>
      </c>
      <c r="G53" s="1">
        <v>45554.47215277778</v>
      </c>
      <c r="H53">
        <v>6</v>
      </c>
      <c r="I53" t="s">
        <v>119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6"/>
  <sheetViews>
    <sheetView workbookViewId="0">
      <selection activeCell="K8" sqref="K8"/>
    </sheetView>
  </sheetViews>
  <sheetFormatPr defaultRowHeight="15" x14ac:dyDescent="0.25"/>
  <cols>
    <col min="1" max="1" width="4.85546875" bestFit="1" customWidth="1"/>
    <col min="2" max="2" width="17.7109375" bestFit="1" customWidth="1"/>
    <col min="3" max="3" width="14.140625" bestFit="1" customWidth="1"/>
    <col min="4" max="4" width="12.140625" bestFit="1" customWidth="1"/>
    <col min="5" max="5" width="11.7109375" bestFit="1" customWidth="1"/>
    <col min="6" max="6" width="11" bestFit="1" customWidth="1"/>
  </cols>
  <sheetData>
    <row r="1" spans="1:6" x14ac:dyDescent="0.25">
      <c r="A1" t="s">
        <v>22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</row>
    <row r="2" spans="1:6" x14ac:dyDescent="0.25">
      <c r="A2">
        <v>1</v>
      </c>
      <c r="B2" t="s">
        <v>53</v>
      </c>
      <c r="C2" t="s">
        <v>168</v>
      </c>
      <c r="D2" t="s">
        <v>169</v>
      </c>
      <c r="E2" t="s">
        <v>170</v>
      </c>
    </row>
    <row r="3" spans="1:6" x14ac:dyDescent="0.25">
      <c r="A3">
        <v>2</v>
      </c>
      <c r="B3" t="s">
        <v>171</v>
      </c>
      <c r="C3" t="s">
        <v>168</v>
      </c>
      <c r="D3" t="s">
        <v>169</v>
      </c>
      <c r="E3" t="s">
        <v>170</v>
      </c>
    </row>
    <row r="4" spans="1:6" x14ac:dyDescent="0.25">
      <c r="A4">
        <v>17</v>
      </c>
      <c r="B4" t="s">
        <v>59</v>
      </c>
      <c r="C4" t="s">
        <v>168</v>
      </c>
      <c r="D4" t="s">
        <v>172</v>
      </c>
      <c r="E4" t="s">
        <v>170</v>
      </c>
    </row>
    <row r="5" spans="1:6" x14ac:dyDescent="0.25">
      <c r="A5">
        <v>18</v>
      </c>
      <c r="B5" t="s">
        <v>65</v>
      </c>
      <c r="C5" t="s">
        <v>168</v>
      </c>
      <c r="D5" t="s">
        <v>172</v>
      </c>
      <c r="E5" t="s">
        <v>170</v>
      </c>
    </row>
    <row r="6" spans="1:6" x14ac:dyDescent="0.25">
      <c r="A6">
        <v>19</v>
      </c>
      <c r="B6" t="s">
        <v>173</v>
      </c>
      <c r="C6" t="s">
        <v>174</v>
      </c>
      <c r="D6" t="s">
        <v>172</v>
      </c>
      <c r="E6" t="s">
        <v>170</v>
      </c>
    </row>
    <row r="7" spans="1:6" x14ac:dyDescent="0.25">
      <c r="A7">
        <v>20</v>
      </c>
      <c r="B7" t="s">
        <v>175</v>
      </c>
      <c r="C7" t="s">
        <v>176</v>
      </c>
      <c r="D7" t="s">
        <v>172</v>
      </c>
      <c r="E7" t="s">
        <v>170</v>
      </c>
    </row>
    <row r="8" spans="1:6" x14ac:dyDescent="0.25">
      <c r="A8">
        <v>21</v>
      </c>
      <c r="B8" t="s">
        <v>177</v>
      </c>
      <c r="C8" t="s">
        <v>176</v>
      </c>
      <c r="D8" t="s">
        <v>172</v>
      </c>
      <c r="E8" t="s">
        <v>170</v>
      </c>
    </row>
    <row r="9" spans="1:6" x14ac:dyDescent="0.25">
      <c r="A9">
        <v>22</v>
      </c>
      <c r="B9" t="s">
        <v>178</v>
      </c>
      <c r="C9" t="s">
        <v>176</v>
      </c>
      <c r="D9" t="s">
        <v>172</v>
      </c>
      <c r="E9" t="s">
        <v>170</v>
      </c>
    </row>
    <row r="10" spans="1:6" x14ac:dyDescent="0.25">
      <c r="A10">
        <v>23</v>
      </c>
      <c r="B10" t="s">
        <v>179</v>
      </c>
      <c r="C10" t="s">
        <v>176</v>
      </c>
      <c r="D10" t="s">
        <v>172</v>
      </c>
      <c r="E10" t="s">
        <v>170</v>
      </c>
    </row>
    <row r="11" spans="1:6" x14ac:dyDescent="0.25">
      <c r="A11">
        <v>24</v>
      </c>
      <c r="B11" t="s">
        <v>180</v>
      </c>
      <c r="C11" t="s">
        <v>176</v>
      </c>
      <c r="D11" t="s">
        <v>172</v>
      </c>
      <c r="E11" t="s">
        <v>170</v>
      </c>
    </row>
    <row r="12" spans="1:6" x14ac:dyDescent="0.25">
      <c r="A12">
        <v>25</v>
      </c>
      <c r="B12" t="s">
        <v>181</v>
      </c>
      <c r="C12" t="s">
        <v>182</v>
      </c>
      <c r="D12" t="s">
        <v>172</v>
      </c>
      <c r="E12" t="s">
        <v>170</v>
      </c>
    </row>
    <row r="13" spans="1:6" x14ac:dyDescent="0.25">
      <c r="A13">
        <v>26</v>
      </c>
      <c r="B13" t="s">
        <v>183</v>
      </c>
      <c r="C13" t="s">
        <v>182</v>
      </c>
      <c r="D13" t="s">
        <v>172</v>
      </c>
      <c r="E13" t="s">
        <v>170</v>
      </c>
    </row>
    <row r="14" spans="1:6" x14ac:dyDescent="0.25">
      <c r="A14">
        <v>36</v>
      </c>
      <c r="B14" t="s">
        <v>184</v>
      </c>
      <c r="C14" t="s">
        <v>185</v>
      </c>
      <c r="D14" t="s">
        <v>172</v>
      </c>
      <c r="E14" t="s">
        <v>170</v>
      </c>
    </row>
    <row r="15" spans="1:6" x14ac:dyDescent="0.25">
      <c r="A15">
        <v>37</v>
      </c>
      <c r="B15" t="s">
        <v>186</v>
      </c>
      <c r="C15" t="s">
        <v>185</v>
      </c>
      <c r="D15" t="s">
        <v>172</v>
      </c>
      <c r="E15" t="s">
        <v>170</v>
      </c>
    </row>
    <row r="16" spans="1:6" x14ac:dyDescent="0.25">
      <c r="A16">
        <v>29</v>
      </c>
      <c r="B16" t="s">
        <v>187</v>
      </c>
      <c r="C16" t="s">
        <v>182</v>
      </c>
      <c r="D16" t="s">
        <v>172</v>
      </c>
      <c r="E16" t="s">
        <v>170</v>
      </c>
    </row>
    <row r="17" spans="1:5" x14ac:dyDescent="0.25">
      <c r="A17">
        <v>30</v>
      </c>
      <c r="B17" t="s">
        <v>188</v>
      </c>
      <c r="C17" t="s">
        <v>189</v>
      </c>
      <c r="D17" t="s">
        <v>172</v>
      </c>
      <c r="E17" t="s">
        <v>170</v>
      </c>
    </row>
    <row r="18" spans="1:5" x14ac:dyDescent="0.25">
      <c r="A18">
        <v>31</v>
      </c>
      <c r="B18" t="s">
        <v>190</v>
      </c>
      <c r="C18" t="s">
        <v>182</v>
      </c>
      <c r="D18" t="s">
        <v>172</v>
      </c>
      <c r="E18" t="s">
        <v>170</v>
      </c>
    </row>
    <row r="19" spans="1:5" x14ac:dyDescent="0.25">
      <c r="A19">
        <v>32</v>
      </c>
      <c r="B19" t="s">
        <v>191</v>
      </c>
      <c r="C19" t="s">
        <v>185</v>
      </c>
      <c r="D19" t="s">
        <v>172</v>
      </c>
      <c r="E19" t="s">
        <v>170</v>
      </c>
    </row>
    <row r="20" spans="1:5" x14ac:dyDescent="0.25">
      <c r="A20">
        <v>33</v>
      </c>
      <c r="B20" t="s">
        <v>192</v>
      </c>
      <c r="C20" t="s">
        <v>185</v>
      </c>
      <c r="D20" t="s">
        <v>172</v>
      </c>
      <c r="E20" t="s">
        <v>170</v>
      </c>
    </row>
    <row r="21" spans="1:5" x14ac:dyDescent="0.25">
      <c r="A21">
        <v>34</v>
      </c>
      <c r="B21" t="s">
        <v>193</v>
      </c>
      <c r="C21" t="s">
        <v>185</v>
      </c>
      <c r="D21" t="s">
        <v>172</v>
      </c>
      <c r="E21" t="s">
        <v>170</v>
      </c>
    </row>
    <row r="22" spans="1:5" x14ac:dyDescent="0.25">
      <c r="A22">
        <v>35</v>
      </c>
      <c r="B22" t="s">
        <v>194</v>
      </c>
      <c r="C22" t="s">
        <v>185</v>
      </c>
      <c r="D22" t="s">
        <v>172</v>
      </c>
      <c r="E22" t="s">
        <v>170</v>
      </c>
    </row>
    <row r="23" spans="1:5" x14ac:dyDescent="0.25">
      <c r="A23">
        <v>53</v>
      </c>
      <c r="B23" t="s">
        <v>161</v>
      </c>
      <c r="C23" t="s">
        <v>195</v>
      </c>
      <c r="D23" t="s">
        <v>172</v>
      </c>
      <c r="E23" t="s">
        <v>196</v>
      </c>
    </row>
    <row r="24" spans="1:5" x14ac:dyDescent="0.25">
      <c r="A24">
        <v>3</v>
      </c>
      <c r="B24" t="s">
        <v>197</v>
      </c>
      <c r="C24" t="s">
        <v>198</v>
      </c>
      <c r="D24" t="s">
        <v>172</v>
      </c>
      <c r="E24" t="s">
        <v>199</v>
      </c>
    </row>
    <row r="25" spans="1:5" x14ac:dyDescent="0.25">
      <c r="A25">
        <v>4</v>
      </c>
      <c r="B25" t="s">
        <v>200</v>
      </c>
      <c r="C25" t="s">
        <v>198</v>
      </c>
      <c r="D25" t="s">
        <v>172</v>
      </c>
      <c r="E25" t="s">
        <v>199</v>
      </c>
    </row>
    <row r="26" spans="1:5" x14ac:dyDescent="0.25">
      <c r="A26">
        <v>5</v>
      </c>
      <c r="B26" t="s">
        <v>201</v>
      </c>
      <c r="C26" t="s">
        <v>198</v>
      </c>
      <c r="D26" t="s">
        <v>172</v>
      </c>
      <c r="E26" t="s">
        <v>199</v>
      </c>
    </row>
    <row r="27" spans="1:5" x14ac:dyDescent="0.25">
      <c r="A27">
        <v>6</v>
      </c>
      <c r="B27" t="s">
        <v>202</v>
      </c>
      <c r="C27" t="s">
        <v>198</v>
      </c>
      <c r="D27" t="s">
        <v>172</v>
      </c>
      <c r="E27" t="s">
        <v>199</v>
      </c>
    </row>
    <row r="28" spans="1:5" x14ac:dyDescent="0.25">
      <c r="A28">
        <v>8</v>
      </c>
      <c r="B28" t="s">
        <v>203</v>
      </c>
      <c r="C28" t="s">
        <v>198</v>
      </c>
      <c r="D28" t="s">
        <v>172</v>
      </c>
      <c r="E28" t="s">
        <v>199</v>
      </c>
    </row>
    <row r="29" spans="1:5" x14ac:dyDescent="0.25">
      <c r="A29">
        <v>9</v>
      </c>
      <c r="B29" t="s">
        <v>204</v>
      </c>
      <c r="C29" t="s">
        <v>198</v>
      </c>
      <c r="D29" t="s">
        <v>172</v>
      </c>
      <c r="E29" t="s">
        <v>199</v>
      </c>
    </row>
    <row r="30" spans="1:5" x14ac:dyDescent="0.25">
      <c r="A30">
        <v>10</v>
      </c>
      <c r="B30" t="s">
        <v>205</v>
      </c>
      <c r="C30" t="s">
        <v>198</v>
      </c>
      <c r="D30" t="s">
        <v>172</v>
      </c>
      <c r="E30" t="s">
        <v>199</v>
      </c>
    </row>
    <row r="31" spans="1:5" x14ac:dyDescent="0.25">
      <c r="A31">
        <v>28</v>
      </c>
      <c r="B31" t="s">
        <v>206</v>
      </c>
      <c r="C31" t="s">
        <v>198</v>
      </c>
      <c r="D31" t="s">
        <v>172</v>
      </c>
      <c r="E31" t="s">
        <v>199</v>
      </c>
    </row>
    <row r="32" spans="1:5" x14ac:dyDescent="0.25">
      <c r="A32">
        <v>54</v>
      </c>
      <c r="B32" t="s">
        <v>43</v>
      </c>
      <c r="C32" t="s">
        <v>207</v>
      </c>
      <c r="D32" t="s">
        <v>172</v>
      </c>
      <c r="E32" t="s">
        <v>208</v>
      </c>
    </row>
    <row r="33" spans="1:5" x14ac:dyDescent="0.25">
      <c r="A33">
        <v>39</v>
      </c>
      <c r="B33" t="s">
        <v>209</v>
      </c>
      <c r="C33" t="s">
        <v>195</v>
      </c>
      <c r="D33" t="s">
        <v>172</v>
      </c>
      <c r="E33" t="s">
        <v>196</v>
      </c>
    </row>
    <row r="34" spans="1:5" x14ac:dyDescent="0.25">
      <c r="A34">
        <v>40</v>
      </c>
      <c r="B34" t="s">
        <v>160</v>
      </c>
      <c r="C34" t="s">
        <v>195</v>
      </c>
      <c r="D34" t="s">
        <v>172</v>
      </c>
      <c r="E34" t="s">
        <v>196</v>
      </c>
    </row>
    <row r="35" spans="1:5" x14ac:dyDescent="0.25">
      <c r="A35">
        <v>41</v>
      </c>
      <c r="B35" t="s">
        <v>175</v>
      </c>
      <c r="C35" t="s">
        <v>210</v>
      </c>
      <c r="D35" t="s">
        <v>172</v>
      </c>
      <c r="E35" t="s">
        <v>196</v>
      </c>
    </row>
    <row r="36" spans="1:5" x14ac:dyDescent="0.25">
      <c r="A36">
        <v>42</v>
      </c>
      <c r="B36" t="s">
        <v>177</v>
      </c>
      <c r="C36" t="s">
        <v>210</v>
      </c>
      <c r="D36" t="s">
        <v>172</v>
      </c>
      <c r="E36" t="s">
        <v>196</v>
      </c>
    </row>
    <row r="37" spans="1:5" x14ac:dyDescent="0.25">
      <c r="A37">
        <v>43</v>
      </c>
      <c r="B37" t="s">
        <v>180</v>
      </c>
      <c r="C37" t="s">
        <v>210</v>
      </c>
      <c r="D37" t="s">
        <v>172</v>
      </c>
      <c r="E37" t="s">
        <v>196</v>
      </c>
    </row>
    <row r="38" spans="1:5" x14ac:dyDescent="0.25">
      <c r="A38">
        <v>44</v>
      </c>
      <c r="B38" t="s">
        <v>179</v>
      </c>
      <c r="C38" t="s">
        <v>210</v>
      </c>
      <c r="D38" t="s">
        <v>172</v>
      </c>
      <c r="E38" t="s">
        <v>196</v>
      </c>
    </row>
    <row r="39" spans="1:5" x14ac:dyDescent="0.25">
      <c r="A39">
        <v>45</v>
      </c>
      <c r="B39" t="s">
        <v>211</v>
      </c>
      <c r="C39" t="s">
        <v>210</v>
      </c>
      <c r="D39" t="s">
        <v>172</v>
      </c>
      <c r="E39" t="s">
        <v>196</v>
      </c>
    </row>
    <row r="40" spans="1:5" x14ac:dyDescent="0.25">
      <c r="A40">
        <v>46</v>
      </c>
      <c r="B40" t="s">
        <v>178</v>
      </c>
      <c r="C40" t="s">
        <v>210</v>
      </c>
      <c r="D40" t="s">
        <v>172</v>
      </c>
      <c r="E40" t="s">
        <v>196</v>
      </c>
    </row>
    <row r="41" spans="1:5" x14ac:dyDescent="0.25">
      <c r="A41">
        <v>47</v>
      </c>
      <c r="B41" t="s">
        <v>212</v>
      </c>
      <c r="C41" t="s">
        <v>213</v>
      </c>
      <c r="D41" t="s">
        <v>172</v>
      </c>
      <c r="E41" t="s">
        <v>196</v>
      </c>
    </row>
    <row r="42" spans="1:5" x14ac:dyDescent="0.25">
      <c r="A42">
        <v>48</v>
      </c>
      <c r="B42" t="s">
        <v>194</v>
      </c>
      <c r="C42" t="s">
        <v>213</v>
      </c>
      <c r="D42" t="s">
        <v>172</v>
      </c>
      <c r="E42" t="s">
        <v>196</v>
      </c>
    </row>
    <row r="43" spans="1:5" x14ac:dyDescent="0.25">
      <c r="A43">
        <v>49</v>
      </c>
      <c r="B43" t="s">
        <v>214</v>
      </c>
      <c r="C43" t="s">
        <v>213</v>
      </c>
      <c r="D43" t="s">
        <v>172</v>
      </c>
      <c r="E43" t="s">
        <v>196</v>
      </c>
    </row>
    <row r="44" spans="1:5" x14ac:dyDescent="0.25">
      <c r="A44">
        <v>50</v>
      </c>
      <c r="B44" t="s">
        <v>193</v>
      </c>
      <c r="C44" t="s">
        <v>213</v>
      </c>
      <c r="D44" t="s">
        <v>172</v>
      </c>
      <c r="E44" t="s">
        <v>196</v>
      </c>
    </row>
    <row r="45" spans="1:5" x14ac:dyDescent="0.25">
      <c r="A45">
        <v>51</v>
      </c>
      <c r="B45" t="s">
        <v>215</v>
      </c>
      <c r="C45" t="s">
        <v>213</v>
      </c>
      <c r="D45" t="s">
        <v>172</v>
      </c>
      <c r="E45" t="s">
        <v>196</v>
      </c>
    </row>
    <row r="46" spans="1:5" x14ac:dyDescent="0.25">
      <c r="A46">
        <v>52</v>
      </c>
      <c r="B46" t="s">
        <v>155</v>
      </c>
      <c r="C46" t="s">
        <v>213</v>
      </c>
      <c r="D46" t="s">
        <v>172</v>
      </c>
      <c r="E46" t="s">
        <v>196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F47"/>
  <sheetViews>
    <sheetView topLeftCell="B1" workbookViewId="0">
      <selection activeCell="G7" sqref="G7"/>
    </sheetView>
  </sheetViews>
  <sheetFormatPr defaultRowHeight="15" x14ac:dyDescent="0.25"/>
  <cols>
    <col min="2" max="2" width="30.28515625" style="6" customWidth="1"/>
    <col min="3" max="3" width="16.5703125" bestFit="1" customWidth="1"/>
    <col min="4" max="4" width="12.5703125" customWidth="1"/>
    <col min="5" max="5" width="14.140625" customWidth="1"/>
    <col min="6" max="6" width="9" customWidth="1"/>
    <col min="7" max="7" width="15.28515625" customWidth="1"/>
    <col min="8" max="8" width="16.140625" customWidth="1"/>
    <col min="9" max="9" width="18.5703125" customWidth="1"/>
    <col min="10" max="10" width="21.7109375" customWidth="1"/>
    <col min="11" max="11" width="9.7109375" customWidth="1"/>
    <col min="12" max="12" width="8.42578125" customWidth="1"/>
    <col min="13" max="13" width="19.28515625" customWidth="1"/>
    <col min="14" max="14" width="9.7109375" customWidth="1"/>
    <col min="15" max="16" width="8.28515625" customWidth="1"/>
    <col min="17" max="17" width="9.28515625" customWidth="1"/>
    <col min="18" max="18" width="11.5703125" customWidth="1"/>
    <col min="19" max="19" width="10" customWidth="1"/>
    <col min="20" max="20" width="13.28515625" customWidth="1"/>
    <col min="21" max="21" width="14.7109375" bestFit="1" customWidth="1"/>
    <col min="22" max="22" width="18.28515625" customWidth="1"/>
    <col min="23" max="23" width="11.28515625" customWidth="1"/>
    <col min="24" max="24" width="14.5703125" bestFit="1" customWidth="1"/>
    <col min="25" max="25" width="14.7109375" bestFit="1" customWidth="1"/>
    <col min="26" max="26" width="14.28515625" customWidth="1"/>
    <col min="27" max="27" width="15" customWidth="1"/>
    <col min="28" max="28" width="14.28515625" customWidth="1"/>
    <col min="29" max="29" width="13.7109375" customWidth="1"/>
    <col min="30" max="30" width="21.28515625" customWidth="1"/>
    <col min="31" max="31" width="24.5703125" customWidth="1"/>
    <col min="32" max="32" width="14.28515625" customWidth="1"/>
    <col min="33" max="33" width="16.7109375" customWidth="1"/>
    <col min="34" max="34" width="14.28515625" customWidth="1"/>
    <col min="35" max="35" width="12.42578125" customWidth="1"/>
    <col min="36" max="38" width="14.28515625" customWidth="1"/>
    <col min="39" max="39" width="14.85546875" customWidth="1"/>
    <col min="40" max="40" width="14.28515625" customWidth="1"/>
    <col min="41" max="41" width="12.42578125" customWidth="1"/>
    <col min="42" max="42" width="14.28515625" customWidth="1"/>
    <col min="43" max="43" width="13.28515625" customWidth="1"/>
    <col min="44" max="44" width="14.7109375" customWidth="1"/>
    <col min="45" max="45" width="18.28515625" bestFit="1" customWidth="1"/>
    <col min="46" max="46" width="14.28515625" customWidth="1"/>
    <col min="47" max="47" width="14.5703125" customWidth="1"/>
    <col min="48" max="48" width="17.7109375" bestFit="1" customWidth="1"/>
    <col min="49" max="49" width="21.7109375" bestFit="1" customWidth="1"/>
    <col min="50" max="50" width="19.85546875" bestFit="1" customWidth="1"/>
    <col min="51" max="51" width="21.7109375" bestFit="1" customWidth="1"/>
    <col min="52" max="52" width="19.85546875" bestFit="1" customWidth="1"/>
    <col min="53" max="53" width="21.7109375" bestFit="1" customWidth="1"/>
    <col min="54" max="54" width="24.5703125" bestFit="1" customWidth="1"/>
    <col min="55" max="55" width="21.7109375" bestFit="1" customWidth="1"/>
    <col min="56" max="56" width="19.85546875" bestFit="1" customWidth="1"/>
    <col min="57" max="57" width="21.7109375" bestFit="1" customWidth="1"/>
    <col min="58" max="58" width="19.85546875" bestFit="1" customWidth="1"/>
    <col min="59" max="59" width="21.7109375" bestFit="1" customWidth="1"/>
    <col min="60" max="60" width="19.85546875" bestFit="1" customWidth="1"/>
    <col min="61" max="61" width="21.7109375" bestFit="1" customWidth="1"/>
    <col min="62" max="62" width="19.85546875" bestFit="1" customWidth="1"/>
    <col min="63" max="63" width="21.7109375" bestFit="1" customWidth="1"/>
    <col min="64" max="64" width="19.85546875" bestFit="1" customWidth="1"/>
    <col min="65" max="65" width="21.7109375" bestFit="1" customWidth="1"/>
    <col min="66" max="66" width="19.85546875" bestFit="1" customWidth="1"/>
    <col min="67" max="67" width="21.7109375" bestFit="1" customWidth="1"/>
    <col min="68" max="68" width="19.85546875" bestFit="1" customWidth="1"/>
    <col min="69" max="69" width="21.7109375" bestFit="1" customWidth="1"/>
    <col min="70" max="70" width="19.85546875" bestFit="1" customWidth="1"/>
    <col min="71" max="71" width="25.140625" bestFit="1" customWidth="1"/>
    <col min="72" max="72" width="16.5703125" bestFit="1" customWidth="1"/>
    <col min="73" max="73" width="15" customWidth="1"/>
    <col min="74" max="74" width="16.5703125" customWidth="1"/>
    <col min="75" max="75" width="14.7109375" customWidth="1"/>
    <col min="76" max="76" width="21.28515625" bestFit="1" customWidth="1"/>
    <col min="77" max="77" width="24.5703125" bestFit="1" customWidth="1"/>
    <col min="78" max="78" width="16.5703125" bestFit="1" customWidth="1"/>
    <col min="79" max="79" width="16.7109375" bestFit="1" customWidth="1"/>
    <col min="80" max="80" width="16.5703125" bestFit="1" customWidth="1"/>
    <col min="81" max="81" width="14.7109375" customWidth="1"/>
    <col min="82" max="82" width="16.5703125" bestFit="1" customWidth="1"/>
    <col min="83" max="83" width="14.7109375" customWidth="1"/>
    <col min="84" max="84" width="16.5703125" bestFit="1" customWidth="1"/>
    <col min="85" max="85" width="14.85546875" customWidth="1"/>
    <col min="86" max="86" width="16.5703125" customWidth="1"/>
    <col min="87" max="87" width="14.7109375" customWidth="1"/>
    <col min="88" max="88" width="16.5703125" bestFit="1" customWidth="1"/>
    <col min="89" max="89" width="14.7109375" customWidth="1"/>
    <col min="90" max="90" width="16.5703125" bestFit="1" customWidth="1"/>
    <col min="91" max="91" width="18.28515625" bestFit="1" customWidth="1"/>
    <col min="92" max="92" width="16.5703125" bestFit="1" customWidth="1"/>
    <col min="93" max="93" width="14.7109375" customWidth="1"/>
    <col min="94" max="94" width="19.85546875" bestFit="1" customWidth="1"/>
    <col min="95" max="95" width="15.28515625" customWidth="1"/>
    <col min="96" max="96" width="15" customWidth="1"/>
    <col min="97" max="97" width="15.28515625" customWidth="1"/>
    <col min="98" max="98" width="13.7109375" customWidth="1"/>
    <col min="99" max="99" width="21.28515625" bestFit="1" customWidth="1"/>
    <col min="100" max="100" width="24.5703125" bestFit="1" customWidth="1"/>
    <col min="101" max="101" width="15.28515625" customWidth="1"/>
    <col min="102" max="102" width="16.7109375" customWidth="1"/>
    <col min="103" max="103" width="15.28515625" customWidth="1"/>
    <col min="104" max="104" width="13.28515625" customWidth="1"/>
    <col min="105" max="105" width="15.28515625" customWidth="1"/>
    <col min="106" max="106" width="14.28515625" customWidth="1"/>
    <col min="107" max="107" width="15.28515625" customWidth="1"/>
    <col min="108" max="108" width="14.85546875" customWidth="1"/>
    <col min="109" max="109" width="15.28515625" customWidth="1"/>
    <col min="110" max="110" width="13.28515625" customWidth="1"/>
    <col min="111" max="111" width="15.28515625" customWidth="1"/>
    <col min="112" max="112" width="13.28515625" customWidth="1"/>
    <col min="113" max="113" width="15.28515625" customWidth="1"/>
    <col min="114" max="114" width="18.28515625" bestFit="1" customWidth="1"/>
    <col min="115" max="115" width="15.28515625" customWidth="1"/>
    <col min="116" max="116" width="14.5703125" customWidth="1"/>
    <col min="117" max="117" width="18.5703125" bestFit="1" customWidth="1"/>
    <col min="118" max="118" width="15.5703125" bestFit="1" customWidth="1"/>
    <col min="119" max="119" width="15" customWidth="1"/>
    <col min="120" max="120" width="15.5703125" bestFit="1" customWidth="1"/>
    <col min="121" max="121" width="13.7109375" customWidth="1"/>
    <col min="122" max="122" width="21.28515625" bestFit="1" customWidth="1"/>
    <col min="123" max="123" width="24.5703125" bestFit="1" customWidth="1"/>
    <col min="124" max="124" width="15.5703125" customWidth="1"/>
    <col min="125" max="125" width="16.7109375" customWidth="1"/>
    <col min="126" max="126" width="15.5703125" customWidth="1"/>
    <col min="127" max="127" width="13.7109375" customWidth="1"/>
    <col min="128" max="128" width="15.5703125" customWidth="1"/>
    <col min="129" max="129" width="14.28515625" customWidth="1"/>
    <col min="130" max="130" width="15.5703125" customWidth="1"/>
    <col min="131" max="131" width="14.85546875" customWidth="1"/>
    <col min="132" max="132" width="15.5703125" customWidth="1"/>
    <col min="133" max="133" width="13.7109375" customWidth="1"/>
    <col min="134" max="134" width="15.5703125" customWidth="1"/>
    <col min="135" max="135" width="13.7109375" customWidth="1"/>
    <col min="136" max="136" width="15.5703125" customWidth="1"/>
    <col min="137" max="137" width="18.28515625" customWidth="1"/>
    <col min="138" max="138" width="15.5703125" customWidth="1"/>
    <col min="139" max="139" width="14.5703125" customWidth="1"/>
    <col min="140" max="140" width="18.85546875" bestFit="1" customWidth="1"/>
    <col min="141" max="141" width="16.28515625" customWidth="1"/>
    <col min="142" max="142" width="15" customWidth="1"/>
    <col min="143" max="143" width="16.28515625" customWidth="1"/>
    <col min="144" max="144" width="14.28515625" customWidth="1"/>
    <col min="145" max="145" width="21.28515625" bestFit="1" customWidth="1"/>
    <col min="146" max="146" width="24.5703125" bestFit="1" customWidth="1"/>
    <col min="147" max="147" width="16.28515625" customWidth="1"/>
    <col min="148" max="148" width="16.7109375" customWidth="1"/>
    <col min="149" max="149" width="16.28515625" customWidth="1"/>
    <col min="150" max="150" width="14.28515625" customWidth="1"/>
    <col min="151" max="151" width="16.28515625" customWidth="1"/>
    <col min="152" max="152" width="14.28515625" customWidth="1"/>
    <col min="153" max="153" width="16.28515625" customWidth="1"/>
    <col min="154" max="154" width="14.85546875" customWidth="1"/>
    <col min="155" max="155" width="16.28515625" customWidth="1"/>
    <col min="156" max="156" width="14.28515625" customWidth="1"/>
    <col min="157" max="157" width="16.28515625" customWidth="1"/>
    <col min="158" max="158" width="14.28515625" customWidth="1"/>
    <col min="159" max="159" width="16.28515625" bestFit="1" customWidth="1"/>
    <col min="160" max="160" width="18.28515625" bestFit="1" customWidth="1"/>
    <col min="161" max="161" width="16.28515625" bestFit="1" customWidth="1"/>
    <col min="162" max="162" width="14.5703125" bestFit="1" customWidth="1"/>
    <col min="163" max="163" width="19.5703125" bestFit="1" customWidth="1"/>
    <col min="164" max="164" width="15.5703125" bestFit="1" customWidth="1"/>
    <col min="165" max="165" width="15" bestFit="1" customWidth="1"/>
    <col min="166" max="166" width="15.5703125" bestFit="1" customWidth="1"/>
    <col min="167" max="167" width="13.7109375" bestFit="1" customWidth="1"/>
    <col min="168" max="168" width="21.28515625" bestFit="1" customWidth="1"/>
    <col min="169" max="169" width="24.5703125" bestFit="1" customWidth="1"/>
    <col min="170" max="170" width="15.5703125" bestFit="1" customWidth="1"/>
    <col min="171" max="171" width="16.7109375" bestFit="1" customWidth="1"/>
    <col min="172" max="172" width="15.5703125" bestFit="1" customWidth="1"/>
    <col min="173" max="173" width="13.7109375" bestFit="1" customWidth="1"/>
    <col min="174" max="174" width="15.5703125" bestFit="1" customWidth="1"/>
    <col min="175" max="175" width="14.28515625" bestFit="1" customWidth="1"/>
    <col min="176" max="176" width="15.5703125" bestFit="1" customWidth="1"/>
    <col min="177" max="177" width="14.85546875" bestFit="1" customWidth="1"/>
    <col min="178" max="178" width="15.5703125" bestFit="1" customWidth="1"/>
    <col min="179" max="179" width="13.7109375" bestFit="1" customWidth="1"/>
    <col min="180" max="180" width="15.5703125" bestFit="1" customWidth="1"/>
    <col min="181" max="181" width="13.7109375" bestFit="1" customWidth="1"/>
    <col min="182" max="182" width="15.5703125" bestFit="1" customWidth="1"/>
    <col min="183" max="183" width="18.28515625" bestFit="1" customWidth="1"/>
    <col min="184" max="184" width="15.5703125" bestFit="1" customWidth="1"/>
    <col min="185" max="185" width="14.5703125" bestFit="1" customWidth="1"/>
    <col min="186" max="186" width="18.85546875" bestFit="1" customWidth="1"/>
    <col min="187" max="187" width="19.7109375" bestFit="1" customWidth="1"/>
    <col min="188" max="188" width="17.85546875" bestFit="1" customWidth="1"/>
    <col min="189" max="189" width="19.7109375" bestFit="1" customWidth="1"/>
    <col min="190" max="190" width="17.85546875" bestFit="1" customWidth="1"/>
    <col min="191" max="191" width="21.28515625" bestFit="1" customWidth="1"/>
    <col min="192" max="192" width="24.5703125" bestFit="1" customWidth="1"/>
    <col min="193" max="193" width="19.7109375" bestFit="1" customWidth="1"/>
    <col min="194" max="194" width="17.85546875" bestFit="1" customWidth="1"/>
    <col min="195" max="195" width="19.7109375" bestFit="1" customWidth="1"/>
    <col min="196" max="196" width="17.85546875" bestFit="1" customWidth="1"/>
    <col min="197" max="197" width="19.7109375" bestFit="1" customWidth="1"/>
    <col min="198" max="198" width="17.85546875" bestFit="1" customWidth="1"/>
    <col min="199" max="199" width="19.7109375" bestFit="1" customWidth="1"/>
    <col min="200" max="200" width="17.85546875" bestFit="1" customWidth="1"/>
    <col min="201" max="201" width="19.7109375" bestFit="1" customWidth="1"/>
    <col min="202" max="202" width="17.85546875" bestFit="1" customWidth="1"/>
    <col min="203" max="203" width="19.7109375" bestFit="1" customWidth="1"/>
    <col min="204" max="204" width="17.85546875" bestFit="1" customWidth="1"/>
    <col min="205" max="205" width="19.7109375" bestFit="1" customWidth="1"/>
    <col min="206" max="206" width="18.28515625" bestFit="1" customWidth="1"/>
    <col min="207" max="207" width="19.7109375" bestFit="1" customWidth="1"/>
    <col min="208" max="208" width="17.85546875" bestFit="1" customWidth="1"/>
    <col min="209" max="209" width="23.140625" bestFit="1" customWidth="1"/>
    <col min="210" max="210" width="15.42578125" bestFit="1" customWidth="1"/>
    <col min="211" max="211" width="15" bestFit="1" customWidth="1"/>
    <col min="212" max="212" width="15.42578125" bestFit="1" customWidth="1"/>
    <col min="213" max="213" width="13.7109375" bestFit="1" customWidth="1"/>
    <col min="214" max="214" width="21.28515625" bestFit="1" customWidth="1"/>
    <col min="215" max="215" width="24.5703125" bestFit="1" customWidth="1"/>
    <col min="216" max="216" width="15.42578125" bestFit="1" customWidth="1"/>
    <col min="217" max="217" width="16.7109375" bestFit="1" customWidth="1"/>
    <col min="218" max="218" width="15.42578125" bestFit="1" customWidth="1"/>
    <col min="219" max="219" width="13.5703125" bestFit="1" customWidth="1"/>
    <col min="220" max="220" width="15.42578125" bestFit="1" customWidth="1"/>
    <col min="221" max="221" width="14.28515625" bestFit="1" customWidth="1"/>
    <col min="222" max="222" width="15.42578125" bestFit="1" customWidth="1"/>
    <col min="223" max="223" width="14.85546875" bestFit="1" customWidth="1"/>
    <col min="224" max="224" width="15.42578125" bestFit="1" customWidth="1"/>
    <col min="225" max="225" width="13.5703125" bestFit="1" customWidth="1"/>
    <col min="226" max="226" width="15.42578125" bestFit="1" customWidth="1"/>
    <col min="227" max="227" width="13.5703125" bestFit="1" customWidth="1"/>
    <col min="228" max="228" width="15.42578125" bestFit="1" customWidth="1"/>
    <col min="229" max="229" width="18.28515625" bestFit="1" customWidth="1"/>
    <col min="230" max="230" width="15.42578125" bestFit="1" customWidth="1"/>
    <col min="231" max="231" width="14.5703125" bestFit="1" customWidth="1"/>
    <col min="232" max="232" width="18.7109375" bestFit="1" customWidth="1"/>
    <col min="233" max="233" width="16.5703125" bestFit="1" customWidth="1"/>
    <col min="234" max="234" width="15" bestFit="1" customWidth="1"/>
    <col min="235" max="235" width="16.5703125" bestFit="1" customWidth="1"/>
    <col min="236" max="236" width="14.7109375" bestFit="1" customWidth="1"/>
    <col min="237" max="237" width="21.28515625" bestFit="1" customWidth="1"/>
    <col min="238" max="238" width="24.5703125" bestFit="1" customWidth="1"/>
    <col min="239" max="239" width="16.5703125" bestFit="1" customWidth="1"/>
    <col min="240" max="240" width="16.7109375" bestFit="1" customWidth="1"/>
    <col min="241" max="241" width="16.5703125" bestFit="1" customWidth="1"/>
    <col min="242" max="242" width="14.7109375" bestFit="1" customWidth="1"/>
    <col min="243" max="243" width="16.5703125" bestFit="1" customWidth="1"/>
    <col min="244" max="244" width="14.7109375" bestFit="1" customWidth="1"/>
    <col min="245" max="245" width="16.5703125" bestFit="1" customWidth="1"/>
    <col min="246" max="246" width="14.85546875" bestFit="1" customWidth="1"/>
    <col min="247" max="247" width="16.5703125" bestFit="1" customWidth="1"/>
    <col min="248" max="248" width="14.7109375" bestFit="1" customWidth="1"/>
    <col min="249" max="249" width="16.5703125" bestFit="1" customWidth="1"/>
    <col min="250" max="250" width="14.7109375" bestFit="1" customWidth="1"/>
    <col min="251" max="251" width="16.5703125" bestFit="1" customWidth="1"/>
    <col min="252" max="252" width="18.28515625" bestFit="1" customWidth="1"/>
    <col min="253" max="253" width="16.5703125" bestFit="1" customWidth="1"/>
    <col min="254" max="254" width="14.7109375" bestFit="1" customWidth="1"/>
    <col min="255" max="255" width="19.85546875" bestFit="1" customWidth="1"/>
    <col min="256" max="256" width="18.85546875" bestFit="1" customWidth="1"/>
    <col min="257" max="257" width="17" bestFit="1" customWidth="1"/>
    <col min="258" max="258" width="18.85546875" bestFit="1" customWidth="1"/>
    <col min="259" max="259" width="17" bestFit="1" customWidth="1"/>
    <col min="260" max="260" width="21.28515625" bestFit="1" customWidth="1"/>
    <col min="261" max="261" width="24.5703125" bestFit="1" customWidth="1"/>
    <col min="262" max="262" width="18.85546875" bestFit="1" customWidth="1"/>
    <col min="263" max="263" width="17" bestFit="1" customWidth="1"/>
    <col min="264" max="264" width="18.85546875" bestFit="1" customWidth="1"/>
    <col min="265" max="265" width="17" bestFit="1" customWidth="1"/>
    <col min="266" max="266" width="18.85546875" bestFit="1" customWidth="1"/>
    <col min="267" max="267" width="17" bestFit="1" customWidth="1"/>
    <col min="268" max="268" width="18.85546875" bestFit="1" customWidth="1"/>
    <col min="269" max="269" width="17" bestFit="1" customWidth="1"/>
    <col min="270" max="270" width="18.85546875" bestFit="1" customWidth="1"/>
    <col min="271" max="271" width="17" bestFit="1" customWidth="1"/>
    <col min="272" max="272" width="18.85546875" bestFit="1" customWidth="1"/>
    <col min="273" max="273" width="17" bestFit="1" customWidth="1"/>
    <col min="274" max="274" width="18.85546875" bestFit="1" customWidth="1"/>
    <col min="275" max="275" width="18.28515625" bestFit="1" customWidth="1"/>
    <col min="276" max="276" width="18.85546875" bestFit="1" customWidth="1"/>
    <col min="277" max="277" width="17" bestFit="1" customWidth="1"/>
    <col min="278" max="278" width="22.28515625" bestFit="1" customWidth="1"/>
    <col min="279" max="279" width="17.28515625" bestFit="1" customWidth="1"/>
    <col min="280" max="280" width="15.28515625" bestFit="1" customWidth="1"/>
    <col min="281" max="281" width="17.28515625" bestFit="1" customWidth="1"/>
    <col min="282" max="282" width="15.28515625" bestFit="1" customWidth="1"/>
    <col min="283" max="283" width="21.28515625" bestFit="1" customWidth="1"/>
    <col min="284" max="284" width="24.5703125" bestFit="1" customWidth="1"/>
    <col min="285" max="285" width="17.28515625" bestFit="1" customWidth="1"/>
    <col min="286" max="286" width="16.7109375" bestFit="1" customWidth="1"/>
    <col min="287" max="287" width="17.28515625" bestFit="1" customWidth="1"/>
    <col min="288" max="288" width="15.28515625" bestFit="1" customWidth="1"/>
    <col min="289" max="289" width="17.28515625" bestFit="1" customWidth="1"/>
    <col min="290" max="290" width="15.28515625" bestFit="1" customWidth="1"/>
    <col min="291" max="291" width="17.28515625" bestFit="1" customWidth="1"/>
    <col min="292" max="292" width="15.28515625" bestFit="1" customWidth="1"/>
    <col min="293" max="293" width="17.28515625" bestFit="1" customWidth="1"/>
    <col min="294" max="294" width="15.28515625" bestFit="1" customWidth="1"/>
    <col min="295" max="295" width="17.28515625" bestFit="1" customWidth="1"/>
    <col min="296" max="296" width="15.28515625" bestFit="1" customWidth="1"/>
    <col min="297" max="297" width="17.28515625" bestFit="1" customWidth="1"/>
    <col min="298" max="298" width="18.28515625" bestFit="1" customWidth="1"/>
    <col min="299" max="299" width="17.28515625" bestFit="1" customWidth="1"/>
    <col min="300" max="300" width="15.28515625" bestFit="1" customWidth="1"/>
    <col min="301" max="301" width="20.5703125" bestFit="1" customWidth="1"/>
  </cols>
  <sheetData>
    <row r="5" spans="2:6" x14ac:dyDescent="0.25">
      <c r="B5" s="5" t="s">
        <v>233</v>
      </c>
      <c r="C5" s="2" t="s">
        <v>216</v>
      </c>
      <c r="D5" s="3"/>
      <c r="E5" s="3"/>
      <c r="F5" s="3"/>
    </row>
    <row r="6" spans="2:6" x14ac:dyDescent="0.25">
      <c r="B6" s="5" t="s">
        <v>217</v>
      </c>
      <c r="C6" s="3" t="s">
        <v>158</v>
      </c>
      <c r="D6" s="3" t="s">
        <v>150</v>
      </c>
      <c r="E6" s="3" t="s">
        <v>156</v>
      </c>
      <c r="F6" s="3" t="s">
        <v>152</v>
      </c>
    </row>
    <row r="7" spans="2:6" x14ac:dyDescent="0.25">
      <c r="B7" s="7" t="s">
        <v>101</v>
      </c>
      <c r="C7" s="4">
        <v>40000</v>
      </c>
      <c r="D7" s="4">
        <v>0</v>
      </c>
      <c r="E7" s="4">
        <v>30000</v>
      </c>
      <c r="F7" s="4">
        <v>15500</v>
      </c>
    </row>
    <row r="8" spans="2:6" x14ac:dyDescent="0.25">
      <c r="B8" s="7" t="s">
        <v>100</v>
      </c>
      <c r="C8" s="4">
        <v>40000</v>
      </c>
      <c r="D8" s="4">
        <v>0</v>
      </c>
      <c r="E8" s="4">
        <v>0</v>
      </c>
      <c r="F8" s="4">
        <v>15500</v>
      </c>
    </row>
    <row r="9" spans="2:6" x14ac:dyDescent="0.25">
      <c r="B9" s="6" t="s">
        <v>55</v>
      </c>
      <c r="C9" s="4">
        <v>20000</v>
      </c>
      <c r="D9" s="4">
        <v>0</v>
      </c>
      <c r="E9" s="4">
        <v>0</v>
      </c>
      <c r="F9" s="4">
        <v>0</v>
      </c>
    </row>
    <row r="10" spans="2:6" x14ac:dyDescent="0.25">
      <c r="B10" s="6" t="s">
        <v>45</v>
      </c>
      <c r="C10" s="4">
        <v>20000</v>
      </c>
      <c r="D10" s="4">
        <v>0</v>
      </c>
      <c r="E10" s="4">
        <v>0</v>
      </c>
      <c r="F10" s="4">
        <v>15500</v>
      </c>
    </row>
    <row r="11" spans="2:6" x14ac:dyDescent="0.25">
      <c r="B11" s="7" t="s">
        <v>104</v>
      </c>
      <c r="C11" s="4">
        <v>0</v>
      </c>
      <c r="D11" s="4">
        <v>0</v>
      </c>
      <c r="E11" s="4">
        <v>30000</v>
      </c>
      <c r="F11" s="4">
        <v>0</v>
      </c>
    </row>
    <row r="12" spans="2:6" x14ac:dyDescent="0.25">
      <c r="B12" s="6" t="s">
        <v>103</v>
      </c>
      <c r="C12" s="4">
        <v>0</v>
      </c>
      <c r="D12" s="4">
        <v>0</v>
      </c>
      <c r="E12" s="4">
        <v>30000</v>
      </c>
      <c r="F12" s="4">
        <v>0</v>
      </c>
    </row>
    <row r="13" spans="2:6" x14ac:dyDescent="0.25">
      <c r="B13" s="7" t="s">
        <v>119</v>
      </c>
      <c r="C13" s="4">
        <v>52200</v>
      </c>
      <c r="D13" s="4">
        <v>0</v>
      </c>
      <c r="E13" s="4">
        <v>0</v>
      </c>
      <c r="F13" s="4">
        <v>0</v>
      </c>
    </row>
    <row r="14" spans="2:6" x14ac:dyDescent="0.25">
      <c r="B14" s="7" t="s">
        <v>118</v>
      </c>
      <c r="C14" s="4">
        <v>52200</v>
      </c>
      <c r="D14" s="4">
        <v>0</v>
      </c>
      <c r="E14" s="4">
        <v>0</v>
      </c>
      <c r="F14" s="4">
        <v>0</v>
      </c>
    </row>
    <row r="15" spans="2:6" x14ac:dyDescent="0.25">
      <c r="B15" s="6" t="s">
        <v>61</v>
      </c>
      <c r="C15" s="4">
        <v>30000</v>
      </c>
      <c r="D15" s="4">
        <v>0</v>
      </c>
      <c r="E15" s="4">
        <v>0</v>
      </c>
      <c r="F15" s="4">
        <v>0</v>
      </c>
    </row>
    <row r="16" spans="2:6" x14ac:dyDescent="0.25">
      <c r="B16" s="6" t="s">
        <v>122</v>
      </c>
      <c r="C16" s="4">
        <v>22200</v>
      </c>
      <c r="D16" s="4">
        <v>0</v>
      </c>
      <c r="E16" s="4">
        <v>0</v>
      </c>
      <c r="F16" s="4">
        <v>0</v>
      </c>
    </row>
    <row r="17" spans="2:6" x14ac:dyDescent="0.25">
      <c r="B17" s="7" t="s">
        <v>76</v>
      </c>
      <c r="C17" s="4">
        <v>2000</v>
      </c>
      <c r="D17" s="4">
        <v>20000</v>
      </c>
      <c r="E17" s="4">
        <v>0</v>
      </c>
      <c r="F17" s="4">
        <v>10000</v>
      </c>
    </row>
    <row r="18" spans="2:6" x14ac:dyDescent="0.25">
      <c r="B18" s="7" t="s">
        <v>74</v>
      </c>
      <c r="C18" s="4">
        <v>2000</v>
      </c>
      <c r="D18" s="4">
        <v>20000</v>
      </c>
      <c r="E18" s="4">
        <v>0</v>
      </c>
      <c r="F18" s="4">
        <v>10000</v>
      </c>
    </row>
    <row r="19" spans="2:6" x14ac:dyDescent="0.25">
      <c r="B19" s="6" t="s">
        <v>62</v>
      </c>
      <c r="C19" s="4">
        <v>2000</v>
      </c>
      <c r="D19" s="4">
        <v>0</v>
      </c>
      <c r="E19" s="4">
        <v>0</v>
      </c>
      <c r="F19" s="4">
        <v>0</v>
      </c>
    </row>
    <row r="20" spans="2:6" x14ac:dyDescent="0.25">
      <c r="B20" s="3" t="s">
        <v>77</v>
      </c>
      <c r="C20" s="4">
        <v>0</v>
      </c>
      <c r="D20" s="4">
        <v>0</v>
      </c>
      <c r="E20" s="4">
        <v>0</v>
      </c>
      <c r="F20" s="4">
        <v>10000</v>
      </c>
    </row>
    <row r="21" spans="2:6" x14ac:dyDescent="0.25">
      <c r="B21" s="6" t="s">
        <v>78</v>
      </c>
      <c r="C21" s="4">
        <v>0</v>
      </c>
      <c r="D21" s="4">
        <v>20000</v>
      </c>
      <c r="E21" s="4">
        <v>0</v>
      </c>
      <c r="F21" s="4">
        <v>0</v>
      </c>
    </row>
    <row r="22" spans="2:6" x14ac:dyDescent="0.25">
      <c r="B22"/>
    </row>
    <row r="23" spans="2:6" x14ac:dyDescent="0.25">
      <c r="B23"/>
    </row>
    <row r="24" spans="2:6" x14ac:dyDescent="0.25">
      <c r="B24"/>
    </row>
    <row r="25" spans="2:6" x14ac:dyDescent="0.25">
      <c r="B25"/>
    </row>
    <row r="26" spans="2:6" x14ac:dyDescent="0.25">
      <c r="B26"/>
    </row>
    <row r="27" spans="2:6" x14ac:dyDescent="0.25">
      <c r="B27"/>
    </row>
    <row r="28" spans="2:6" x14ac:dyDescent="0.25">
      <c r="B28"/>
    </row>
    <row r="29" spans="2:6" x14ac:dyDescent="0.25">
      <c r="B29"/>
    </row>
    <row r="30" spans="2:6" x14ac:dyDescent="0.25">
      <c r="B30"/>
    </row>
    <row r="31" spans="2:6" x14ac:dyDescent="0.25">
      <c r="B31"/>
    </row>
    <row r="32" spans="2:6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</sheetData>
  <dataConsolidate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2"/>
  <sheetViews>
    <sheetView tabSelected="1" topLeftCell="E1" zoomScaleNormal="100" workbookViewId="0">
      <pane xSplit="3" topLeftCell="H1" activePane="topRight" state="frozen"/>
      <selection activeCell="E1" sqref="E1"/>
      <selection pane="topRight" activeCell="E25" sqref="A25:XFD25"/>
    </sheetView>
  </sheetViews>
  <sheetFormatPr defaultRowHeight="15" x14ac:dyDescent="0.25"/>
  <cols>
    <col min="1" max="1" width="26.42578125" style="13" hidden="1" customWidth="1"/>
    <col min="2" max="2" width="18.42578125" style="11" hidden="1" customWidth="1"/>
    <col min="3" max="3" width="10.28515625" hidden="1" customWidth="1"/>
    <col min="4" max="4" width="12.28515625" hidden="1" customWidth="1"/>
    <col min="5" max="5" width="9.140625" customWidth="1"/>
    <col min="6" max="6" width="9.140625" style="15"/>
    <col min="7" max="7" width="30.42578125" customWidth="1"/>
    <col min="8" max="8" width="13" customWidth="1"/>
    <col min="9" max="9" width="12.28515625" customWidth="1"/>
    <col min="10" max="10" width="12.85546875" customWidth="1"/>
    <col min="11" max="11" width="14.7109375" customWidth="1"/>
    <col min="12" max="12" width="10.85546875" customWidth="1"/>
    <col min="13" max="13" width="9.7109375" customWidth="1"/>
    <col min="14" max="14" width="14.140625" customWidth="1"/>
    <col min="15" max="15" width="10.7109375" customWidth="1"/>
    <col min="16" max="16" width="10.42578125" customWidth="1"/>
    <col min="17" max="17" width="15.28515625" customWidth="1"/>
    <col min="18" max="18" width="12.28515625" customWidth="1"/>
    <col min="19" max="19" width="11.28515625" customWidth="1"/>
    <col min="20" max="20" width="15.5703125" customWidth="1"/>
    <col min="21" max="21" width="5.85546875" customWidth="1"/>
    <col min="22" max="22" width="8.85546875" customWidth="1"/>
    <col min="23" max="23" width="11.28515625" customWidth="1"/>
    <col min="24" max="24" width="9.85546875" customWidth="1"/>
    <col min="25" max="25" width="13.140625" customWidth="1"/>
    <col min="26" max="26" width="17.42578125" customWidth="1"/>
    <col min="27" max="27" width="10.42578125" customWidth="1"/>
    <col min="28" max="28" width="8.140625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10"/>
      <c r="C1" s="10"/>
      <c r="D1" s="10"/>
      <c r="E1" s="10"/>
      <c r="F1" s="16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9"/>
      <c r="V1" s="9"/>
      <c r="W1" s="9"/>
      <c r="X1" s="9"/>
      <c r="Y1" s="9"/>
      <c r="Z1" s="9"/>
      <c r="AA1" s="9"/>
    </row>
    <row r="2" spans="1:66" x14ac:dyDescent="0.25">
      <c r="A2" s="10"/>
      <c r="C2" s="10"/>
      <c r="D2" s="10"/>
      <c r="E2" s="10"/>
      <c r="F2" s="16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9"/>
      <c r="V2" s="9"/>
      <c r="W2" s="9"/>
      <c r="X2" s="9"/>
      <c r="Y2" s="9"/>
      <c r="Z2" s="9"/>
      <c r="AA2" s="9"/>
    </row>
    <row r="3" spans="1:66" ht="15.75" x14ac:dyDescent="0.25">
      <c r="C3" s="9"/>
      <c r="D3" s="9"/>
      <c r="E3" s="9"/>
      <c r="F3" s="54" t="s">
        <v>274</v>
      </c>
      <c r="G3" s="54" t="s">
        <v>273</v>
      </c>
      <c r="H3" s="54" t="str">
        <f>IF(H8="",$F$3, IF(ISNUMBER(SEARCH("Sum", H8)), "Tổng", H8))</f>
        <v>Tồn đầu kỳ</v>
      </c>
      <c r="I3" s="54"/>
      <c r="J3" s="54" t="str">
        <f t="shared" ref="J3:AA3" si="0">IF(J8="",$F$3, IF(ISNUMBER(SEARCH("Sum", J8)), "Tổng", J8))</f>
        <v>Tổng</v>
      </c>
      <c r="K3" s="54" t="str">
        <f t="shared" si="0"/>
        <v>Nhập</v>
      </c>
      <c r="L3" s="54"/>
      <c r="M3" s="54"/>
      <c r="N3" s="54"/>
      <c r="O3" s="54"/>
      <c r="P3" s="54" t="str">
        <f t="shared" si="0"/>
        <v>Tổng</v>
      </c>
      <c r="Q3" s="54" t="str">
        <f t="shared" si="0"/>
        <v>Xuất</v>
      </c>
      <c r="R3" s="54"/>
      <c r="S3" s="54"/>
      <c r="T3" s="54"/>
      <c r="U3" s="54"/>
      <c r="V3" s="54"/>
      <c r="W3" s="54"/>
      <c r="X3" s="54" t="str">
        <f t="shared" si="0"/>
        <v>Tổng</v>
      </c>
      <c r="Y3" s="54" t="str">
        <f t="shared" si="0"/>
        <v>Tồn cuối kỳ</v>
      </c>
      <c r="Z3" s="54"/>
      <c r="AA3" s="54" t="str">
        <f t="shared" si="0"/>
        <v>Tổng</v>
      </c>
    </row>
    <row r="4" spans="1:66" ht="15.75" x14ac:dyDescent="0.25">
      <c r="C4" s="9"/>
      <c r="D4" s="9"/>
      <c r="E4" s="9"/>
      <c r="F4" s="54"/>
      <c r="G4" s="54"/>
      <c r="H4" s="55" t="str">
        <f t="shared" ref="H4:Z4" si="1">IF(H9="",$F$3, IF(ISNUMBER(SEARCH("Sum", H9)), "Tổng", H9))</f>
        <v>DT cho NV đột xuất</v>
      </c>
      <c r="I4" s="54" t="str">
        <f t="shared" si="1"/>
        <v>DT SSCD</v>
      </c>
      <c r="J4" s="54"/>
      <c r="K4" s="17" t="str">
        <f t="shared" si="1"/>
        <v>Nhập khác</v>
      </c>
      <c r="L4" s="54" t="str">
        <f t="shared" si="1"/>
        <v>CXD</v>
      </c>
      <c r="M4" s="54" t="str">
        <f t="shared" si="1"/>
        <v>QC</v>
      </c>
      <c r="N4" s="54" t="str">
        <f t="shared" si="1"/>
        <v>Mua P/cấp</v>
      </c>
      <c r="O4" s="54" t="str">
        <f t="shared" si="1"/>
        <v>Khác</v>
      </c>
      <c r="P4" s="54"/>
      <c r="Q4" s="54" t="str">
        <f t="shared" si="1"/>
        <v>Xuất khác</v>
      </c>
      <c r="R4" s="54"/>
      <c r="S4" s="54" t="str">
        <f t="shared" si="1"/>
        <v>Khác</v>
      </c>
      <c r="T4" s="55" t="str">
        <f t="shared" si="1"/>
        <v>TT Xe máy</v>
      </c>
      <c r="U4" s="54" t="str">
        <f t="shared" si="1"/>
        <v>BQ</v>
      </c>
      <c r="V4" s="54" t="str">
        <f t="shared" si="1"/>
        <v>Hao hụt</v>
      </c>
      <c r="W4" s="54" t="str">
        <f t="shared" si="1"/>
        <v>Tổn thất</v>
      </c>
      <c r="X4" s="54"/>
      <c r="Y4" s="55" t="str">
        <f t="shared" si="1"/>
        <v>DT cho NV đột xuất</v>
      </c>
      <c r="Z4" s="54" t="str">
        <f t="shared" si="1"/>
        <v>DT SSCD</v>
      </c>
      <c r="AA4" s="54"/>
    </row>
    <row r="5" spans="1:66" ht="15.75" x14ac:dyDescent="0.25">
      <c r="C5" s="9"/>
      <c r="D5" s="9"/>
      <c r="E5" s="9"/>
      <c r="F5" s="54"/>
      <c r="G5" s="54"/>
      <c r="H5" s="55"/>
      <c r="I5" s="54"/>
      <c r="J5" s="54"/>
      <c r="K5" s="17" t="str">
        <f t="shared" ref="K5:R5" si="2">IF(K10="",$F$3, IF(ISNUMBER(SEARCH("Sum", K10)), "Tổng", K10))</f>
        <v>Trong QC</v>
      </c>
      <c r="L5" s="54"/>
      <c r="M5" s="54"/>
      <c r="N5" s="54"/>
      <c r="O5" s="54"/>
      <c r="P5" s="54"/>
      <c r="Q5" s="17" t="str">
        <f t="shared" si="2"/>
        <v>Ngoài QC</v>
      </c>
      <c r="R5" s="17" t="str">
        <f t="shared" si="2"/>
        <v>Trong QC</v>
      </c>
      <c r="S5" s="54"/>
      <c r="T5" s="55"/>
      <c r="U5" s="54"/>
      <c r="V5" s="54"/>
      <c r="W5" s="54"/>
      <c r="X5" s="54"/>
      <c r="Y5" s="55"/>
      <c r="Z5" s="54"/>
      <c r="AA5" s="54"/>
    </row>
    <row r="6" spans="1:66" hidden="1" x14ac:dyDescent="0.25">
      <c r="F6" s="21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6"/>
      <c r="AH6">
        <f>ROW()</f>
        <v>6</v>
      </c>
      <c r="AI6">
        <f>COLUMN(AI7)</f>
        <v>35</v>
      </c>
    </row>
    <row r="7" spans="1:66" hidden="1" x14ac:dyDescent="0.25">
      <c r="F7" s="21"/>
      <c r="G7" s="41" t="s">
        <v>273</v>
      </c>
      <c r="H7" s="41" t="s">
        <v>216</v>
      </c>
      <c r="I7" s="48"/>
      <c r="J7" s="48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8"/>
      <c r="AH7">
        <f>ROW()</f>
        <v>7</v>
      </c>
      <c r="AI7">
        <f>AK21</f>
        <v>0</v>
      </c>
      <c r="AJ7" t="str">
        <f t="shared" ref="AJ7:AV7" si="3">IF(I8="",$F$3, IF(ISNUMBER(SEARCH("Sum", I8)), "Tổng", I8))</f>
        <v>Tồn đầu kỳ</v>
      </c>
      <c r="AK7" t="str">
        <f t="shared" si="3"/>
        <v>Tổng</v>
      </c>
      <c r="AL7" t="str">
        <f t="shared" si="3"/>
        <v>Nhập</v>
      </c>
      <c r="AM7" t="str">
        <f t="shared" si="3"/>
        <v>Nhập</v>
      </c>
      <c r="AN7" t="str">
        <f t="shared" si="3"/>
        <v>Nhập</v>
      </c>
      <c r="AO7" t="str">
        <f t="shared" si="3"/>
        <v>Nhập</v>
      </c>
      <c r="AP7" t="str">
        <f t="shared" si="3"/>
        <v>Nhập</v>
      </c>
      <c r="AQ7" t="str">
        <f t="shared" si="3"/>
        <v>Tổng</v>
      </c>
      <c r="AR7" t="str">
        <f t="shared" si="3"/>
        <v>Xuất</v>
      </c>
      <c r="AS7" t="str">
        <f t="shared" si="3"/>
        <v>Xuất</v>
      </c>
      <c r="AT7" t="str">
        <f t="shared" si="3"/>
        <v>Xuất</v>
      </c>
      <c r="AU7" t="str">
        <f t="shared" si="3"/>
        <v>Xuất</v>
      </c>
      <c r="AV7" t="str">
        <f t="shared" si="3"/>
        <v>Xuất</v>
      </c>
      <c r="AW7" t="str">
        <f>IF(V8="",$F$3, IF(ISNUMBER(SEARCH("Sum", V8)), "Tổng", V8))</f>
        <v>Xuất</v>
      </c>
      <c r="AX7" t="str">
        <f t="shared" ref="AX7" si="4">IF(W8="",$F$3, IF(ISNUMBER(SEARCH("Sum", W8)), "Tổng", W8))</f>
        <v>Xuất</v>
      </c>
      <c r="AY7" t="str">
        <f t="shared" ref="AY7" si="5">IF(X8="",$F$3, IF(ISNUMBER(SEARCH("Sum", X8)), "Tổng", X8))</f>
        <v>Tổng</v>
      </c>
      <c r="AZ7" t="str">
        <f t="shared" ref="AZ7" si="6">IF(Y8="",$F$3, IF(ISNUMBER(SEARCH("Sum", Y8)), "Tổng", Y8))</f>
        <v>Tồn cuối kỳ</v>
      </c>
      <c r="BA7" t="str">
        <f t="shared" ref="BA7" si="7">IF(Z8="",$F$3, IF(ISNUMBER(SEARCH("Sum", Z8)), "Tổng", Z8))</f>
        <v>Tồn cuối kỳ</v>
      </c>
      <c r="BB7" t="str">
        <f t="shared" ref="BB7" si="8">IF(AA8="",$F$3, IF(ISNUMBER(SEARCH("Sum", AA8)), "Tổng", AA8))</f>
        <v>Tổng</v>
      </c>
      <c r="BC7" t="str">
        <f t="shared" ref="BC7" si="9">IF(AB8="",$F$3,SUBSTITUTE(AB8,"Sum",""))</f>
        <v>TT</v>
      </c>
      <c r="BD7" t="str">
        <f t="shared" ref="BD7" si="10">IF(AC8="",$F$3,SUBSTITUTE(AC8,"Sum",""))</f>
        <v>TT</v>
      </c>
    </row>
    <row r="8" spans="1:66" s="8" customFormat="1" hidden="1" x14ac:dyDescent="0.25">
      <c r="A8" s="13"/>
      <c r="B8" s="12"/>
      <c r="F8" s="22"/>
      <c r="G8" s="48"/>
      <c r="H8" s="52" t="s">
        <v>267</v>
      </c>
      <c r="I8" s="51" t="s">
        <v>267</v>
      </c>
      <c r="J8" s="50" t="s">
        <v>269</v>
      </c>
      <c r="K8" s="52" t="s">
        <v>265</v>
      </c>
      <c r="L8" s="53" t="s">
        <v>265</v>
      </c>
      <c r="M8" s="53" t="s">
        <v>265</v>
      </c>
      <c r="N8" s="53" t="s">
        <v>265</v>
      </c>
      <c r="O8" s="51" t="s">
        <v>265</v>
      </c>
      <c r="P8" s="50" t="s">
        <v>270</v>
      </c>
      <c r="Q8" s="52" t="s">
        <v>268</v>
      </c>
      <c r="R8" s="53" t="s">
        <v>268</v>
      </c>
      <c r="S8" s="53" t="s">
        <v>268</v>
      </c>
      <c r="T8" s="53" t="s">
        <v>268</v>
      </c>
      <c r="U8" s="53" t="s">
        <v>268</v>
      </c>
      <c r="V8" s="53" t="s">
        <v>268</v>
      </c>
      <c r="W8" s="51" t="s">
        <v>268</v>
      </c>
      <c r="X8" s="50" t="s">
        <v>271</v>
      </c>
      <c r="Y8" s="52" t="s">
        <v>266</v>
      </c>
      <c r="Z8" s="51" t="s">
        <v>266</v>
      </c>
      <c r="AA8" s="50" t="s">
        <v>272</v>
      </c>
      <c r="AI8" t="str">
        <f t="shared" ref="AI8:AI9" si="11">IF(H9="",$F$3, IF(ISNUMBER(SEARCH("Sum", H9)), "Tổng", H9))</f>
        <v>DT cho NV đột xuất</v>
      </c>
      <c r="AJ8" t="str">
        <f t="shared" ref="AJ8:AJ9" si="12">IF(I9="",$F$3, IF(ISNUMBER(SEARCH("Sum", I9)), "Tổng", I9))</f>
        <v>DT SSCD</v>
      </c>
      <c r="AK8" t="str">
        <f t="shared" ref="AK8:AK9" si="13">IF(J9="",$F$3, IF(ISNUMBER(SEARCH("Sum", J9)), "Tổng", J9))</f>
        <v>TT</v>
      </c>
      <c r="AL8" t="str">
        <f t="shared" ref="AL8:AL9" si="14">IF(K9="",$F$3, IF(ISNUMBER(SEARCH("Sum", K9)), "Tổng", K9))</f>
        <v>Nhập khác</v>
      </c>
      <c r="AM8" t="str">
        <f t="shared" ref="AM8:AM9" si="15">IF(L9="",$F$3, IF(ISNUMBER(SEARCH("Sum", L9)), "Tổng", L9))</f>
        <v>CXD</v>
      </c>
      <c r="AN8" t="str">
        <f t="shared" ref="AN8:AN9" si="16">IF(M9="",$F$3, IF(ISNUMBER(SEARCH("Sum", M9)), "Tổng", M9))</f>
        <v>QC</v>
      </c>
      <c r="AO8" t="str">
        <f t="shared" ref="AO8:AO9" si="17">IF(N9="",$F$3, IF(ISNUMBER(SEARCH("Sum", N9)), "Tổng", N9))</f>
        <v>Mua P/cấp</v>
      </c>
      <c r="AP8" t="str">
        <f t="shared" ref="AP8:AP9" si="18">IF(O9="",$F$3, IF(ISNUMBER(SEARCH("Sum", O9)), "Tổng", O9))</f>
        <v>Khác</v>
      </c>
      <c r="AQ8" t="str">
        <f t="shared" ref="AQ8:AQ9" si="19">IF(P9="",$F$3, IF(ISNUMBER(SEARCH("Sum", P9)), "Tổng", P9))</f>
        <v>TT</v>
      </c>
      <c r="AR8" t="str">
        <f t="shared" ref="AR8:AR9" si="20">IF(Q9="",$F$3, IF(ISNUMBER(SEARCH("Sum", Q9)), "Tổng", Q9))</f>
        <v>Xuất khác</v>
      </c>
      <c r="AS8" t="str">
        <f t="shared" ref="AS8:AS9" si="21">IF(R9="",$F$3, IF(ISNUMBER(SEARCH("Sum", R9)), "Tổng", R9))</f>
        <v>Xuất khác</v>
      </c>
      <c r="AT8" t="str">
        <f t="shared" ref="AT8:AT9" si="22">IF(S9="",$F$3, IF(ISNUMBER(SEARCH("Sum", S9)), "Tổng", S9))</f>
        <v>Khác</v>
      </c>
      <c r="AU8" t="str">
        <f t="shared" ref="AU8:AU9" si="23">IF(T9="",$F$3, IF(ISNUMBER(SEARCH("Sum", T9)), "Tổng", T9))</f>
        <v>TT Xe máy</v>
      </c>
      <c r="AV8" t="str">
        <f t="shared" ref="AV8:AV9" si="24">IF(U9="",$F$3, IF(ISNUMBER(SEARCH("Sum", U9)), "Tổng", U9))</f>
        <v>BQ</v>
      </c>
      <c r="AW8" t="str">
        <f t="shared" ref="AW8:AW9" si="25">IF(V9="",$F$3, IF(ISNUMBER(SEARCH("Sum", V9)), "Tổng", V9))</f>
        <v>Hao hụt</v>
      </c>
      <c r="AX8" t="str">
        <f t="shared" ref="AX8:AX9" si="26">IF(W9="",$F$3, IF(ISNUMBER(SEARCH("Sum", W9)), "Tổng", W9))</f>
        <v>Tổn thất</v>
      </c>
      <c r="AY8" t="str">
        <f t="shared" ref="AY8:AY9" si="27">IF(X9="",$F$3, IF(ISNUMBER(SEARCH("Sum", X9)), "Tổng", X9))</f>
        <v>TT</v>
      </c>
      <c r="AZ8" t="str">
        <f t="shared" ref="AZ8:AZ9" si="28">IF(Y9="",$F$3, IF(ISNUMBER(SEARCH("Sum", Y9)), "Tổng", Y9))</f>
        <v>DT cho NV đột xuất</v>
      </c>
      <c r="BA8" t="str">
        <f t="shared" ref="BA8:BA9" si="29">IF(Z9="",$F$3, IF(ISNUMBER(SEARCH("Sum", Z9)), "Tổng", Z9))</f>
        <v>DT SSCD</v>
      </c>
      <c r="BB8" t="str">
        <f t="shared" ref="BB8:BB9" si="30">IF(AA9="",$F$3, IF(ISNUMBER(SEARCH("Sum", AA9)), "Tổng", AA9))</f>
        <v>TT</v>
      </c>
      <c r="BC8" t="str">
        <f t="shared" ref="BC8:BC9" si="31">IF(AB9="",$F$3,SUBSTITUTE(AB9,"Sum",""))</f>
        <v>TT</v>
      </c>
      <c r="BD8" t="str">
        <f t="shared" ref="BD8:BD9" si="32">IF(AC9="",$F$3,SUBSTITUTE(AC9,"Sum",""))</f>
        <v>TT</v>
      </c>
      <c r="BE8"/>
      <c r="BF8"/>
      <c r="BG8"/>
      <c r="BH8"/>
      <c r="BI8"/>
      <c r="BJ8"/>
      <c r="BK8"/>
      <c r="BL8"/>
      <c r="BM8"/>
      <c r="BN8"/>
    </row>
    <row r="9" spans="1:66" s="8" customFormat="1" hidden="1" x14ac:dyDescent="0.25">
      <c r="A9" s="14"/>
      <c r="B9" s="12"/>
      <c r="F9" s="22"/>
      <c r="G9" s="48"/>
      <c r="H9" s="46" t="s">
        <v>247</v>
      </c>
      <c r="I9" s="49" t="s">
        <v>248</v>
      </c>
      <c r="J9" s="51"/>
      <c r="K9" s="46" t="s">
        <v>263</v>
      </c>
      <c r="L9" s="46" t="s">
        <v>246</v>
      </c>
      <c r="M9" s="46" t="s">
        <v>250</v>
      </c>
      <c r="N9" s="46" t="s">
        <v>249</v>
      </c>
      <c r="O9" s="49" t="s">
        <v>150</v>
      </c>
      <c r="P9" s="51"/>
      <c r="Q9" s="52" t="s">
        <v>264</v>
      </c>
      <c r="R9" s="53" t="s">
        <v>264</v>
      </c>
      <c r="S9" s="46" t="s">
        <v>150</v>
      </c>
      <c r="T9" s="46" t="s">
        <v>251</v>
      </c>
      <c r="U9" s="46" t="s">
        <v>245</v>
      </c>
      <c r="V9" s="46" t="s">
        <v>160</v>
      </c>
      <c r="W9" s="49" t="s">
        <v>155</v>
      </c>
      <c r="X9" s="51"/>
      <c r="Y9" s="46" t="s">
        <v>247</v>
      </c>
      <c r="Z9" s="49" t="s">
        <v>248</v>
      </c>
      <c r="AA9" s="51"/>
      <c r="AI9" t="str">
        <f t="shared" si="11"/>
        <v>DT cho NV đột xuất</v>
      </c>
      <c r="AJ9" t="str">
        <f t="shared" si="12"/>
        <v>DT SSCD</v>
      </c>
      <c r="AK9" t="str">
        <f t="shared" si="13"/>
        <v>TT</v>
      </c>
      <c r="AL9" t="str">
        <f t="shared" si="14"/>
        <v>Trong QC</v>
      </c>
      <c r="AM9" t="str">
        <f t="shared" si="15"/>
        <v>CXD</v>
      </c>
      <c r="AN9" t="str">
        <f t="shared" si="16"/>
        <v>QC</v>
      </c>
      <c r="AO9" t="str">
        <f t="shared" si="17"/>
        <v>Mua P/cấp</v>
      </c>
      <c r="AP9" t="str">
        <f t="shared" si="18"/>
        <v>Khác</v>
      </c>
      <c r="AQ9" t="str">
        <f t="shared" si="19"/>
        <v>TT</v>
      </c>
      <c r="AR9" t="str">
        <f t="shared" si="20"/>
        <v>Ngoài QC</v>
      </c>
      <c r="AS9" t="str">
        <f t="shared" si="21"/>
        <v>Trong QC</v>
      </c>
      <c r="AT9" t="str">
        <f t="shared" si="22"/>
        <v>Khác</v>
      </c>
      <c r="AU9" t="str">
        <f t="shared" si="23"/>
        <v>TT Xe máy</v>
      </c>
      <c r="AV9" t="str">
        <f t="shared" si="24"/>
        <v>BQ</v>
      </c>
      <c r="AW9" t="str">
        <f t="shared" si="25"/>
        <v>Hao hụt</v>
      </c>
      <c r="AX9" t="str">
        <f t="shared" si="26"/>
        <v>Tổn thất</v>
      </c>
      <c r="AY9" t="str">
        <f t="shared" si="27"/>
        <v>TT</v>
      </c>
      <c r="AZ9" t="str">
        <f t="shared" si="28"/>
        <v>DT cho NV đột xuất</v>
      </c>
      <c r="BA9" t="str">
        <f t="shared" si="29"/>
        <v>DT SSCD</v>
      </c>
      <c r="BB9" t="str">
        <f t="shared" si="30"/>
        <v>TT</v>
      </c>
      <c r="BC9" t="str">
        <f t="shared" si="31"/>
        <v>TT</v>
      </c>
      <c r="BD9" t="str">
        <f t="shared" si="32"/>
        <v>TT</v>
      </c>
      <c r="BE9"/>
      <c r="BF9"/>
      <c r="BG9"/>
      <c r="BH9"/>
      <c r="BI9"/>
      <c r="BJ9"/>
      <c r="BK9"/>
      <c r="BL9"/>
      <c r="BM9"/>
      <c r="BN9"/>
    </row>
    <row r="10" spans="1:66" s="8" customFormat="1" hidden="1" x14ac:dyDescent="0.25">
      <c r="A10" s="14"/>
      <c r="B10" s="12"/>
      <c r="F10" s="24"/>
      <c r="G10" s="41" t="s">
        <v>273</v>
      </c>
      <c r="H10" s="49" t="s">
        <v>247</v>
      </c>
      <c r="I10" s="49" t="s">
        <v>248</v>
      </c>
      <c r="J10" s="51"/>
      <c r="K10" s="49" t="s">
        <v>152</v>
      </c>
      <c r="L10" s="49" t="s">
        <v>246</v>
      </c>
      <c r="M10" s="49" t="s">
        <v>250</v>
      </c>
      <c r="N10" s="49" t="s">
        <v>249</v>
      </c>
      <c r="O10" s="49" t="s">
        <v>150</v>
      </c>
      <c r="P10" s="51"/>
      <c r="Q10" s="46" t="s">
        <v>154</v>
      </c>
      <c r="R10" s="49" t="s">
        <v>152</v>
      </c>
      <c r="S10" s="49" t="s">
        <v>150</v>
      </c>
      <c r="T10" s="49" t="s">
        <v>251</v>
      </c>
      <c r="U10" s="49" t="s">
        <v>245</v>
      </c>
      <c r="V10" s="49" t="s">
        <v>160</v>
      </c>
      <c r="W10" s="49" t="s">
        <v>155</v>
      </c>
      <c r="X10" s="51"/>
      <c r="Y10" s="49" t="s">
        <v>247</v>
      </c>
      <c r="Z10" s="49" t="s">
        <v>248</v>
      </c>
      <c r="AA10" s="51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66" s="20" customFormat="1" ht="14.25" x14ac:dyDescent="0.2">
      <c r="A11" s="42"/>
      <c r="B11" s="19"/>
      <c r="F11" s="23" t="s">
        <v>275</v>
      </c>
      <c r="G11" s="33" t="s">
        <v>262</v>
      </c>
      <c r="H11" s="43">
        <v>320000</v>
      </c>
      <c r="I11" s="43">
        <v>0</v>
      </c>
      <c r="J11" s="43">
        <v>320000</v>
      </c>
      <c r="K11" s="43">
        <v>0</v>
      </c>
      <c r="L11" s="43">
        <v>15200</v>
      </c>
      <c r="M11" s="43">
        <v>0</v>
      </c>
      <c r="N11" s="43">
        <v>0</v>
      </c>
      <c r="O11" s="43">
        <v>0</v>
      </c>
      <c r="P11" s="43">
        <v>15200</v>
      </c>
      <c r="Q11" s="43">
        <v>0</v>
      </c>
      <c r="R11" s="43">
        <v>16000</v>
      </c>
      <c r="S11" s="43">
        <v>0</v>
      </c>
      <c r="T11" s="43">
        <v>0</v>
      </c>
      <c r="U11" s="43">
        <v>0</v>
      </c>
      <c r="V11" s="43">
        <v>0</v>
      </c>
      <c r="W11" s="43">
        <v>0</v>
      </c>
      <c r="X11" s="43">
        <v>16000</v>
      </c>
      <c r="Y11" s="43">
        <v>319200</v>
      </c>
      <c r="Z11" s="43">
        <v>0</v>
      </c>
      <c r="AA11" s="44">
        <v>319200</v>
      </c>
    </row>
    <row r="12" spans="1:66" hidden="1" x14ac:dyDescent="0.25">
      <c r="F12" s="21"/>
      <c r="G12" s="34" t="s">
        <v>276</v>
      </c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8"/>
    </row>
    <row r="13" spans="1:66" s="20" customFormat="1" ht="14.25" x14ac:dyDescent="0.2">
      <c r="A13" s="18"/>
      <c r="B13" s="19"/>
      <c r="F13" s="23">
        <v>1</v>
      </c>
      <c r="G13" s="36" t="s">
        <v>276</v>
      </c>
      <c r="H13" s="29">
        <v>80000</v>
      </c>
      <c r="I13" s="29">
        <v>0</v>
      </c>
      <c r="J13" s="29">
        <v>80000</v>
      </c>
      <c r="K13" s="29">
        <v>0</v>
      </c>
      <c r="L13" s="29">
        <v>15200</v>
      </c>
      <c r="M13" s="29">
        <v>0</v>
      </c>
      <c r="N13" s="29">
        <v>0</v>
      </c>
      <c r="O13" s="29">
        <v>0</v>
      </c>
      <c r="P13" s="29">
        <v>15200</v>
      </c>
      <c r="Q13" s="29">
        <v>0</v>
      </c>
      <c r="R13" s="29">
        <v>16000</v>
      </c>
      <c r="S13" s="29">
        <v>0</v>
      </c>
      <c r="T13" s="29">
        <v>0</v>
      </c>
      <c r="U13" s="29">
        <v>0</v>
      </c>
      <c r="V13" s="29">
        <v>0</v>
      </c>
      <c r="W13" s="29">
        <v>0</v>
      </c>
      <c r="X13" s="29">
        <v>16000</v>
      </c>
      <c r="Y13" s="29">
        <v>79200</v>
      </c>
      <c r="Z13" s="29">
        <v>0</v>
      </c>
      <c r="AA13" s="30">
        <v>79200</v>
      </c>
    </row>
    <row r="14" spans="1:66" x14ac:dyDescent="0.25">
      <c r="F14" s="21"/>
      <c r="G14" s="37" t="s">
        <v>45</v>
      </c>
      <c r="H14" s="27">
        <v>40000</v>
      </c>
      <c r="I14" s="27">
        <v>0</v>
      </c>
      <c r="J14" s="27">
        <v>40000</v>
      </c>
      <c r="K14" s="27">
        <v>0</v>
      </c>
      <c r="L14" s="27">
        <v>15200</v>
      </c>
      <c r="M14" s="27">
        <v>0</v>
      </c>
      <c r="N14" s="27">
        <v>0</v>
      </c>
      <c r="O14" s="27">
        <v>0</v>
      </c>
      <c r="P14" s="27">
        <v>15200</v>
      </c>
      <c r="Q14" s="27">
        <v>0</v>
      </c>
      <c r="R14" s="27">
        <v>16000</v>
      </c>
      <c r="S14" s="27">
        <v>0</v>
      </c>
      <c r="T14" s="27">
        <v>0</v>
      </c>
      <c r="U14" s="27">
        <v>0</v>
      </c>
      <c r="V14" s="27">
        <v>0</v>
      </c>
      <c r="W14" s="27">
        <v>0</v>
      </c>
      <c r="X14" s="27">
        <v>16000</v>
      </c>
      <c r="Y14" s="27">
        <v>39200</v>
      </c>
      <c r="Z14" s="27">
        <v>0</v>
      </c>
      <c r="AA14" s="28">
        <v>39200</v>
      </c>
    </row>
    <row r="15" spans="1:66" x14ac:dyDescent="0.25">
      <c r="F15" s="21"/>
      <c r="G15" s="38" t="s">
        <v>55</v>
      </c>
      <c r="H15" s="27">
        <v>40000</v>
      </c>
      <c r="I15" s="27">
        <v>0</v>
      </c>
      <c r="J15" s="27">
        <v>40000</v>
      </c>
      <c r="K15" s="27">
        <v>0</v>
      </c>
      <c r="L15" s="27">
        <v>0</v>
      </c>
      <c r="M15" s="27">
        <v>0</v>
      </c>
      <c r="N15" s="27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7">
        <v>0</v>
      </c>
      <c r="U15" s="27">
        <v>0</v>
      </c>
      <c r="V15" s="27">
        <v>0</v>
      </c>
      <c r="W15" s="27">
        <v>0</v>
      </c>
      <c r="X15" s="27">
        <v>0</v>
      </c>
      <c r="Y15" s="27">
        <v>40000</v>
      </c>
      <c r="Z15" s="27">
        <v>0</v>
      </c>
      <c r="AA15" s="28">
        <v>40000</v>
      </c>
    </row>
    <row r="16" spans="1:66" hidden="1" x14ac:dyDescent="0.25">
      <c r="F16" s="21"/>
      <c r="G16" s="34" t="s">
        <v>277</v>
      </c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8"/>
    </row>
    <row r="17" spans="1:27" s="20" customFormat="1" ht="14.25" x14ac:dyDescent="0.2">
      <c r="A17" s="18"/>
      <c r="B17" s="19"/>
      <c r="F17" s="23">
        <v>2</v>
      </c>
      <c r="G17" s="36" t="s">
        <v>277</v>
      </c>
      <c r="H17" s="29">
        <v>40000</v>
      </c>
      <c r="I17" s="29">
        <v>0</v>
      </c>
      <c r="J17" s="29">
        <v>40000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29">
        <v>40000</v>
      </c>
      <c r="Z17" s="29">
        <v>0</v>
      </c>
      <c r="AA17" s="30">
        <v>40000</v>
      </c>
    </row>
    <row r="18" spans="1:27" x14ac:dyDescent="0.25">
      <c r="F18" s="21"/>
      <c r="G18" s="39" t="s">
        <v>103</v>
      </c>
      <c r="H18" s="27">
        <v>40000</v>
      </c>
      <c r="I18" s="27">
        <v>0</v>
      </c>
      <c r="J18" s="27">
        <v>40000</v>
      </c>
      <c r="K18" s="27">
        <v>0</v>
      </c>
      <c r="L18" s="27">
        <v>0</v>
      </c>
      <c r="M18" s="27">
        <v>0</v>
      </c>
      <c r="N18" s="27">
        <v>0</v>
      </c>
      <c r="O18" s="27">
        <v>0</v>
      </c>
      <c r="P18" s="27">
        <v>0</v>
      </c>
      <c r="Q18" s="27">
        <v>0</v>
      </c>
      <c r="R18" s="27">
        <v>0</v>
      </c>
      <c r="S18" s="27">
        <v>0</v>
      </c>
      <c r="T18" s="27">
        <v>0</v>
      </c>
      <c r="U18" s="27">
        <v>0</v>
      </c>
      <c r="V18" s="27">
        <v>0</v>
      </c>
      <c r="W18" s="27">
        <v>0</v>
      </c>
      <c r="X18" s="27">
        <v>0</v>
      </c>
      <c r="Y18" s="27">
        <v>40000</v>
      </c>
      <c r="Z18" s="27">
        <v>0</v>
      </c>
      <c r="AA18" s="28">
        <v>40000</v>
      </c>
    </row>
    <row r="19" spans="1:27" hidden="1" x14ac:dyDescent="0.25">
      <c r="F19" s="21"/>
      <c r="G19" s="34" t="s">
        <v>278</v>
      </c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8"/>
    </row>
    <row r="20" spans="1:27" s="20" customFormat="1" ht="14.25" x14ac:dyDescent="0.2">
      <c r="A20" s="18"/>
      <c r="B20" s="19"/>
      <c r="F20" s="23"/>
      <c r="G20" s="36" t="s">
        <v>278</v>
      </c>
      <c r="H20" s="29">
        <v>80000</v>
      </c>
      <c r="I20" s="29">
        <v>0</v>
      </c>
      <c r="J20" s="29">
        <v>80000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29">
        <v>0</v>
      </c>
      <c r="Q20" s="29">
        <v>0</v>
      </c>
      <c r="R20" s="29">
        <v>0</v>
      </c>
      <c r="S20" s="29">
        <v>0</v>
      </c>
      <c r="T20" s="29">
        <v>0</v>
      </c>
      <c r="U20" s="29">
        <v>0</v>
      </c>
      <c r="V20" s="29">
        <v>0</v>
      </c>
      <c r="W20" s="29">
        <v>0</v>
      </c>
      <c r="X20" s="29">
        <v>0</v>
      </c>
      <c r="Y20" s="29">
        <v>80000</v>
      </c>
      <c r="Z20" s="29">
        <v>0</v>
      </c>
      <c r="AA20" s="30">
        <v>80000</v>
      </c>
    </row>
    <row r="21" spans="1:27" x14ac:dyDescent="0.25">
      <c r="F21" s="21"/>
      <c r="G21" s="37" t="s">
        <v>116</v>
      </c>
      <c r="H21" s="27">
        <v>40000</v>
      </c>
      <c r="I21" s="27">
        <v>0</v>
      </c>
      <c r="J21" s="27">
        <v>40000</v>
      </c>
      <c r="K21" s="27">
        <v>0</v>
      </c>
      <c r="L21" s="27">
        <v>0</v>
      </c>
      <c r="M21" s="27">
        <v>0</v>
      </c>
      <c r="N21" s="27">
        <v>0</v>
      </c>
      <c r="O21" s="27">
        <v>0</v>
      </c>
      <c r="P21" s="27">
        <v>0</v>
      </c>
      <c r="Q21" s="27">
        <v>0</v>
      </c>
      <c r="R21" s="27">
        <v>0</v>
      </c>
      <c r="S21" s="27">
        <v>0</v>
      </c>
      <c r="T21" s="27">
        <v>0</v>
      </c>
      <c r="U21" s="27">
        <v>0</v>
      </c>
      <c r="V21" s="27">
        <v>0</v>
      </c>
      <c r="W21" s="27">
        <v>0</v>
      </c>
      <c r="X21" s="27">
        <v>0</v>
      </c>
      <c r="Y21" s="27">
        <v>40000</v>
      </c>
      <c r="Z21" s="27">
        <v>0</v>
      </c>
      <c r="AA21" s="28">
        <v>40000</v>
      </c>
    </row>
    <row r="22" spans="1:27" x14ac:dyDescent="0.25">
      <c r="F22" s="21"/>
      <c r="G22" s="38" t="s">
        <v>113</v>
      </c>
      <c r="H22" s="27">
        <v>40000</v>
      </c>
      <c r="I22" s="27">
        <v>0</v>
      </c>
      <c r="J22" s="27">
        <v>40000</v>
      </c>
      <c r="K22" s="27">
        <v>0</v>
      </c>
      <c r="L22" s="27">
        <v>0</v>
      </c>
      <c r="M22" s="27">
        <v>0</v>
      </c>
      <c r="N22" s="27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40000</v>
      </c>
      <c r="Z22" s="27">
        <v>0</v>
      </c>
      <c r="AA22" s="28">
        <v>40000</v>
      </c>
    </row>
    <row r="23" spans="1:27" hidden="1" x14ac:dyDescent="0.25">
      <c r="F23" s="21"/>
      <c r="G23" s="34" t="s">
        <v>279</v>
      </c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8"/>
    </row>
    <row r="24" spans="1:27" s="20" customFormat="1" ht="14.25" x14ac:dyDescent="0.2">
      <c r="A24" s="18"/>
      <c r="B24" s="19"/>
      <c r="F24" s="23">
        <v>3</v>
      </c>
      <c r="G24" s="36" t="s">
        <v>279</v>
      </c>
      <c r="H24" s="29">
        <v>120000</v>
      </c>
      <c r="I24" s="29">
        <v>0</v>
      </c>
      <c r="J24" s="29">
        <v>120000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9">
        <v>0</v>
      </c>
      <c r="V24" s="29">
        <v>0</v>
      </c>
      <c r="W24" s="29">
        <v>0</v>
      </c>
      <c r="X24" s="29">
        <v>0</v>
      </c>
      <c r="Y24" s="29">
        <v>120000</v>
      </c>
      <c r="Z24" s="29">
        <v>0</v>
      </c>
      <c r="AA24" s="30">
        <v>120000</v>
      </c>
    </row>
    <row r="25" spans="1:27" ht="15.75" x14ac:dyDescent="0.25">
      <c r="F25" s="21"/>
      <c r="G25" s="37" t="s">
        <v>106</v>
      </c>
      <c r="H25" s="27">
        <v>40000</v>
      </c>
      <c r="I25" s="27">
        <v>0</v>
      </c>
      <c r="J25" s="27">
        <v>40000</v>
      </c>
      <c r="K25" s="27">
        <v>0</v>
      </c>
      <c r="L25" s="27">
        <v>0</v>
      </c>
      <c r="M25" s="45">
        <v>0</v>
      </c>
      <c r="N25" s="27">
        <v>0</v>
      </c>
      <c r="O25" s="27">
        <v>0</v>
      </c>
      <c r="P25" s="27">
        <v>0</v>
      </c>
      <c r="Q25" s="27">
        <v>0</v>
      </c>
      <c r="R25" s="27">
        <v>0</v>
      </c>
      <c r="S25" s="27">
        <v>0</v>
      </c>
      <c r="T25" s="27">
        <v>0</v>
      </c>
      <c r="U25" s="27">
        <v>0</v>
      </c>
      <c r="V25" s="27">
        <v>0</v>
      </c>
      <c r="W25" s="27">
        <v>0</v>
      </c>
      <c r="X25" s="27">
        <v>0</v>
      </c>
      <c r="Y25" s="27">
        <v>40000</v>
      </c>
      <c r="Z25" s="27">
        <v>0</v>
      </c>
      <c r="AA25" s="28">
        <v>40000</v>
      </c>
    </row>
    <row r="26" spans="1:27" x14ac:dyDescent="0.25">
      <c r="F26" s="21"/>
      <c r="G26" s="40" t="s">
        <v>116</v>
      </c>
      <c r="H26" s="27">
        <v>40000</v>
      </c>
      <c r="I26" s="27">
        <v>0</v>
      </c>
      <c r="J26" s="27">
        <v>40000</v>
      </c>
      <c r="K26" s="27">
        <v>0</v>
      </c>
      <c r="L26" s="27">
        <v>0</v>
      </c>
      <c r="M26" s="27">
        <v>0</v>
      </c>
      <c r="N26" s="27">
        <v>0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  <c r="Y26" s="27">
        <v>40000</v>
      </c>
      <c r="Z26" s="27">
        <v>0</v>
      </c>
      <c r="AA26" s="28">
        <v>40000</v>
      </c>
    </row>
    <row r="27" spans="1:27" x14ac:dyDescent="0.25">
      <c r="F27" s="21"/>
      <c r="G27" s="38" t="s">
        <v>113</v>
      </c>
      <c r="H27" s="27">
        <v>40000</v>
      </c>
      <c r="I27" s="27">
        <v>0</v>
      </c>
      <c r="J27" s="27">
        <v>40000</v>
      </c>
      <c r="K27" s="27">
        <v>0</v>
      </c>
      <c r="L27" s="27">
        <v>0</v>
      </c>
      <c r="M27" s="27">
        <v>0</v>
      </c>
      <c r="N27" s="27">
        <v>0</v>
      </c>
      <c r="O27" s="27">
        <v>0</v>
      </c>
      <c r="P27" s="27">
        <v>0</v>
      </c>
      <c r="Q27" s="27">
        <v>0</v>
      </c>
      <c r="R27" s="27">
        <v>0</v>
      </c>
      <c r="S27" s="27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40000</v>
      </c>
      <c r="Z27" s="27">
        <v>0</v>
      </c>
      <c r="AA27" s="28">
        <v>40000</v>
      </c>
    </row>
    <row r="28" spans="1:27" s="20" customFormat="1" ht="14.25" x14ac:dyDescent="0.2">
      <c r="A28" s="18"/>
      <c r="B28" s="19"/>
      <c r="F28" s="23" t="s">
        <v>281</v>
      </c>
      <c r="G28" s="33" t="s">
        <v>280</v>
      </c>
      <c r="H28" s="29">
        <v>1720000</v>
      </c>
      <c r="I28" s="29">
        <v>0</v>
      </c>
      <c r="J28" s="29">
        <v>1720000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X28" s="29">
        <v>0</v>
      </c>
      <c r="Y28" s="29">
        <v>1720000</v>
      </c>
      <c r="Z28" s="29">
        <v>0</v>
      </c>
      <c r="AA28" s="30">
        <v>1720000</v>
      </c>
    </row>
    <row r="29" spans="1:27" s="20" customFormat="1" ht="14.25" x14ac:dyDescent="0.2">
      <c r="A29" s="18"/>
      <c r="B29" s="19"/>
      <c r="F29" s="23" t="s">
        <v>282</v>
      </c>
      <c r="G29" s="35" t="s">
        <v>261</v>
      </c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/>
    </row>
    <row r="30" spans="1:27" s="20" customFormat="1" ht="14.25" x14ac:dyDescent="0.2">
      <c r="A30" s="18"/>
      <c r="B30" s="19"/>
      <c r="F30" s="23">
        <v>1</v>
      </c>
      <c r="G30" s="36" t="s">
        <v>253</v>
      </c>
      <c r="H30" s="29">
        <v>400000</v>
      </c>
      <c r="I30" s="29">
        <v>0</v>
      </c>
      <c r="J30" s="29">
        <v>400000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29">
        <v>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0</v>
      </c>
      <c r="X30" s="29">
        <v>0</v>
      </c>
      <c r="Y30" s="29">
        <v>400000</v>
      </c>
      <c r="Z30" s="29">
        <v>0</v>
      </c>
      <c r="AA30" s="30">
        <v>400000</v>
      </c>
    </row>
    <row r="31" spans="1:27" x14ac:dyDescent="0.25">
      <c r="F31" s="21"/>
      <c r="G31" s="37" t="s">
        <v>122</v>
      </c>
      <c r="H31" s="27">
        <v>40000</v>
      </c>
      <c r="I31" s="27">
        <v>0</v>
      </c>
      <c r="J31" s="27">
        <v>40000</v>
      </c>
      <c r="K31" s="27">
        <v>0</v>
      </c>
      <c r="L31" s="27">
        <v>0</v>
      </c>
      <c r="M31" s="27">
        <v>0</v>
      </c>
      <c r="N31" s="27">
        <v>0</v>
      </c>
      <c r="O31" s="27">
        <v>0</v>
      </c>
      <c r="P31" s="27">
        <v>0</v>
      </c>
      <c r="Q31" s="27">
        <v>0</v>
      </c>
      <c r="R31" s="27">
        <v>0</v>
      </c>
      <c r="S31" s="27">
        <v>0</v>
      </c>
      <c r="T31" s="27">
        <v>0</v>
      </c>
      <c r="U31" s="27">
        <v>0</v>
      </c>
      <c r="V31" s="27">
        <v>0</v>
      </c>
      <c r="W31" s="27">
        <v>0</v>
      </c>
      <c r="X31" s="27">
        <v>0</v>
      </c>
      <c r="Y31" s="27">
        <v>40000</v>
      </c>
      <c r="Z31" s="27">
        <v>0</v>
      </c>
      <c r="AA31" s="28">
        <v>40000</v>
      </c>
    </row>
    <row r="32" spans="1:27" x14ac:dyDescent="0.25">
      <c r="F32" s="21"/>
      <c r="G32" s="40" t="s">
        <v>123</v>
      </c>
      <c r="H32" s="27">
        <v>40000</v>
      </c>
      <c r="I32" s="27">
        <v>0</v>
      </c>
      <c r="J32" s="27">
        <v>40000</v>
      </c>
      <c r="K32" s="27">
        <v>0</v>
      </c>
      <c r="L32" s="27">
        <v>0</v>
      </c>
      <c r="M32" s="27">
        <v>0</v>
      </c>
      <c r="N32" s="27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  <c r="T32" s="27">
        <v>0</v>
      </c>
      <c r="U32" s="27">
        <v>0</v>
      </c>
      <c r="V32" s="27">
        <v>0</v>
      </c>
      <c r="W32" s="27">
        <v>0</v>
      </c>
      <c r="X32" s="27">
        <v>0</v>
      </c>
      <c r="Y32" s="27">
        <v>40000</v>
      </c>
      <c r="Z32" s="27">
        <v>0</v>
      </c>
      <c r="AA32" s="28">
        <v>40000</v>
      </c>
    </row>
    <row r="33" spans="1:27" x14ac:dyDescent="0.25">
      <c r="F33" s="21"/>
      <c r="G33" s="40" t="s">
        <v>61</v>
      </c>
      <c r="H33" s="27">
        <v>40000</v>
      </c>
      <c r="I33" s="27">
        <v>0</v>
      </c>
      <c r="J33" s="27">
        <v>40000</v>
      </c>
      <c r="K33" s="27">
        <v>0</v>
      </c>
      <c r="L33" s="27">
        <v>0</v>
      </c>
      <c r="M33" s="27">
        <v>0</v>
      </c>
      <c r="N33" s="27">
        <v>0</v>
      </c>
      <c r="O33" s="27">
        <v>0</v>
      </c>
      <c r="P33" s="27">
        <v>0</v>
      </c>
      <c r="Q33" s="27">
        <v>0</v>
      </c>
      <c r="R33" s="27">
        <v>0</v>
      </c>
      <c r="S33" s="27">
        <v>0</v>
      </c>
      <c r="T33" s="27">
        <v>0</v>
      </c>
      <c r="U33" s="27">
        <v>0</v>
      </c>
      <c r="V33" s="27">
        <v>0</v>
      </c>
      <c r="W33" s="27">
        <v>0</v>
      </c>
      <c r="X33" s="27">
        <v>0</v>
      </c>
      <c r="Y33" s="27">
        <v>40000</v>
      </c>
      <c r="Z33" s="27">
        <v>0</v>
      </c>
      <c r="AA33" s="28">
        <v>40000</v>
      </c>
    </row>
    <row r="34" spans="1:27" x14ac:dyDescent="0.25">
      <c r="F34" s="21"/>
      <c r="G34" s="40" t="s">
        <v>117</v>
      </c>
      <c r="H34" s="27">
        <v>40000</v>
      </c>
      <c r="I34" s="27">
        <v>0</v>
      </c>
      <c r="J34" s="27">
        <v>40000</v>
      </c>
      <c r="K34" s="27">
        <v>0</v>
      </c>
      <c r="L34" s="27">
        <v>0</v>
      </c>
      <c r="M34" s="27">
        <v>0</v>
      </c>
      <c r="N34" s="27">
        <v>0</v>
      </c>
      <c r="O34" s="27">
        <v>0</v>
      </c>
      <c r="P34" s="27">
        <v>0</v>
      </c>
      <c r="Q34" s="27">
        <v>0</v>
      </c>
      <c r="R34" s="27">
        <v>0</v>
      </c>
      <c r="S34" s="27">
        <v>0</v>
      </c>
      <c r="T34" s="27">
        <v>0</v>
      </c>
      <c r="U34" s="27">
        <v>0</v>
      </c>
      <c r="V34" s="27">
        <v>0</v>
      </c>
      <c r="W34" s="27">
        <v>0</v>
      </c>
      <c r="X34" s="27">
        <v>0</v>
      </c>
      <c r="Y34" s="27">
        <v>40000</v>
      </c>
      <c r="Z34" s="27">
        <v>0</v>
      </c>
      <c r="AA34" s="28">
        <v>40000</v>
      </c>
    </row>
    <row r="35" spans="1:27" x14ac:dyDescent="0.25">
      <c r="F35" s="21"/>
      <c r="G35" s="40" t="s">
        <v>120</v>
      </c>
      <c r="H35" s="27">
        <v>40000</v>
      </c>
      <c r="I35" s="27">
        <v>0</v>
      </c>
      <c r="J35" s="27">
        <v>40000</v>
      </c>
      <c r="K35" s="27">
        <v>0</v>
      </c>
      <c r="L35" s="27">
        <v>0</v>
      </c>
      <c r="M35" s="27">
        <v>0</v>
      </c>
      <c r="N35" s="27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7">
        <v>0</v>
      </c>
      <c r="U35" s="27">
        <v>0</v>
      </c>
      <c r="V35" s="27">
        <v>0</v>
      </c>
      <c r="W35" s="27">
        <v>0</v>
      </c>
      <c r="X35" s="27">
        <v>0</v>
      </c>
      <c r="Y35" s="27">
        <v>40000</v>
      </c>
      <c r="Z35" s="27">
        <v>0</v>
      </c>
      <c r="AA35" s="28">
        <v>40000</v>
      </c>
    </row>
    <row r="36" spans="1:27" x14ac:dyDescent="0.25">
      <c r="F36" s="21"/>
      <c r="G36" s="40" t="s">
        <v>121</v>
      </c>
      <c r="H36" s="27">
        <v>40000</v>
      </c>
      <c r="I36" s="27">
        <v>0</v>
      </c>
      <c r="J36" s="27">
        <v>40000</v>
      </c>
      <c r="K36" s="27">
        <v>0</v>
      </c>
      <c r="L36" s="27">
        <v>0</v>
      </c>
      <c r="M36" s="27">
        <v>0</v>
      </c>
      <c r="N36" s="27">
        <v>0</v>
      </c>
      <c r="O36" s="27">
        <v>0</v>
      </c>
      <c r="P36" s="27">
        <v>0</v>
      </c>
      <c r="Q36" s="27">
        <v>0</v>
      </c>
      <c r="R36" s="27">
        <v>0</v>
      </c>
      <c r="S36" s="27">
        <v>0</v>
      </c>
      <c r="T36" s="27">
        <v>0</v>
      </c>
      <c r="U36" s="27">
        <v>0</v>
      </c>
      <c r="V36" s="27">
        <v>0</v>
      </c>
      <c r="W36" s="27">
        <v>0</v>
      </c>
      <c r="X36" s="27">
        <v>0</v>
      </c>
      <c r="Y36" s="27">
        <v>40000</v>
      </c>
      <c r="Z36" s="27">
        <v>0</v>
      </c>
      <c r="AA36" s="28">
        <v>40000</v>
      </c>
    </row>
    <row r="37" spans="1:27" x14ac:dyDescent="0.25">
      <c r="F37" s="21"/>
      <c r="G37" s="40" t="s">
        <v>125</v>
      </c>
      <c r="H37" s="27">
        <v>40000</v>
      </c>
      <c r="I37" s="27">
        <v>0</v>
      </c>
      <c r="J37" s="27">
        <v>40000</v>
      </c>
      <c r="K37" s="27">
        <v>0</v>
      </c>
      <c r="L37" s="27">
        <v>0</v>
      </c>
      <c r="M37" s="27">
        <v>0</v>
      </c>
      <c r="N37" s="27">
        <v>0</v>
      </c>
      <c r="O37" s="27">
        <v>0</v>
      </c>
      <c r="P37" s="27">
        <v>0</v>
      </c>
      <c r="Q37" s="27">
        <v>0</v>
      </c>
      <c r="R37" s="27">
        <v>0</v>
      </c>
      <c r="S37" s="27">
        <v>0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40000</v>
      </c>
      <c r="Z37" s="27">
        <v>0</v>
      </c>
      <c r="AA37" s="28">
        <v>40000</v>
      </c>
    </row>
    <row r="38" spans="1:27" x14ac:dyDescent="0.25">
      <c r="F38" s="21"/>
      <c r="G38" s="40" t="s">
        <v>127</v>
      </c>
      <c r="H38" s="27">
        <v>40000</v>
      </c>
      <c r="I38" s="27">
        <v>0</v>
      </c>
      <c r="J38" s="27">
        <v>40000</v>
      </c>
      <c r="K38" s="27">
        <v>0</v>
      </c>
      <c r="L38" s="27">
        <v>0</v>
      </c>
      <c r="M38" s="27">
        <v>0</v>
      </c>
      <c r="N38" s="27">
        <v>0</v>
      </c>
      <c r="O38" s="27">
        <v>0</v>
      </c>
      <c r="P38" s="27">
        <v>0</v>
      </c>
      <c r="Q38" s="27">
        <v>0</v>
      </c>
      <c r="R38" s="27">
        <v>0</v>
      </c>
      <c r="S38" s="27">
        <v>0</v>
      </c>
      <c r="T38" s="27">
        <v>0</v>
      </c>
      <c r="U38" s="27">
        <v>0</v>
      </c>
      <c r="V38" s="27">
        <v>0</v>
      </c>
      <c r="W38" s="27">
        <v>0</v>
      </c>
      <c r="X38" s="27">
        <v>0</v>
      </c>
      <c r="Y38" s="27">
        <v>40000</v>
      </c>
      <c r="Z38" s="27">
        <v>0</v>
      </c>
      <c r="AA38" s="28">
        <v>40000</v>
      </c>
    </row>
    <row r="39" spans="1:27" x14ac:dyDescent="0.25">
      <c r="F39" s="21"/>
      <c r="G39" s="40" t="s">
        <v>126</v>
      </c>
      <c r="H39" s="27">
        <v>40000</v>
      </c>
      <c r="I39" s="27">
        <v>0</v>
      </c>
      <c r="J39" s="27">
        <v>40000</v>
      </c>
      <c r="K39" s="27">
        <v>0</v>
      </c>
      <c r="L39" s="27">
        <v>0</v>
      </c>
      <c r="M39" s="27">
        <v>0</v>
      </c>
      <c r="N39" s="27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7">
        <v>0</v>
      </c>
      <c r="U39" s="27">
        <v>0</v>
      </c>
      <c r="V39" s="27">
        <v>0</v>
      </c>
      <c r="W39" s="27">
        <v>0</v>
      </c>
      <c r="X39" s="27">
        <v>0</v>
      </c>
      <c r="Y39" s="27">
        <v>40000</v>
      </c>
      <c r="Z39" s="27">
        <v>0</v>
      </c>
      <c r="AA39" s="28">
        <v>40000</v>
      </c>
    </row>
    <row r="40" spans="1:27" x14ac:dyDescent="0.25">
      <c r="F40" s="21"/>
      <c r="G40" s="38" t="s">
        <v>124</v>
      </c>
      <c r="H40" s="27">
        <v>40000</v>
      </c>
      <c r="I40" s="27">
        <v>0</v>
      </c>
      <c r="J40" s="27">
        <v>40000</v>
      </c>
      <c r="K40" s="27">
        <v>0</v>
      </c>
      <c r="L40" s="27">
        <v>0</v>
      </c>
      <c r="M40" s="27">
        <v>0</v>
      </c>
      <c r="N40" s="27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7">
        <v>0</v>
      </c>
      <c r="U40" s="27">
        <v>0</v>
      </c>
      <c r="V40" s="27">
        <v>0</v>
      </c>
      <c r="W40" s="27">
        <v>0</v>
      </c>
      <c r="X40" s="27">
        <v>0</v>
      </c>
      <c r="Y40" s="27">
        <v>40000</v>
      </c>
      <c r="Z40" s="27">
        <v>0</v>
      </c>
      <c r="AA40" s="28">
        <v>40000</v>
      </c>
    </row>
    <row r="41" spans="1:27" s="20" customFormat="1" ht="14.25" x14ac:dyDescent="0.2">
      <c r="A41" s="18"/>
      <c r="B41" s="19"/>
      <c r="F41" s="23">
        <v>2</v>
      </c>
      <c r="G41" s="36" t="s">
        <v>252</v>
      </c>
      <c r="H41" s="29">
        <v>80000</v>
      </c>
      <c r="I41" s="29">
        <v>0</v>
      </c>
      <c r="J41" s="29">
        <v>80000</v>
      </c>
      <c r="K41" s="29">
        <v>0</v>
      </c>
      <c r="L41" s="29">
        <v>0</v>
      </c>
      <c r="M41" s="29">
        <v>0</v>
      </c>
      <c r="N41" s="29">
        <v>0</v>
      </c>
      <c r="O41" s="29">
        <v>0</v>
      </c>
      <c r="P41" s="29">
        <v>0</v>
      </c>
      <c r="Q41" s="29">
        <v>0</v>
      </c>
      <c r="R41" s="29">
        <v>0</v>
      </c>
      <c r="S41" s="29">
        <v>0</v>
      </c>
      <c r="T41" s="29">
        <v>0</v>
      </c>
      <c r="U41" s="29">
        <v>0</v>
      </c>
      <c r="V41" s="29">
        <v>0</v>
      </c>
      <c r="W41" s="29">
        <v>0</v>
      </c>
      <c r="X41" s="29">
        <v>0</v>
      </c>
      <c r="Y41" s="29">
        <v>80000</v>
      </c>
      <c r="Z41" s="29">
        <v>0</v>
      </c>
      <c r="AA41" s="30">
        <v>80000</v>
      </c>
    </row>
    <row r="42" spans="1:27" x14ac:dyDescent="0.25">
      <c r="F42" s="21"/>
      <c r="G42" s="37" t="s">
        <v>136</v>
      </c>
      <c r="H42" s="27">
        <v>40000</v>
      </c>
      <c r="I42" s="27">
        <v>0</v>
      </c>
      <c r="J42" s="27">
        <v>40000</v>
      </c>
      <c r="K42" s="27">
        <v>0</v>
      </c>
      <c r="L42" s="27">
        <v>0</v>
      </c>
      <c r="M42" s="27">
        <v>0</v>
      </c>
      <c r="N42" s="27">
        <v>0</v>
      </c>
      <c r="O42" s="27">
        <v>0</v>
      </c>
      <c r="P42" s="27">
        <v>0</v>
      </c>
      <c r="Q42" s="27">
        <v>0</v>
      </c>
      <c r="R42" s="27">
        <v>0</v>
      </c>
      <c r="S42" s="27">
        <v>0</v>
      </c>
      <c r="T42" s="27">
        <v>0</v>
      </c>
      <c r="U42" s="27">
        <v>0</v>
      </c>
      <c r="V42" s="27">
        <v>0</v>
      </c>
      <c r="W42" s="27">
        <v>0</v>
      </c>
      <c r="X42" s="27">
        <v>0</v>
      </c>
      <c r="Y42" s="27">
        <v>40000</v>
      </c>
      <c r="Z42" s="27">
        <v>0</v>
      </c>
      <c r="AA42" s="28">
        <v>40000</v>
      </c>
    </row>
    <row r="43" spans="1:27" x14ac:dyDescent="0.25">
      <c r="F43" s="21"/>
      <c r="G43" s="38" t="s">
        <v>134</v>
      </c>
      <c r="H43" s="27">
        <v>40000</v>
      </c>
      <c r="I43" s="27">
        <v>0</v>
      </c>
      <c r="J43" s="27">
        <v>40000</v>
      </c>
      <c r="K43" s="27">
        <v>0</v>
      </c>
      <c r="L43" s="27">
        <v>0</v>
      </c>
      <c r="M43" s="27">
        <v>0</v>
      </c>
      <c r="N43" s="27">
        <v>0</v>
      </c>
      <c r="O43" s="27">
        <v>0</v>
      </c>
      <c r="P43" s="27">
        <v>0</v>
      </c>
      <c r="Q43" s="27">
        <v>0</v>
      </c>
      <c r="R43" s="27">
        <v>0</v>
      </c>
      <c r="S43" s="27">
        <v>0</v>
      </c>
      <c r="T43" s="27">
        <v>0</v>
      </c>
      <c r="U43" s="27">
        <v>0</v>
      </c>
      <c r="V43" s="27">
        <v>0</v>
      </c>
      <c r="W43" s="27">
        <v>0</v>
      </c>
      <c r="X43" s="27">
        <v>0</v>
      </c>
      <c r="Y43" s="27">
        <v>40000</v>
      </c>
      <c r="Z43" s="27">
        <v>0</v>
      </c>
      <c r="AA43" s="28">
        <v>40000</v>
      </c>
    </row>
    <row r="44" spans="1:27" s="20" customFormat="1" ht="14.25" x14ac:dyDescent="0.2">
      <c r="A44" s="18"/>
      <c r="B44" s="19"/>
      <c r="F44" s="23">
        <v>3</v>
      </c>
      <c r="G44" s="36" t="s">
        <v>257</v>
      </c>
      <c r="H44" s="29">
        <v>200000</v>
      </c>
      <c r="I44" s="29">
        <v>0</v>
      </c>
      <c r="J44" s="29">
        <v>200000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9">
        <v>0</v>
      </c>
      <c r="V44" s="29">
        <v>0</v>
      </c>
      <c r="W44" s="29">
        <v>0</v>
      </c>
      <c r="X44" s="29">
        <v>0</v>
      </c>
      <c r="Y44" s="29">
        <v>200000</v>
      </c>
      <c r="Z44" s="29">
        <v>0</v>
      </c>
      <c r="AA44" s="30">
        <v>200000</v>
      </c>
    </row>
    <row r="45" spans="1:27" x14ac:dyDescent="0.25">
      <c r="F45" s="21"/>
      <c r="G45" s="37" t="s">
        <v>128</v>
      </c>
      <c r="H45" s="27">
        <v>40000</v>
      </c>
      <c r="I45" s="27">
        <v>0</v>
      </c>
      <c r="J45" s="27">
        <v>40000</v>
      </c>
      <c r="K45" s="27">
        <v>0</v>
      </c>
      <c r="L45" s="27">
        <v>0</v>
      </c>
      <c r="M45" s="27">
        <v>0</v>
      </c>
      <c r="N45" s="27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7">
        <v>0</v>
      </c>
      <c r="U45" s="27">
        <v>0</v>
      </c>
      <c r="V45" s="27">
        <v>0</v>
      </c>
      <c r="W45" s="27">
        <v>0</v>
      </c>
      <c r="X45" s="27">
        <v>0</v>
      </c>
      <c r="Y45" s="27">
        <v>40000</v>
      </c>
      <c r="Z45" s="27">
        <v>0</v>
      </c>
      <c r="AA45" s="28">
        <v>40000</v>
      </c>
    </row>
    <row r="46" spans="1:27" x14ac:dyDescent="0.25">
      <c r="F46" s="21"/>
      <c r="G46" s="40" t="s">
        <v>132</v>
      </c>
      <c r="H46" s="27">
        <v>40000</v>
      </c>
      <c r="I46" s="27">
        <v>0</v>
      </c>
      <c r="J46" s="27">
        <v>40000</v>
      </c>
      <c r="K46" s="27">
        <v>0</v>
      </c>
      <c r="L46" s="27">
        <v>0</v>
      </c>
      <c r="M46" s="27">
        <v>0</v>
      </c>
      <c r="N46" s="27">
        <v>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7">
        <v>0</v>
      </c>
      <c r="U46" s="27">
        <v>0</v>
      </c>
      <c r="V46" s="27">
        <v>0</v>
      </c>
      <c r="W46" s="27">
        <v>0</v>
      </c>
      <c r="X46" s="27">
        <v>0</v>
      </c>
      <c r="Y46" s="27">
        <v>40000</v>
      </c>
      <c r="Z46" s="27">
        <v>0</v>
      </c>
      <c r="AA46" s="28">
        <v>40000</v>
      </c>
    </row>
    <row r="47" spans="1:27" x14ac:dyDescent="0.25">
      <c r="F47" s="21"/>
      <c r="G47" s="40" t="s">
        <v>130</v>
      </c>
      <c r="H47" s="27">
        <v>40000</v>
      </c>
      <c r="I47" s="27">
        <v>0</v>
      </c>
      <c r="J47" s="27">
        <v>40000</v>
      </c>
      <c r="K47" s="27">
        <v>0</v>
      </c>
      <c r="L47" s="27">
        <v>0</v>
      </c>
      <c r="M47" s="27">
        <v>0</v>
      </c>
      <c r="N47" s="27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7">
        <v>0</v>
      </c>
      <c r="U47" s="27">
        <v>0</v>
      </c>
      <c r="V47" s="27">
        <v>0</v>
      </c>
      <c r="W47" s="27">
        <v>0</v>
      </c>
      <c r="X47" s="27">
        <v>0</v>
      </c>
      <c r="Y47" s="27">
        <v>40000</v>
      </c>
      <c r="Z47" s="27">
        <v>0</v>
      </c>
      <c r="AA47" s="28">
        <v>40000</v>
      </c>
    </row>
    <row r="48" spans="1:27" x14ac:dyDescent="0.25">
      <c r="F48" s="21"/>
      <c r="G48" s="40" t="s">
        <v>131</v>
      </c>
      <c r="H48" s="27">
        <v>40000</v>
      </c>
      <c r="I48" s="27">
        <v>0</v>
      </c>
      <c r="J48" s="27">
        <v>40000</v>
      </c>
      <c r="K48" s="27">
        <v>0</v>
      </c>
      <c r="L48" s="27">
        <v>0</v>
      </c>
      <c r="M48" s="27">
        <v>0</v>
      </c>
      <c r="N48" s="27">
        <v>0</v>
      </c>
      <c r="O48" s="27">
        <v>0</v>
      </c>
      <c r="P48" s="27">
        <v>0</v>
      </c>
      <c r="Q48" s="27">
        <v>0</v>
      </c>
      <c r="R48" s="27">
        <v>0</v>
      </c>
      <c r="S48" s="27">
        <v>0</v>
      </c>
      <c r="T48" s="27">
        <v>0</v>
      </c>
      <c r="U48" s="27">
        <v>0</v>
      </c>
      <c r="V48" s="27">
        <v>0</v>
      </c>
      <c r="W48" s="27">
        <v>0</v>
      </c>
      <c r="X48" s="27">
        <v>0</v>
      </c>
      <c r="Y48" s="27">
        <v>40000</v>
      </c>
      <c r="Z48" s="27">
        <v>0</v>
      </c>
      <c r="AA48" s="28">
        <v>40000</v>
      </c>
    </row>
    <row r="49" spans="1:27" x14ac:dyDescent="0.25">
      <c r="F49" s="21"/>
      <c r="G49" s="38" t="s">
        <v>133</v>
      </c>
      <c r="H49" s="27">
        <v>40000</v>
      </c>
      <c r="I49" s="27">
        <v>0</v>
      </c>
      <c r="J49" s="27">
        <v>40000</v>
      </c>
      <c r="K49" s="27">
        <v>0</v>
      </c>
      <c r="L49" s="27">
        <v>0</v>
      </c>
      <c r="M49" s="27">
        <v>0</v>
      </c>
      <c r="N49" s="27">
        <v>0</v>
      </c>
      <c r="O49" s="27">
        <v>0</v>
      </c>
      <c r="P49" s="27">
        <v>0</v>
      </c>
      <c r="Q49" s="27">
        <v>0</v>
      </c>
      <c r="R49" s="27">
        <v>0</v>
      </c>
      <c r="S49" s="27">
        <v>0</v>
      </c>
      <c r="T49" s="27">
        <v>0</v>
      </c>
      <c r="U49" s="27">
        <v>0</v>
      </c>
      <c r="V49" s="27">
        <v>0</v>
      </c>
      <c r="W49" s="27">
        <v>0</v>
      </c>
      <c r="X49" s="27">
        <v>0</v>
      </c>
      <c r="Y49" s="27">
        <v>40000</v>
      </c>
      <c r="Z49" s="27">
        <v>0</v>
      </c>
      <c r="AA49" s="28">
        <v>40000</v>
      </c>
    </row>
    <row r="50" spans="1:27" s="20" customFormat="1" ht="14.25" x14ac:dyDescent="0.2">
      <c r="A50" s="18"/>
      <c r="B50" s="19"/>
      <c r="F50" s="23">
        <v>4</v>
      </c>
      <c r="G50" s="36" t="s">
        <v>254</v>
      </c>
      <c r="H50" s="29">
        <v>240000</v>
      </c>
      <c r="I50" s="29">
        <v>0</v>
      </c>
      <c r="J50" s="29">
        <v>240000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X50" s="29">
        <v>0</v>
      </c>
      <c r="Y50" s="29">
        <v>240000</v>
      </c>
      <c r="Z50" s="29">
        <v>0</v>
      </c>
      <c r="AA50" s="30">
        <v>240000</v>
      </c>
    </row>
    <row r="51" spans="1:27" x14ac:dyDescent="0.25">
      <c r="F51" s="21"/>
      <c r="G51" s="37" t="s">
        <v>140</v>
      </c>
      <c r="H51" s="27">
        <v>40000</v>
      </c>
      <c r="I51" s="27">
        <v>0</v>
      </c>
      <c r="J51" s="27">
        <v>40000</v>
      </c>
      <c r="K51" s="27">
        <v>0</v>
      </c>
      <c r="L51" s="27">
        <v>0</v>
      </c>
      <c r="M51" s="27">
        <v>0</v>
      </c>
      <c r="N51" s="27">
        <v>0</v>
      </c>
      <c r="O51" s="27">
        <v>0</v>
      </c>
      <c r="P51" s="27">
        <v>0</v>
      </c>
      <c r="Q51" s="27">
        <v>0</v>
      </c>
      <c r="R51" s="27">
        <v>0</v>
      </c>
      <c r="S51" s="27">
        <v>0</v>
      </c>
      <c r="T51" s="27">
        <v>0</v>
      </c>
      <c r="U51" s="27">
        <v>0</v>
      </c>
      <c r="V51" s="27">
        <v>0</v>
      </c>
      <c r="W51" s="27">
        <v>0</v>
      </c>
      <c r="X51" s="27">
        <v>0</v>
      </c>
      <c r="Y51" s="27">
        <v>40000</v>
      </c>
      <c r="Z51" s="27">
        <v>0</v>
      </c>
      <c r="AA51" s="28">
        <v>40000</v>
      </c>
    </row>
    <row r="52" spans="1:27" x14ac:dyDescent="0.25">
      <c r="F52" s="21"/>
      <c r="G52" s="40" t="s">
        <v>137</v>
      </c>
      <c r="H52" s="27">
        <v>40000</v>
      </c>
      <c r="I52" s="27">
        <v>0</v>
      </c>
      <c r="J52" s="27">
        <v>40000</v>
      </c>
      <c r="K52" s="27">
        <v>0</v>
      </c>
      <c r="L52" s="27">
        <v>0</v>
      </c>
      <c r="M52" s="27">
        <v>0</v>
      </c>
      <c r="N52" s="27">
        <v>0</v>
      </c>
      <c r="O52" s="27">
        <v>0</v>
      </c>
      <c r="P52" s="27">
        <v>0</v>
      </c>
      <c r="Q52" s="27">
        <v>0</v>
      </c>
      <c r="R52" s="27">
        <v>0</v>
      </c>
      <c r="S52" s="27">
        <v>0</v>
      </c>
      <c r="T52" s="27">
        <v>0</v>
      </c>
      <c r="U52" s="27">
        <v>0</v>
      </c>
      <c r="V52" s="27">
        <v>0</v>
      </c>
      <c r="W52" s="27">
        <v>0</v>
      </c>
      <c r="X52" s="27">
        <v>0</v>
      </c>
      <c r="Y52" s="27">
        <v>40000</v>
      </c>
      <c r="Z52" s="27">
        <v>0</v>
      </c>
      <c r="AA52" s="28">
        <v>40000</v>
      </c>
    </row>
    <row r="53" spans="1:27" x14ac:dyDescent="0.25">
      <c r="F53" s="21"/>
      <c r="G53" s="40" t="s">
        <v>141</v>
      </c>
      <c r="H53" s="27">
        <v>40000</v>
      </c>
      <c r="I53" s="27">
        <v>0</v>
      </c>
      <c r="J53" s="27">
        <v>40000</v>
      </c>
      <c r="K53" s="27">
        <v>0</v>
      </c>
      <c r="L53" s="27">
        <v>0</v>
      </c>
      <c r="M53" s="27">
        <v>0</v>
      </c>
      <c r="N53" s="27">
        <v>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7">
        <v>0</v>
      </c>
      <c r="U53" s="27">
        <v>0</v>
      </c>
      <c r="V53" s="27">
        <v>0</v>
      </c>
      <c r="W53" s="27">
        <v>0</v>
      </c>
      <c r="X53" s="27">
        <v>0</v>
      </c>
      <c r="Y53" s="27">
        <v>40000</v>
      </c>
      <c r="Z53" s="27">
        <v>0</v>
      </c>
      <c r="AA53" s="28">
        <v>40000</v>
      </c>
    </row>
    <row r="54" spans="1:27" x14ac:dyDescent="0.25">
      <c r="F54" s="21"/>
      <c r="G54" s="40" t="s">
        <v>142</v>
      </c>
      <c r="H54" s="27">
        <v>40000</v>
      </c>
      <c r="I54" s="27">
        <v>0</v>
      </c>
      <c r="J54" s="27">
        <v>40000</v>
      </c>
      <c r="K54" s="27">
        <v>0</v>
      </c>
      <c r="L54" s="27">
        <v>0</v>
      </c>
      <c r="M54" s="27">
        <v>0</v>
      </c>
      <c r="N54" s="27">
        <v>0</v>
      </c>
      <c r="O54" s="27">
        <v>0</v>
      </c>
      <c r="P54" s="27">
        <v>0</v>
      </c>
      <c r="Q54" s="27">
        <v>0</v>
      </c>
      <c r="R54" s="27">
        <v>0</v>
      </c>
      <c r="S54" s="27">
        <v>0</v>
      </c>
      <c r="T54" s="27">
        <v>0</v>
      </c>
      <c r="U54" s="27">
        <v>0</v>
      </c>
      <c r="V54" s="27">
        <v>0</v>
      </c>
      <c r="W54" s="27">
        <v>0</v>
      </c>
      <c r="X54" s="27">
        <v>0</v>
      </c>
      <c r="Y54" s="27">
        <v>40000</v>
      </c>
      <c r="Z54" s="27">
        <v>0</v>
      </c>
      <c r="AA54" s="28">
        <v>40000</v>
      </c>
    </row>
    <row r="55" spans="1:27" x14ac:dyDescent="0.25">
      <c r="F55" s="21"/>
      <c r="G55" s="40" t="s">
        <v>139</v>
      </c>
      <c r="H55" s="27">
        <v>40000</v>
      </c>
      <c r="I55" s="27">
        <v>0</v>
      </c>
      <c r="J55" s="27">
        <v>40000</v>
      </c>
      <c r="K55" s="27">
        <v>0</v>
      </c>
      <c r="L55" s="27">
        <v>0</v>
      </c>
      <c r="M55" s="27">
        <v>0</v>
      </c>
      <c r="N55" s="27">
        <v>0</v>
      </c>
      <c r="O55" s="27">
        <v>0</v>
      </c>
      <c r="P55" s="27">
        <v>0</v>
      </c>
      <c r="Q55" s="27">
        <v>0</v>
      </c>
      <c r="R55" s="27">
        <v>0</v>
      </c>
      <c r="S55" s="27">
        <v>0</v>
      </c>
      <c r="T55" s="27">
        <v>0</v>
      </c>
      <c r="U55" s="27">
        <v>0</v>
      </c>
      <c r="V55" s="27">
        <v>0</v>
      </c>
      <c r="W55" s="27">
        <v>0</v>
      </c>
      <c r="X55" s="27">
        <v>0</v>
      </c>
      <c r="Y55" s="27">
        <v>40000</v>
      </c>
      <c r="Z55" s="27">
        <v>0</v>
      </c>
      <c r="AA55" s="28">
        <v>40000</v>
      </c>
    </row>
    <row r="56" spans="1:27" x14ac:dyDescent="0.25">
      <c r="F56" s="21"/>
      <c r="G56" s="38" t="s">
        <v>143</v>
      </c>
      <c r="H56" s="27">
        <v>40000</v>
      </c>
      <c r="I56" s="27">
        <v>0</v>
      </c>
      <c r="J56" s="27">
        <v>40000</v>
      </c>
      <c r="K56" s="27">
        <v>0</v>
      </c>
      <c r="L56" s="27">
        <v>0</v>
      </c>
      <c r="M56" s="27">
        <v>0</v>
      </c>
      <c r="N56" s="27">
        <v>0</v>
      </c>
      <c r="O56" s="27">
        <v>0</v>
      </c>
      <c r="P56" s="27">
        <v>0</v>
      </c>
      <c r="Q56" s="27">
        <v>0</v>
      </c>
      <c r="R56" s="27">
        <v>0</v>
      </c>
      <c r="S56" s="27">
        <v>0</v>
      </c>
      <c r="T56" s="27">
        <v>0</v>
      </c>
      <c r="U56" s="27">
        <v>0</v>
      </c>
      <c r="V56" s="27">
        <v>0</v>
      </c>
      <c r="W56" s="27">
        <v>0</v>
      </c>
      <c r="X56" s="27">
        <v>0</v>
      </c>
      <c r="Y56" s="27">
        <v>40000</v>
      </c>
      <c r="Z56" s="27">
        <v>0</v>
      </c>
      <c r="AA56" s="28">
        <v>40000</v>
      </c>
    </row>
    <row r="57" spans="1:27" s="20" customFormat="1" ht="14.25" x14ac:dyDescent="0.2">
      <c r="A57" s="18"/>
      <c r="B57" s="19"/>
      <c r="F57" s="23" t="s">
        <v>283</v>
      </c>
      <c r="G57" s="35" t="s">
        <v>260</v>
      </c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/>
    </row>
    <row r="58" spans="1:27" s="20" customFormat="1" ht="14.25" x14ac:dyDescent="0.2">
      <c r="A58" s="18"/>
      <c r="B58" s="19"/>
      <c r="F58" s="23">
        <v>1</v>
      </c>
      <c r="G58" s="36" t="s">
        <v>256</v>
      </c>
      <c r="H58" s="29">
        <v>200000</v>
      </c>
      <c r="I58" s="29">
        <v>0</v>
      </c>
      <c r="J58" s="29">
        <v>200000</v>
      </c>
      <c r="K58" s="29">
        <v>0</v>
      </c>
      <c r="L58" s="29">
        <v>0</v>
      </c>
      <c r="M58" s="29">
        <v>0</v>
      </c>
      <c r="N58" s="29">
        <v>0</v>
      </c>
      <c r="O58" s="29">
        <v>0</v>
      </c>
      <c r="P58" s="29">
        <v>0</v>
      </c>
      <c r="Q58" s="29">
        <v>0</v>
      </c>
      <c r="R58" s="29">
        <v>0</v>
      </c>
      <c r="S58" s="29">
        <v>0</v>
      </c>
      <c r="T58" s="29">
        <v>0</v>
      </c>
      <c r="U58" s="29">
        <v>0</v>
      </c>
      <c r="V58" s="29">
        <v>0</v>
      </c>
      <c r="W58" s="29">
        <v>0</v>
      </c>
      <c r="X58" s="29">
        <v>0</v>
      </c>
      <c r="Y58" s="29">
        <v>200000</v>
      </c>
      <c r="Z58" s="29">
        <v>0</v>
      </c>
      <c r="AA58" s="30">
        <v>200000</v>
      </c>
    </row>
    <row r="59" spans="1:27" x14ac:dyDescent="0.25">
      <c r="F59" s="21"/>
      <c r="G59" s="37" t="s">
        <v>77</v>
      </c>
      <c r="H59" s="27">
        <v>40000</v>
      </c>
      <c r="I59" s="27">
        <v>0</v>
      </c>
      <c r="J59" s="27">
        <v>40000</v>
      </c>
      <c r="K59" s="27">
        <v>0</v>
      </c>
      <c r="L59" s="27">
        <v>0</v>
      </c>
      <c r="M59" s="27">
        <v>0</v>
      </c>
      <c r="N59" s="27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7">
        <v>0</v>
      </c>
      <c r="U59" s="27">
        <v>0</v>
      </c>
      <c r="V59" s="27">
        <v>0</v>
      </c>
      <c r="W59" s="27">
        <v>0</v>
      </c>
      <c r="X59" s="27">
        <v>0</v>
      </c>
      <c r="Y59" s="27">
        <v>40000</v>
      </c>
      <c r="Z59" s="27">
        <v>0</v>
      </c>
      <c r="AA59" s="28">
        <v>40000</v>
      </c>
    </row>
    <row r="60" spans="1:27" x14ac:dyDescent="0.25">
      <c r="F60" s="21"/>
      <c r="G60" s="40" t="s">
        <v>78</v>
      </c>
      <c r="H60" s="27">
        <v>40000</v>
      </c>
      <c r="I60" s="27">
        <v>0</v>
      </c>
      <c r="J60" s="27">
        <v>40000</v>
      </c>
      <c r="K60" s="27">
        <v>0</v>
      </c>
      <c r="L60" s="27">
        <v>0</v>
      </c>
      <c r="M60" s="27">
        <v>0</v>
      </c>
      <c r="N60" s="27">
        <v>0</v>
      </c>
      <c r="O60" s="27">
        <v>0</v>
      </c>
      <c r="P60" s="27">
        <v>0</v>
      </c>
      <c r="Q60" s="27">
        <v>0</v>
      </c>
      <c r="R60" s="27">
        <v>0</v>
      </c>
      <c r="S60" s="27">
        <v>0</v>
      </c>
      <c r="T60" s="27">
        <v>0</v>
      </c>
      <c r="U60" s="27">
        <v>0</v>
      </c>
      <c r="V60" s="27">
        <v>0</v>
      </c>
      <c r="W60" s="27">
        <v>0</v>
      </c>
      <c r="X60" s="27">
        <v>0</v>
      </c>
      <c r="Y60" s="27">
        <v>40000</v>
      </c>
      <c r="Z60" s="27">
        <v>0</v>
      </c>
      <c r="AA60" s="28">
        <v>40000</v>
      </c>
    </row>
    <row r="61" spans="1:27" x14ac:dyDescent="0.25">
      <c r="F61" s="21"/>
      <c r="G61" s="40" t="s">
        <v>62</v>
      </c>
      <c r="H61" s="27">
        <v>40000</v>
      </c>
      <c r="I61" s="27">
        <v>0</v>
      </c>
      <c r="J61" s="27">
        <v>40000</v>
      </c>
      <c r="K61" s="27">
        <v>0</v>
      </c>
      <c r="L61" s="27">
        <v>0</v>
      </c>
      <c r="M61" s="27">
        <v>0</v>
      </c>
      <c r="N61" s="27">
        <v>0</v>
      </c>
      <c r="O61" s="27">
        <v>0</v>
      </c>
      <c r="P61" s="27">
        <v>0</v>
      </c>
      <c r="Q61" s="27">
        <v>0</v>
      </c>
      <c r="R61" s="27">
        <v>0</v>
      </c>
      <c r="S61" s="27">
        <v>0</v>
      </c>
      <c r="T61" s="27">
        <v>0</v>
      </c>
      <c r="U61" s="27">
        <v>0</v>
      </c>
      <c r="V61" s="27">
        <v>0</v>
      </c>
      <c r="W61" s="27">
        <v>0</v>
      </c>
      <c r="X61" s="27">
        <v>0</v>
      </c>
      <c r="Y61" s="27">
        <v>40000</v>
      </c>
      <c r="Z61" s="27">
        <v>0</v>
      </c>
      <c r="AA61" s="28">
        <v>40000</v>
      </c>
    </row>
    <row r="62" spans="1:27" x14ac:dyDescent="0.25">
      <c r="F62" s="21"/>
      <c r="G62" s="40" t="s">
        <v>73</v>
      </c>
      <c r="H62" s="27">
        <v>40000</v>
      </c>
      <c r="I62" s="27">
        <v>0</v>
      </c>
      <c r="J62" s="27">
        <v>40000</v>
      </c>
      <c r="K62" s="27">
        <v>0</v>
      </c>
      <c r="L62" s="27">
        <v>0</v>
      </c>
      <c r="M62" s="27">
        <v>0</v>
      </c>
      <c r="N62" s="27">
        <v>0</v>
      </c>
      <c r="O62" s="27">
        <v>0</v>
      </c>
      <c r="P62" s="27">
        <v>0</v>
      </c>
      <c r="Q62" s="27">
        <v>0</v>
      </c>
      <c r="R62" s="27">
        <v>0</v>
      </c>
      <c r="S62" s="27">
        <v>0</v>
      </c>
      <c r="T62" s="27">
        <v>0</v>
      </c>
      <c r="U62" s="27">
        <v>0</v>
      </c>
      <c r="V62" s="27">
        <v>0</v>
      </c>
      <c r="W62" s="27">
        <v>0</v>
      </c>
      <c r="X62" s="27">
        <v>0</v>
      </c>
      <c r="Y62" s="27">
        <v>40000</v>
      </c>
      <c r="Z62" s="27">
        <v>0</v>
      </c>
      <c r="AA62" s="28">
        <v>40000</v>
      </c>
    </row>
    <row r="63" spans="1:27" x14ac:dyDescent="0.25">
      <c r="F63" s="21"/>
      <c r="G63" s="38" t="s">
        <v>79</v>
      </c>
      <c r="H63" s="27">
        <v>40000</v>
      </c>
      <c r="I63" s="27">
        <v>0</v>
      </c>
      <c r="J63" s="27">
        <v>40000</v>
      </c>
      <c r="K63" s="27">
        <v>0</v>
      </c>
      <c r="L63" s="27">
        <v>0</v>
      </c>
      <c r="M63" s="27">
        <v>0</v>
      </c>
      <c r="N63" s="27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7">
        <v>0</v>
      </c>
      <c r="U63" s="27">
        <v>0</v>
      </c>
      <c r="V63" s="27">
        <v>0</v>
      </c>
      <c r="W63" s="27">
        <v>0</v>
      </c>
      <c r="X63" s="27">
        <v>0</v>
      </c>
      <c r="Y63" s="27">
        <v>40000</v>
      </c>
      <c r="Z63" s="27">
        <v>0</v>
      </c>
      <c r="AA63" s="28">
        <v>40000</v>
      </c>
    </row>
    <row r="64" spans="1:27" s="20" customFormat="1" ht="14.25" x14ac:dyDescent="0.2">
      <c r="A64" s="18"/>
      <c r="B64" s="19"/>
      <c r="F64" s="23">
        <v>2</v>
      </c>
      <c r="G64" s="36" t="s">
        <v>252</v>
      </c>
      <c r="H64" s="29">
        <v>360000</v>
      </c>
      <c r="I64" s="29">
        <v>0</v>
      </c>
      <c r="J64" s="29">
        <v>360000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0</v>
      </c>
      <c r="R64" s="29">
        <v>0</v>
      </c>
      <c r="S64" s="29">
        <v>0</v>
      </c>
      <c r="T64" s="29">
        <v>0</v>
      </c>
      <c r="U64" s="29">
        <v>0</v>
      </c>
      <c r="V64" s="29">
        <v>0</v>
      </c>
      <c r="W64" s="29">
        <v>0</v>
      </c>
      <c r="X64" s="29">
        <v>0</v>
      </c>
      <c r="Y64" s="29">
        <v>360000</v>
      </c>
      <c r="Z64" s="29">
        <v>0</v>
      </c>
      <c r="AA64" s="30">
        <v>360000</v>
      </c>
    </row>
    <row r="65" spans="1:27" x14ac:dyDescent="0.25">
      <c r="F65" s="21"/>
      <c r="G65" s="37" t="s">
        <v>84</v>
      </c>
      <c r="H65" s="27">
        <v>40000</v>
      </c>
      <c r="I65" s="27">
        <v>0</v>
      </c>
      <c r="J65" s="27">
        <v>40000</v>
      </c>
      <c r="K65" s="27">
        <v>0</v>
      </c>
      <c r="L65" s="27">
        <v>0</v>
      </c>
      <c r="M65" s="27">
        <v>0</v>
      </c>
      <c r="N65" s="27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7">
        <v>0</v>
      </c>
      <c r="U65" s="27">
        <v>0</v>
      </c>
      <c r="V65" s="27">
        <v>0</v>
      </c>
      <c r="W65" s="27">
        <v>0</v>
      </c>
      <c r="X65" s="27">
        <v>0</v>
      </c>
      <c r="Y65" s="27">
        <v>40000</v>
      </c>
      <c r="Z65" s="27">
        <v>0</v>
      </c>
      <c r="AA65" s="28">
        <v>40000</v>
      </c>
    </row>
    <row r="66" spans="1:27" x14ac:dyDescent="0.25">
      <c r="F66" s="21"/>
      <c r="G66" s="40" t="s">
        <v>87</v>
      </c>
      <c r="H66" s="27">
        <v>40000</v>
      </c>
      <c r="I66" s="27">
        <v>0</v>
      </c>
      <c r="J66" s="27">
        <v>40000</v>
      </c>
      <c r="K66" s="27">
        <v>0</v>
      </c>
      <c r="L66" s="27">
        <v>0</v>
      </c>
      <c r="M66" s="27">
        <v>0</v>
      </c>
      <c r="N66" s="27">
        <v>0</v>
      </c>
      <c r="O66" s="27">
        <v>0</v>
      </c>
      <c r="P66" s="27">
        <v>0</v>
      </c>
      <c r="Q66" s="27">
        <v>0</v>
      </c>
      <c r="R66" s="27">
        <v>0</v>
      </c>
      <c r="S66" s="27">
        <v>0</v>
      </c>
      <c r="T66" s="27">
        <v>0</v>
      </c>
      <c r="U66" s="27">
        <v>0</v>
      </c>
      <c r="V66" s="27">
        <v>0</v>
      </c>
      <c r="W66" s="27">
        <v>0</v>
      </c>
      <c r="X66" s="27">
        <v>0</v>
      </c>
      <c r="Y66" s="27">
        <v>40000</v>
      </c>
      <c r="Z66" s="27">
        <v>0</v>
      </c>
      <c r="AA66" s="28">
        <v>40000</v>
      </c>
    </row>
    <row r="67" spans="1:27" x14ac:dyDescent="0.25">
      <c r="F67" s="21"/>
      <c r="G67" s="40" t="s">
        <v>90</v>
      </c>
      <c r="H67" s="27">
        <v>40000</v>
      </c>
      <c r="I67" s="27">
        <v>0</v>
      </c>
      <c r="J67" s="27">
        <v>40000</v>
      </c>
      <c r="K67" s="27">
        <v>0</v>
      </c>
      <c r="L67" s="27">
        <v>0</v>
      </c>
      <c r="M67" s="27">
        <v>0</v>
      </c>
      <c r="N67" s="27">
        <v>0</v>
      </c>
      <c r="O67" s="27">
        <v>0</v>
      </c>
      <c r="P67" s="27">
        <v>0</v>
      </c>
      <c r="Q67" s="27">
        <v>0</v>
      </c>
      <c r="R67" s="27">
        <v>0</v>
      </c>
      <c r="S67" s="27">
        <v>0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  <c r="Y67" s="27">
        <v>40000</v>
      </c>
      <c r="Z67" s="27">
        <v>0</v>
      </c>
      <c r="AA67" s="28">
        <v>40000</v>
      </c>
    </row>
    <row r="68" spans="1:27" x14ac:dyDescent="0.25">
      <c r="F68" s="21"/>
      <c r="G68" s="40" t="s">
        <v>88</v>
      </c>
      <c r="H68" s="27">
        <v>40000</v>
      </c>
      <c r="I68" s="27">
        <v>0</v>
      </c>
      <c r="J68" s="27">
        <v>40000</v>
      </c>
      <c r="K68" s="27">
        <v>0</v>
      </c>
      <c r="L68" s="27">
        <v>0</v>
      </c>
      <c r="M68" s="27">
        <v>0</v>
      </c>
      <c r="N68" s="27">
        <v>0</v>
      </c>
      <c r="O68" s="27">
        <v>0</v>
      </c>
      <c r="P68" s="27">
        <v>0</v>
      </c>
      <c r="Q68" s="27">
        <v>0</v>
      </c>
      <c r="R68" s="27">
        <v>0</v>
      </c>
      <c r="S68" s="27">
        <v>0</v>
      </c>
      <c r="T68" s="27">
        <v>0</v>
      </c>
      <c r="U68" s="27">
        <v>0</v>
      </c>
      <c r="V68" s="27">
        <v>0</v>
      </c>
      <c r="W68" s="27">
        <v>0</v>
      </c>
      <c r="X68" s="27">
        <v>0</v>
      </c>
      <c r="Y68" s="27">
        <v>40000</v>
      </c>
      <c r="Z68" s="27">
        <v>0</v>
      </c>
      <c r="AA68" s="28">
        <v>40000</v>
      </c>
    </row>
    <row r="69" spans="1:27" x14ac:dyDescent="0.25">
      <c r="F69" s="21"/>
      <c r="G69" s="40" t="s">
        <v>89</v>
      </c>
      <c r="H69" s="27">
        <v>40000</v>
      </c>
      <c r="I69" s="27">
        <v>0</v>
      </c>
      <c r="J69" s="27">
        <v>40000</v>
      </c>
      <c r="K69" s="27">
        <v>0</v>
      </c>
      <c r="L69" s="27">
        <v>0</v>
      </c>
      <c r="M69" s="27">
        <v>0</v>
      </c>
      <c r="N69" s="27">
        <v>0</v>
      </c>
      <c r="O69" s="27">
        <v>0</v>
      </c>
      <c r="P69" s="27">
        <v>0</v>
      </c>
      <c r="Q69" s="27">
        <v>0</v>
      </c>
      <c r="R69" s="27">
        <v>0</v>
      </c>
      <c r="S69" s="27">
        <v>0</v>
      </c>
      <c r="T69" s="27">
        <v>0</v>
      </c>
      <c r="U69" s="27">
        <v>0</v>
      </c>
      <c r="V69" s="27">
        <v>0</v>
      </c>
      <c r="W69" s="27">
        <v>0</v>
      </c>
      <c r="X69" s="27">
        <v>0</v>
      </c>
      <c r="Y69" s="27">
        <v>40000</v>
      </c>
      <c r="Z69" s="27">
        <v>0</v>
      </c>
      <c r="AA69" s="28">
        <v>40000</v>
      </c>
    </row>
    <row r="70" spans="1:27" x14ac:dyDescent="0.25">
      <c r="F70" s="21"/>
      <c r="G70" s="40" t="s">
        <v>91</v>
      </c>
      <c r="H70" s="27">
        <v>40000</v>
      </c>
      <c r="I70" s="27">
        <v>0</v>
      </c>
      <c r="J70" s="27">
        <v>40000</v>
      </c>
      <c r="K70" s="27">
        <v>0</v>
      </c>
      <c r="L70" s="27">
        <v>0</v>
      </c>
      <c r="M70" s="27">
        <v>0</v>
      </c>
      <c r="N70" s="27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  <c r="T70" s="27">
        <v>0</v>
      </c>
      <c r="U70" s="27">
        <v>0</v>
      </c>
      <c r="V70" s="27">
        <v>0</v>
      </c>
      <c r="W70" s="27">
        <v>0</v>
      </c>
      <c r="X70" s="27">
        <v>0</v>
      </c>
      <c r="Y70" s="27">
        <v>40000</v>
      </c>
      <c r="Z70" s="27">
        <v>0</v>
      </c>
      <c r="AA70" s="28">
        <v>40000</v>
      </c>
    </row>
    <row r="71" spans="1:27" x14ac:dyDescent="0.25">
      <c r="F71" s="21"/>
      <c r="G71" s="40" t="s">
        <v>85</v>
      </c>
      <c r="H71" s="27">
        <v>40000</v>
      </c>
      <c r="I71" s="27">
        <v>0</v>
      </c>
      <c r="J71" s="27">
        <v>40000</v>
      </c>
      <c r="K71" s="27">
        <v>0</v>
      </c>
      <c r="L71" s="27">
        <v>0</v>
      </c>
      <c r="M71" s="27">
        <v>0</v>
      </c>
      <c r="N71" s="27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7">
        <v>0</v>
      </c>
      <c r="U71" s="27">
        <v>0</v>
      </c>
      <c r="V71" s="27">
        <v>0</v>
      </c>
      <c r="W71" s="27">
        <v>0</v>
      </c>
      <c r="X71" s="27">
        <v>0</v>
      </c>
      <c r="Y71" s="27">
        <v>40000</v>
      </c>
      <c r="Z71" s="27">
        <v>0</v>
      </c>
      <c r="AA71" s="28">
        <v>40000</v>
      </c>
    </row>
    <row r="72" spans="1:27" x14ac:dyDescent="0.25">
      <c r="F72" s="21"/>
      <c r="G72" s="40" t="s">
        <v>86</v>
      </c>
      <c r="H72" s="27">
        <v>40000</v>
      </c>
      <c r="I72" s="27">
        <v>0</v>
      </c>
      <c r="J72" s="27">
        <v>40000</v>
      </c>
      <c r="K72" s="27">
        <v>0</v>
      </c>
      <c r="L72" s="27">
        <v>0</v>
      </c>
      <c r="M72" s="27">
        <v>0</v>
      </c>
      <c r="N72" s="27">
        <v>0</v>
      </c>
      <c r="O72" s="27">
        <v>0</v>
      </c>
      <c r="P72" s="27">
        <v>0</v>
      </c>
      <c r="Q72" s="27">
        <v>0</v>
      </c>
      <c r="R72" s="27">
        <v>0</v>
      </c>
      <c r="S72" s="27">
        <v>0</v>
      </c>
      <c r="T72" s="27">
        <v>0</v>
      </c>
      <c r="U72" s="27">
        <v>0</v>
      </c>
      <c r="V72" s="27">
        <v>0</v>
      </c>
      <c r="W72" s="27">
        <v>0</v>
      </c>
      <c r="X72" s="27">
        <v>0</v>
      </c>
      <c r="Y72" s="27">
        <v>40000</v>
      </c>
      <c r="Z72" s="27">
        <v>0</v>
      </c>
      <c r="AA72" s="28">
        <v>40000</v>
      </c>
    </row>
    <row r="73" spans="1:27" x14ac:dyDescent="0.25">
      <c r="F73" s="21"/>
      <c r="G73" s="38" t="s">
        <v>82</v>
      </c>
      <c r="H73" s="27">
        <v>40000</v>
      </c>
      <c r="I73" s="27">
        <v>0</v>
      </c>
      <c r="J73" s="27">
        <v>40000</v>
      </c>
      <c r="K73" s="27">
        <v>0</v>
      </c>
      <c r="L73" s="27">
        <v>0</v>
      </c>
      <c r="M73" s="27">
        <v>0</v>
      </c>
      <c r="N73" s="27">
        <v>0</v>
      </c>
      <c r="O73" s="27">
        <v>0</v>
      </c>
      <c r="P73" s="27">
        <v>0</v>
      </c>
      <c r="Q73" s="27">
        <v>0</v>
      </c>
      <c r="R73" s="27">
        <v>0</v>
      </c>
      <c r="S73" s="27">
        <v>0</v>
      </c>
      <c r="T73" s="27">
        <v>0</v>
      </c>
      <c r="U73" s="27">
        <v>0</v>
      </c>
      <c r="V73" s="27">
        <v>0</v>
      </c>
      <c r="W73" s="27">
        <v>0</v>
      </c>
      <c r="X73" s="27">
        <v>0</v>
      </c>
      <c r="Y73" s="27">
        <v>40000</v>
      </c>
      <c r="Z73" s="27">
        <v>0</v>
      </c>
      <c r="AA73" s="28">
        <v>40000</v>
      </c>
    </row>
    <row r="74" spans="1:27" s="20" customFormat="1" ht="14.25" x14ac:dyDescent="0.2">
      <c r="A74" s="18"/>
      <c r="B74" s="19"/>
      <c r="F74" s="23">
        <v>3</v>
      </c>
      <c r="G74" s="36" t="s">
        <v>255</v>
      </c>
      <c r="H74" s="29">
        <v>40000</v>
      </c>
      <c r="I74" s="29">
        <v>0</v>
      </c>
      <c r="J74" s="29">
        <v>40000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>
        <v>0</v>
      </c>
      <c r="U74" s="29">
        <v>0</v>
      </c>
      <c r="V74" s="29">
        <v>0</v>
      </c>
      <c r="W74" s="29">
        <v>0</v>
      </c>
      <c r="X74" s="29">
        <v>0</v>
      </c>
      <c r="Y74" s="29">
        <v>40000</v>
      </c>
      <c r="Z74" s="29">
        <v>0</v>
      </c>
      <c r="AA74" s="30">
        <v>40000</v>
      </c>
    </row>
    <row r="75" spans="1:27" x14ac:dyDescent="0.25">
      <c r="F75" s="21"/>
      <c r="G75" s="39" t="s">
        <v>80</v>
      </c>
      <c r="H75" s="27">
        <v>40000</v>
      </c>
      <c r="I75" s="27">
        <v>0</v>
      </c>
      <c r="J75" s="27">
        <v>40000</v>
      </c>
      <c r="K75" s="27">
        <v>0</v>
      </c>
      <c r="L75" s="27">
        <v>0</v>
      </c>
      <c r="M75" s="27">
        <v>0</v>
      </c>
      <c r="N75" s="27">
        <v>0</v>
      </c>
      <c r="O75" s="27">
        <v>0</v>
      </c>
      <c r="P75" s="27">
        <v>0</v>
      </c>
      <c r="Q75" s="27">
        <v>0</v>
      </c>
      <c r="R75" s="27">
        <v>0</v>
      </c>
      <c r="S75" s="27">
        <v>0</v>
      </c>
      <c r="T75" s="27">
        <v>0</v>
      </c>
      <c r="U75" s="27">
        <v>0</v>
      </c>
      <c r="V75" s="27">
        <v>0</v>
      </c>
      <c r="W75" s="27">
        <v>0</v>
      </c>
      <c r="X75" s="27">
        <v>0</v>
      </c>
      <c r="Y75" s="27">
        <v>40000</v>
      </c>
      <c r="Z75" s="27">
        <v>0</v>
      </c>
      <c r="AA75" s="28">
        <v>40000</v>
      </c>
    </row>
    <row r="76" spans="1:27" s="20" customFormat="1" ht="14.25" x14ac:dyDescent="0.2">
      <c r="A76" s="18"/>
      <c r="B76" s="19"/>
      <c r="F76" s="23">
        <v>4</v>
      </c>
      <c r="G76" s="36" t="s">
        <v>259</v>
      </c>
      <c r="H76" s="29">
        <v>40000</v>
      </c>
      <c r="I76" s="29">
        <v>0</v>
      </c>
      <c r="J76" s="29">
        <v>40000</v>
      </c>
      <c r="K76" s="29">
        <v>0</v>
      </c>
      <c r="L76" s="29">
        <v>0</v>
      </c>
      <c r="M76" s="29">
        <v>0</v>
      </c>
      <c r="N76" s="29">
        <v>0</v>
      </c>
      <c r="O76" s="29">
        <v>0</v>
      </c>
      <c r="P76" s="29">
        <v>0</v>
      </c>
      <c r="Q76" s="29">
        <v>0</v>
      </c>
      <c r="R76" s="29">
        <v>0</v>
      </c>
      <c r="S76" s="29">
        <v>0</v>
      </c>
      <c r="T76" s="29">
        <v>0</v>
      </c>
      <c r="U76" s="29">
        <v>0</v>
      </c>
      <c r="V76" s="29">
        <v>0</v>
      </c>
      <c r="W76" s="29">
        <v>0</v>
      </c>
      <c r="X76" s="29">
        <v>0</v>
      </c>
      <c r="Y76" s="29">
        <v>40000</v>
      </c>
      <c r="Z76" s="29">
        <v>0</v>
      </c>
      <c r="AA76" s="30">
        <v>40000</v>
      </c>
    </row>
    <row r="77" spans="1:27" x14ac:dyDescent="0.25">
      <c r="F77" s="21"/>
      <c r="G77" s="39" t="s">
        <v>97</v>
      </c>
      <c r="H77" s="27">
        <v>40000</v>
      </c>
      <c r="I77" s="27">
        <v>0</v>
      </c>
      <c r="J77" s="27">
        <v>40000</v>
      </c>
      <c r="K77" s="27">
        <v>0</v>
      </c>
      <c r="L77" s="27">
        <v>0</v>
      </c>
      <c r="M77" s="27">
        <v>0</v>
      </c>
      <c r="N77" s="27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7">
        <v>0</v>
      </c>
      <c r="U77" s="27">
        <v>0</v>
      </c>
      <c r="V77" s="27">
        <v>0</v>
      </c>
      <c r="W77" s="27">
        <v>0</v>
      </c>
      <c r="X77" s="27">
        <v>0</v>
      </c>
      <c r="Y77" s="27">
        <v>40000</v>
      </c>
      <c r="Z77" s="27">
        <v>0</v>
      </c>
      <c r="AA77" s="28">
        <v>40000</v>
      </c>
    </row>
    <row r="78" spans="1:27" s="20" customFormat="1" ht="14.25" x14ac:dyDescent="0.2">
      <c r="A78" s="18"/>
      <c r="B78" s="19"/>
      <c r="F78" s="23">
        <v>5</v>
      </c>
      <c r="G78" s="36" t="s">
        <v>258</v>
      </c>
      <c r="H78" s="29">
        <v>160000</v>
      </c>
      <c r="I78" s="29">
        <v>0</v>
      </c>
      <c r="J78" s="29">
        <v>160000</v>
      </c>
      <c r="K78" s="29">
        <v>0</v>
      </c>
      <c r="L78" s="29">
        <v>0</v>
      </c>
      <c r="M78" s="29">
        <v>0</v>
      </c>
      <c r="N78" s="29">
        <v>0</v>
      </c>
      <c r="O78" s="29">
        <v>0</v>
      </c>
      <c r="P78" s="29">
        <v>0</v>
      </c>
      <c r="Q78" s="29">
        <v>0</v>
      </c>
      <c r="R78" s="29">
        <v>0</v>
      </c>
      <c r="S78" s="29">
        <v>0</v>
      </c>
      <c r="T78" s="29">
        <v>0</v>
      </c>
      <c r="U78" s="29">
        <v>0</v>
      </c>
      <c r="V78" s="29">
        <v>0</v>
      </c>
      <c r="W78" s="29">
        <v>0</v>
      </c>
      <c r="X78" s="29">
        <v>0</v>
      </c>
      <c r="Y78" s="29">
        <v>160000</v>
      </c>
      <c r="Z78" s="29">
        <v>0</v>
      </c>
      <c r="AA78" s="30">
        <v>160000</v>
      </c>
    </row>
    <row r="79" spans="1:27" x14ac:dyDescent="0.25">
      <c r="F79" s="21"/>
      <c r="G79" s="37" t="s">
        <v>92</v>
      </c>
      <c r="H79" s="27">
        <v>40000</v>
      </c>
      <c r="I79" s="27">
        <v>0</v>
      </c>
      <c r="J79" s="27">
        <v>40000</v>
      </c>
      <c r="K79" s="27">
        <v>0</v>
      </c>
      <c r="L79" s="27">
        <v>0</v>
      </c>
      <c r="M79" s="27">
        <v>0</v>
      </c>
      <c r="N79" s="27">
        <v>0</v>
      </c>
      <c r="O79" s="27">
        <v>0</v>
      </c>
      <c r="P79" s="27">
        <v>0</v>
      </c>
      <c r="Q79" s="27">
        <v>0</v>
      </c>
      <c r="R79" s="27">
        <v>0</v>
      </c>
      <c r="S79" s="27">
        <v>0</v>
      </c>
      <c r="T79" s="27">
        <v>0</v>
      </c>
      <c r="U79" s="27">
        <v>0</v>
      </c>
      <c r="V79" s="27">
        <v>0</v>
      </c>
      <c r="W79" s="27">
        <v>0</v>
      </c>
      <c r="X79" s="27">
        <v>0</v>
      </c>
      <c r="Y79" s="27">
        <v>40000</v>
      </c>
      <c r="Z79" s="27">
        <v>0</v>
      </c>
      <c r="AA79" s="28">
        <v>40000</v>
      </c>
    </row>
    <row r="80" spans="1:27" x14ac:dyDescent="0.25">
      <c r="F80" s="21"/>
      <c r="G80" s="40" t="s">
        <v>94</v>
      </c>
      <c r="H80" s="27">
        <v>40000</v>
      </c>
      <c r="I80" s="27">
        <v>0</v>
      </c>
      <c r="J80" s="27">
        <v>40000</v>
      </c>
      <c r="K80" s="27">
        <v>0</v>
      </c>
      <c r="L80" s="27">
        <v>0</v>
      </c>
      <c r="M80" s="27">
        <v>0</v>
      </c>
      <c r="N80" s="27">
        <v>0</v>
      </c>
      <c r="O80" s="27">
        <v>0</v>
      </c>
      <c r="P80" s="27">
        <v>0</v>
      </c>
      <c r="Q80" s="27">
        <v>0</v>
      </c>
      <c r="R80" s="27">
        <v>0</v>
      </c>
      <c r="S80" s="27">
        <v>0</v>
      </c>
      <c r="T80" s="27">
        <v>0</v>
      </c>
      <c r="U80" s="27">
        <v>0</v>
      </c>
      <c r="V80" s="27">
        <v>0</v>
      </c>
      <c r="W80" s="27">
        <v>0</v>
      </c>
      <c r="X80" s="27">
        <v>0</v>
      </c>
      <c r="Y80" s="27">
        <v>40000</v>
      </c>
      <c r="Z80" s="27">
        <v>0</v>
      </c>
      <c r="AA80" s="28">
        <v>40000</v>
      </c>
    </row>
    <row r="81" spans="6:27" x14ac:dyDescent="0.25">
      <c r="F81" s="21"/>
      <c r="G81" s="40" t="s">
        <v>95</v>
      </c>
      <c r="H81" s="27">
        <v>40000</v>
      </c>
      <c r="I81" s="27">
        <v>0</v>
      </c>
      <c r="J81" s="27">
        <v>40000</v>
      </c>
      <c r="K81" s="27">
        <v>0</v>
      </c>
      <c r="L81" s="27">
        <v>0</v>
      </c>
      <c r="M81" s="27">
        <v>0</v>
      </c>
      <c r="N81" s="27">
        <v>0</v>
      </c>
      <c r="O81" s="27">
        <v>0</v>
      </c>
      <c r="P81" s="27">
        <v>0</v>
      </c>
      <c r="Q81" s="27">
        <v>0</v>
      </c>
      <c r="R81" s="27">
        <v>0</v>
      </c>
      <c r="S81" s="27">
        <v>0</v>
      </c>
      <c r="T81" s="27">
        <v>0</v>
      </c>
      <c r="U81" s="27">
        <v>0</v>
      </c>
      <c r="V81" s="27">
        <v>0</v>
      </c>
      <c r="W81" s="27">
        <v>0</v>
      </c>
      <c r="X81" s="27">
        <v>0</v>
      </c>
      <c r="Y81" s="27">
        <v>40000</v>
      </c>
      <c r="Z81" s="27">
        <v>0</v>
      </c>
      <c r="AA81" s="28">
        <v>40000</v>
      </c>
    </row>
    <row r="82" spans="6:27" x14ac:dyDescent="0.25">
      <c r="F82" s="21"/>
      <c r="G82" s="38" t="s">
        <v>96</v>
      </c>
      <c r="H82" s="31">
        <v>40000</v>
      </c>
      <c r="I82" s="31">
        <v>0</v>
      </c>
      <c r="J82" s="31">
        <v>40000</v>
      </c>
      <c r="K82" s="31">
        <v>0</v>
      </c>
      <c r="L82" s="31">
        <v>0</v>
      </c>
      <c r="M82" s="31">
        <v>0</v>
      </c>
      <c r="N82" s="31">
        <v>0</v>
      </c>
      <c r="O82" s="31">
        <v>0</v>
      </c>
      <c r="P82" s="31">
        <v>0</v>
      </c>
      <c r="Q82" s="31">
        <v>0</v>
      </c>
      <c r="R82" s="31">
        <v>0</v>
      </c>
      <c r="S82" s="31">
        <v>0</v>
      </c>
      <c r="T82" s="31">
        <v>0</v>
      </c>
      <c r="U82" s="31">
        <v>0</v>
      </c>
      <c r="V82" s="31">
        <v>0</v>
      </c>
      <c r="W82" s="31">
        <v>0</v>
      </c>
      <c r="X82" s="31">
        <v>0</v>
      </c>
      <c r="Y82" s="31">
        <v>40000</v>
      </c>
      <c r="Z82" s="31">
        <v>0</v>
      </c>
      <c r="AA82" s="32">
        <v>40000</v>
      </c>
    </row>
  </sheetData>
  <mergeCells count="33">
    <mergeCell ref="X8:X10"/>
    <mergeCell ref="Y8:Z8"/>
    <mergeCell ref="AA8:AA10"/>
    <mergeCell ref="Q9:R9"/>
    <mergeCell ref="H8:I8"/>
    <mergeCell ref="J8:J10"/>
    <mergeCell ref="K8:O8"/>
    <mergeCell ref="P8:P10"/>
    <mergeCell ref="Q8:W8"/>
    <mergeCell ref="AA3:AA5"/>
    <mergeCell ref="Y4:Y5"/>
    <mergeCell ref="Z4:Z5"/>
    <mergeCell ref="U4:U5"/>
    <mergeCell ref="V4:V5"/>
    <mergeCell ref="Q3:W3"/>
    <mergeCell ref="S4:S5"/>
    <mergeCell ref="T4:T5"/>
    <mergeCell ref="F3:F5"/>
    <mergeCell ref="G3:G5"/>
    <mergeCell ref="W4:W5"/>
    <mergeCell ref="X3:X5"/>
    <mergeCell ref="Y3:Z3"/>
    <mergeCell ref="H3:I3"/>
    <mergeCell ref="J3:J5"/>
    <mergeCell ref="K3:O3"/>
    <mergeCell ref="L4:L5"/>
    <mergeCell ref="M4:M5"/>
    <mergeCell ref="H4:H5"/>
    <mergeCell ref="I4:I5"/>
    <mergeCell ref="P3:P5"/>
    <mergeCell ref="Q4:R4"/>
    <mergeCell ref="N4:N5"/>
    <mergeCell ref="O4:O5"/>
  </mergeCells>
  <pageMargins left="0.25" right="0.25" top="0.75" bottom="0.75" header="0.3" footer="0.3"/>
  <pageSetup paperSize="9" scale="45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21"/>
  <sheetViews>
    <sheetView workbookViewId="0">
      <selection activeCell="G11" sqref="G11"/>
    </sheetView>
  </sheetViews>
  <sheetFormatPr defaultRowHeight="15" x14ac:dyDescent="0.25"/>
  <cols>
    <col min="1" max="1" width="20.42578125" style="10" customWidth="1"/>
    <col min="2" max="2" width="12.5703125" style="11" customWidth="1"/>
    <col min="4" max="4" width="14.85546875" customWidth="1"/>
    <col min="7" max="7" width="13.5703125" customWidth="1"/>
    <col min="10" max="10" width="14.7109375" customWidth="1"/>
    <col min="11" max="11" width="12.5703125" customWidth="1"/>
    <col min="13" max="13" width="13.5703125" customWidth="1"/>
    <col min="18" max="18" width="22.42578125" customWidth="1"/>
    <col min="19" max="19" width="14.42578125" customWidth="1"/>
  </cols>
  <sheetData>
    <row r="1" spans="1:22" x14ac:dyDescent="0.25">
      <c r="C1" s="10" t="str">
        <f>IF(Sheet1!J8="",$F$7, IF(ISNUMBER(SEARCH("Sum", Sheet1!J8)), "Tổng", Sheet1!J8))</f>
        <v>Tổng</v>
      </c>
      <c r="D1" s="10" t="str">
        <f>IF(Sheet1!K8="",$F$7, IF(ISNUMBER(SEARCH("Sum", Sheet1!K8)), "Tổng", Sheet1!K8))</f>
        <v>Nhập</v>
      </c>
      <c r="E1" s="10" t="str">
        <f>IF(Sheet1!L8="",$F$7, IF(ISNUMBER(SEARCH("Sum", Sheet1!L8)), "Tổng", Sheet1!L8))</f>
        <v>Nhập</v>
      </c>
      <c r="F1" s="10" t="str">
        <f>IF(Sheet1!M8="",$F$7, IF(ISNUMBER(SEARCH("Sum", Sheet1!M8)), "Tổng", Sheet1!M8))</f>
        <v>Nhập</v>
      </c>
      <c r="G1" s="10" t="str">
        <f>IF(Sheet1!N8="",$F$7, IF(ISNUMBER(SEARCH("Sum", Sheet1!N8)), "Tổng", Sheet1!N8))</f>
        <v>Nhập</v>
      </c>
      <c r="H1" s="10" t="str">
        <f>IF(Sheet1!O8="",$F$7, IF(ISNUMBER(SEARCH("Sum", Sheet1!O8)), "Tổng", Sheet1!O8))</f>
        <v>Nhập</v>
      </c>
      <c r="I1" s="10" t="str">
        <f>IF(Sheet1!P8="",$F$7, IF(ISNUMBER(SEARCH("Sum", Sheet1!P8)), "Tổng", Sheet1!P8))</f>
        <v>Tổng</v>
      </c>
      <c r="J1" s="10" t="str">
        <f>IF(Sheet1!Q8="",$F$7, IF(ISNUMBER(SEARCH("Sum", Sheet1!Q8)), "Tổng", Sheet1!Q8))</f>
        <v>Xuất</v>
      </c>
      <c r="K1" s="10" t="str">
        <f>IF(Sheet1!R8="",$F$7, IF(ISNUMBER(SEARCH("Sum", Sheet1!R8)), "Tổng", Sheet1!R8))</f>
        <v>Xuất</v>
      </c>
      <c r="L1" s="10" t="str">
        <f>IF(Sheet1!S8="",$F$7, IF(ISNUMBER(SEARCH("Sum", Sheet1!S8)), "Tổng", Sheet1!S8))</f>
        <v>Xuất</v>
      </c>
      <c r="M1" s="10" t="str">
        <f>IF(Sheet1!T8="",$F$7, IF(ISNUMBER(SEARCH("Sum", Sheet1!T8)), "Tổng", Sheet1!T8))</f>
        <v>Xuất</v>
      </c>
      <c r="N1" s="10" t="str">
        <f>IF(Sheet1!U8="",$F$7, IF(ISNUMBER(SEARCH("Sum", Sheet1!U8)), "Tổng", Sheet1!U8))</f>
        <v>Xuất</v>
      </c>
      <c r="O1" s="10" t="str">
        <f>IF(Sheet1!V8="",$F$7, IF(ISNUMBER(SEARCH("Sum", Sheet1!V8)), "Tổng", Sheet1!V8))</f>
        <v>Xuất</v>
      </c>
      <c r="P1" s="10" t="str">
        <f>IF(Sheet1!W8="",$F$7, IF(ISNUMBER(SEARCH("Sum", Sheet1!W8)), "Tổng", Sheet1!W8))</f>
        <v>Xuất</v>
      </c>
      <c r="Q1" s="10" t="str">
        <f>IF(Sheet1!X8="",$F$7, IF(ISNUMBER(SEARCH("Sum", Sheet1!X8)), "Tổng", Sheet1!X8))</f>
        <v>Tổng</v>
      </c>
      <c r="R1" s="10" t="str">
        <f>IF(Sheet1!Y8="",$F$7, IF(ISNUMBER(SEARCH("Sum", Sheet1!Y8)), "Tổng", Sheet1!Y8))</f>
        <v>Tồn cuối kỳ</v>
      </c>
      <c r="S1" s="10" t="str">
        <f>IF(Sheet1!Z8="",$F$7, IF(ISNUMBER(SEARCH("Sum", Sheet1!Z8)), "Tổng", Sheet1!Z8))</f>
        <v>Tồn cuối kỳ</v>
      </c>
      <c r="T1" s="10" t="str">
        <f>IF(Sheet1!AA8="",$F$7, IF(ISNUMBER(SEARCH("Sum", Sheet1!AA8)), "Tổng", Sheet1!AA8))</f>
        <v>Tổng</v>
      </c>
      <c r="U1" s="10"/>
      <c r="V1" s="10"/>
    </row>
    <row r="2" spans="1:22" x14ac:dyDescent="0.25">
      <c r="A2" s="10" t="str">
        <f>IF(Sheet1!H9="",$F$7, IF(ISNUMBER(SEARCH("Sum", Sheet1!H9)), "Tổng", Sheet1!H9))</f>
        <v>DT cho NV đột xuất</v>
      </c>
      <c r="B2" s="11" t="str">
        <f>IF(Sheet1!I9="",$F$7, IF(ISNUMBER(SEARCH("Sum", Sheet1!I9)), "Tổng", Sheet1!I9))</f>
        <v>DT SSCD</v>
      </c>
      <c r="C2" s="56">
        <f>IF(Sheet1!J9="",$F$7, IF(ISNUMBER(SEARCH("Sum", Sheet1!J9)), "Tổng", Sheet1!J9))</f>
        <v>0</v>
      </c>
      <c r="D2" s="10" t="str">
        <f>IF(Sheet1!K9="",$F$7, IF(ISNUMBER(SEARCH("Sum", Sheet1!K9)), "Tổng", Sheet1!K9))</f>
        <v>Nhập khác</v>
      </c>
      <c r="E2" s="10" t="str">
        <f>IF(Sheet1!L9="",$F$7, IF(ISNUMBER(SEARCH("Sum", Sheet1!L9)), "Tổng", Sheet1!L9))</f>
        <v>CXD</v>
      </c>
      <c r="F2" s="10" t="str">
        <f>IF(Sheet1!M9="",$F$7, IF(ISNUMBER(SEARCH("Sum", Sheet1!M9)), "Tổng", Sheet1!M9))</f>
        <v>QC</v>
      </c>
      <c r="G2" s="10" t="str">
        <f>IF(Sheet1!N9="",$F$7, IF(ISNUMBER(SEARCH("Sum", Sheet1!N9)), "Tổng", Sheet1!N9))</f>
        <v>Mua P/cấp</v>
      </c>
      <c r="H2" s="10" t="str">
        <f>IF(Sheet1!O9="",$F$7, IF(ISNUMBER(SEARCH("Sum", Sheet1!O9)), "Tổng", Sheet1!O9))</f>
        <v>Khác</v>
      </c>
      <c r="I2" s="56">
        <f>IF(Sheet1!P9="",$F$7, IF(ISNUMBER(SEARCH("Sum", Sheet1!P9)), "Tổng", Sheet1!P9))</f>
        <v>0</v>
      </c>
      <c r="J2" s="10" t="str">
        <f>IF(Sheet1!Q9="",$F$7, IF(ISNUMBER(SEARCH("Sum", Sheet1!Q9)), "Tổng", Sheet1!Q9))</f>
        <v>Xuất khác</v>
      </c>
      <c r="K2" s="10"/>
      <c r="L2" s="10" t="str">
        <f>IF(Sheet1!S9="",$F$7, IF(ISNUMBER(SEARCH("Sum", Sheet1!S9)), "Tổng", Sheet1!S9))</f>
        <v>Khác</v>
      </c>
      <c r="M2" s="10" t="str">
        <f>IF(Sheet1!T9="",$F$7, IF(ISNUMBER(SEARCH("Sum", Sheet1!T9)), "Tổng", Sheet1!T9))</f>
        <v>TT Xe máy</v>
      </c>
      <c r="N2" s="10" t="str">
        <f>IF(Sheet1!U9="",$F$7, IF(ISNUMBER(SEARCH("Sum", Sheet1!U9)), "Tổng", Sheet1!U9))</f>
        <v>BQ</v>
      </c>
      <c r="O2" s="10" t="str">
        <f>IF(Sheet1!V9="",$F$7, IF(ISNUMBER(SEARCH("Sum", Sheet1!V9)), "Tổng", Sheet1!V9))</f>
        <v>Hao hụt</v>
      </c>
      <c r="P2" s="10" t="str">
        <f>IF(Sheet1!W9="",$F$7, IF(ISNUMBER(SEARCH("Sum", Sheet1!W9)), "Tổng", Sheet1!W9))</f>
        <v>Tổn thất</v>
      </c>
      <c r="Q2" s="56">
        <f>IF(Sheet1!X9="",$F$7, IF(ISNUMBER(SEARCH("Sum", Sheet1!X9)), "Tổng", Sheet1!X9))</f>
        <v>0</v>
      </c>
      <c r="R2" s="10" t="str">
        <f>IF(Sheet1!Y9="",$F$7, IF(ISNUMBER(SEARCH("Sum", Sheet1!Y9)), "Tổng", Sheet1!Y9))</f>
        <v>DT cho NV đột xuất</v>
      </c>
      <c r="S2" s="10" t="str">
        <f>IF(Sheet1!Z9="",$F$7, IF(ISNUMBER(SEARCH("Sum", Sheet1!Z9)), "Tổng", Sheet1!Z9))</f>
        <v>DT SSCD</v>
      </c>
      <c r="T2" s="56">
        <f>IF(Sheet1!AA9="",$F$7, IF(ISNUMBER(SEARCH("Sum", Sheet1!AA9)), "Tổng", Sheet1!AA9))</f>
        <v>0</v>
      </c>
      <c r="U2" s="9"/>
    </row>
    <row r="3" spans="1:22" x14ac:dyDescent="0.25">
      <c r="A3" s="56"/>
      <c r="B3" s="57"/>
      <c r="C3" s="56"/>
      <c r="D3" s="10" t="str">
        <f>IF(Sheet1!K10="",$F$7, IF(ISNUMBER(SEARCH("Sum", Sheet1!K10)), "Tổng", Sheet1!K10))</f>
        <v>Trong QC</v>
      </c>
      <c r="E3" s="56"/>
      <c r="F3" s="56"/>
      <c r="G3" s="56"/>
      <c r="H3" s="56"/>
      <c r="I3" s="56"/>
      <c r="J3" s="10" t="str">
        <f>IF(Sheet1!Q10="",$F$7, IF(ISNUMBER(SEARCH("Sum", Sheet1!Q10)), "Tổng", Sheet1!Q10))</f>
        <v>Ngoài QC</v>
      </c>
      <c r="K3" s="10" t="str">
        <f>IF(Sheet1!R10="",$F$7, IF(ISNUMBER(SEARCH("Sum", Sheet1!R10)), "Tổng", Sheet1!R10))</f>
        <v>Trong QC</v>
      </c>
      <c r="L3" s="56"/>
      <c r="M3" s="56"/>
      <c r="N3" s="56"/>
      <c r="O3" s="56"/>
      <c r="P3" s="56"/>
      <c r="Q3" s="56"/>
      <c r="R3" s="56"/>
      <c r="S3" s="56"/>
      <c r="T3" s="56"/>
      <c r="U3" s="9"/>
    </row>
    <row r="4" spans="1:22" x14ac:dyDescent="0.25">
      <c r="A4" s="56"/>
      <c r="B4" s="57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</row>
    <row r="5" spans="1:22" x14ac:dyDescent="0.25">
      <c r="A5" s="56"/>
      <c r="B5" s="57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</row>
    <row r="6" spans="1:22" x14ac:dyDescent="0.25">
      <c r="A6" s="56"/>
      <c r="B6" s="57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</row>
    <row r="7" spans="1:22" x14ac:dyDescent="0.25">
      <c r="A7" s="56"/>
      <c r="B7" s="57"/>
      <c r="C7" s="9">
        <f>ROW()</f>
        <v>7</v>
      </c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</row>
    <row r="8" spans="1:22" x14ac:dyDescent="0.25">
      <c r="A8" s="56"/>
      <c r="B8" s="11">
        <f>COLUMN()</f>
        <v>2</v>
      </c>
      <c r="C8" s="9" t="str">
        <f>IF(Sheet1!H8="",$F$7, IF(ISNUMBER(SEARCH("Sum", Sheet1!H8)), "Tổng", Sheet1!H8))</f>
        <v>Tồn đầu kỳ</v>
      </c>
      <c r="D8" s="9" t="str">
        <f>IF(Sheet1!I8="",$F$7, IF(ISNUMBER(SEARCH("Sum", Sheet1!I8)), "Tổng", Sheet1!I8))</f>
        <v>Tồn đầu kỳ</v>
      </c>
      <c r="E8" s="9" t="str">
        <f>IF(Sheet1!J8="",$F$7, IF(ISNUMBER(SEARCH("Sum", Sheet1!J8)), "Tổng", Sheet1!J8))</f>
        <v>Tổng</v>
      </c>
      <c r="F8" s="9" t="str">
        <f>IF(Sheet1!K8="",$F$7, IF(ISNUMBER(SEARCH("Sum", Sheet1!K8)), "Tổng", Sheet1!K8))</f>
        <v>Nhập</v>
      </c>
      <c r="G8" s="9" t="str">
        <f>IF(Sheet1!L8="",$F$7, IF(ISNUMBER(SEARCH("Sum", Sheet1!L8)), "Tổng", Sheet1!L8))</f>
        <v>Nhập</v>
      </c>
      <c r="H8" s="9" t="str">
        <f>IF(Sheet1!M8="",$F$7, IF(ISNUMBER(SEARCH("Sum", Sheet1!M8)), "Tổng", Sheet1!M8))</f>
        <v>Nhập</v>
      </c>
      <c r="I8" s="9" t="str">
        <f>IF(Sheet1!N8="",$F$7, IF(ISNUMBER(SEARCH("Sum", Sheet1!N8)), "Tổng", Sheet1!N8))</f>
        <v>Nhập</v>
      </c>
      <c r="J8" s="9" t="str">
        <f>IF(Sheet1!O8="",$F$7, IF(ISNUMBER(SEARCH("Sum", Sheet1!O8)), "Tổng", Sheet1!O8))</f>
        <v>Nhập</v>
      </c>
      <c r="K8" s="9" t="str">
        <f>IF(Sheet1!P8="",$F$7, IF(ISNUMBER(SEARCH("Sum", Sheet1!P8)), "Tổng", Sheet1!P8))</f>
        <v>Tổng</v>
      </c>
      <c r="L8" s="9" t="str">
        <f>IF(Sheet1!Q8="",$F$7, IF(ISNUMBER(SEARCH("Sum", Sheet1!Q8)), "Tổng", Sheet1!Q8))</f>
        <v>Xuất</v>
      </c>
      <c r="M8" s="9" t="str">
        <f>IF(Sheet1!R8="",$F$7, IF(ISNUMBER(SEARCH("Sum", Sheet1!R8)), "Tổng", Sheet1!R8))</f>
        <v>Xuất</v>
      </c>
      <c r="N8" s="9" t="str">
        <f>IF(Sheet1!S8="",$F$7, IF(ISNUMBER(SEARCH("Sum", Sheet1!S8)), "Tổng", Sheet1!S8))</f>
        <v>Xuất</v>
      </c>
      <c r="O8" s="9" t="str">
        <f>IF(Sheet1!T8="",$F$7, IF(ISNUMBER(SEARCH("Sum", Sheet1!T8)), "Tổng", Sheet1!T8))</f>
        <v>Xuất</v>
      </c>
      <c r="P8" s="9" t="str">
        <f>IF(Sheet1!U8="",$F$7, IF(ISNUMBER(SEARCH("Sum", Sheet1!U8)), "Tổng", Sheet1!U8))</f>
        <v>Xuất</v>
      </c>
      <c r="Q8" s="9" t="str">
        <f>IF(Sheet1!V8="",$F$7, IF(ISNUMBER(SEARCH("Sum", Sheet1!V8)), "Tổng", Sheet1!V8))</f>
        <v>Xuất</v>
      </c>
      <c r="R8" s="9" t="str">
        <f>IF(Sheet1!W8="",$F$7, IF(ISNUMBER(SEARCH("Sum", Sheet1!W8)), "Tổng", Sheet1!W8))</f>
        <v>Xuất</v>
      </c>
      <c r="S8" s="9" t="str">
        <f>IF(Sheet1!X8="",$F$7, IF(ISNUMBER(SEARCH("Sum", Sheet1!X8)), "Tổng", Sheet1!X8))</f>
        <v>Tổng</v>
      </c>
      <c r="T8" s="9" t="str">
        <f>IF(Sheet1!Y8="",$F$7, IF(ISNUMBER(SEARCH("Sum", Sheet1!Y8)), "Tổng", Sheet1!Y8))</f>
        <v>Tồn cuối kỳ</v>
      </c>
      <c r="U8" s="9" t="str">
        <f>IF(Sheet1!Z8="",$F$7, IF(ISNUMBER(SEARCH("Sum", Sheet1!Z8)), "Tổng", Sheet1!Z8))</f>
        <v>Tồn cuối kỳ</v>
      </c>
      <c r="V8" s="9" t="str">
        <f>IF(Sheet1!AA8="",$F$7, IF(ISNUMBER(SEARCH("Sum", Sheet1!AA8)), "Tổng", Sheet1!AA8))</f>
        <v>Tổng</v>
      </c>
    </row>
    <row r="9" spans="1:22" x14ac:dyDescent="0.25">
      <c r="A9" s="56"/>
      <c r="B9" s="57"/>
      <c r="C9" s="9" t="str">
        <f>IF(Sheet1!H9="",$F$7, IF(ISNUMBER(SEARCH("Sum", Sheet1!H9)), "Tổng", Sheet1!H9))</f>
        <v>DT cho NV đột xuất</v>
      </c>
      <c r="D9" s="9" t="str">
        <f>IF(Sheet1!I9="",$F$7, IF(ISNUMBER(SEARCH("Sum", Sheet1!I9)), "Tổng", Sheet1!I9))</f>
        <v>DT SSCD</v>
      </c>
      <c r="E9" s="9">
        <f>IF(Sheet1!J9="",$F$7, IF(ISNUMBER(SEARCH("Sum", Sheet1!J9)), "Tổng", Sheet1!J9))</f>
        <v>0</v>
      </c>
      <c r="F9" s="9" t="str">
        <f>IF(Sheet1!K9="",$F$7, IF(ISNUMBER(SEARCH("Sum", Sheet1!K9)), "Tổng", Sheet1!K9))</f>
        <v>Nhập khác</v>
      </c>
      <c r="G9" s="9" t="str">
        <f>IF(Sheet1!L9="",$F$7, IF(ISNUMBER(SEARCH("Sum", Sheet1!L9)), "Tổng", Sheet1!L9))</f>
        <v>CXD</v>
      </c>
      <c r="H9" s="9" t="str">
        <f>IF(Sheet1!M9="",$F$7, IF(ISNUMBER(SEARCH("Sum", Sheet1!M9)), "Tổng", Sheet1!M9))</f>
        <v>QC</v>
      </c>
      <c r="I9" s="9" t="str">
        <f>IF(Sheet1!N9="",$F$7, IF(ISNUMBER(SEARCH("Sum", Sheet1!N9)), "Tổng", Sheet1!N9))</f>
        <v>Mua P/cấp</v>
      </c>
      <c r="J9" s="9" t="str">
        <f>IF(Sheet1!O9="",$F$7, IF(ISNUMBER(SEARCH("Sum", Sheet1!O9)), "Tổng", Sheet1!O9))</f>
        <v>Khác</v>
      </c>
      <c r="K9" s="9">
        <f>IF(Sheet1!P9="",$F$7, IF(ISNUMBER(SEARCH("Sum", Sheet1!P9)), "Tổng", Sheet1!P9))</f>
        <v>0</v>
      </c>
      <c r="L9" s="9" t="str">
        <f>IF(Sheet1!Q9="",$F$7, IF(ISNUMBER(SEARCH("Sum", Sheet1!Q9)), "Tổng", Sheet1!Q9))</f>
        <v>Xuất khác</v>
      </c>
      <c r="M9" s="9" t="str">
        <f>IF(Sheet1!R9="",$F$7, IF(ISNUMBER(SEARCH("Sum", Sheet1!R9)), "Tổng", Sheet1!R9))</f>
        <v>Xuất khác</v>
      </c>
      <c r="N9" s="9" t="str">
        <f>IF(Sheet1!S9="",$F$7, IF(ISNUMBER(SEARCH("Sum", Sheet1!S9)), "Tổng", Sheet1!S9))</f>
        <v>Khác</v>
      </c>
      <c r="O9" s="9" t="str">
        <f>IF(Sheet1!T9="",$F$7, IF(ISNUMBER(SEARCH("Sum", Sheet1!T9)), "Tổng", Sheet1!T9))</f>
        <v>TT Xe máy</v>
      </c>
      <c r="P9" s="9" t="str">
        <f>IF(Sheet1!U9="",$F$7, IF(ISNUMBER(SEARCH("Sum", Sheet1!U9)), "Tổng", Sheet1!U9))</f>
        <v>BQ</v>
      </c>
      <c r="Q9" s="9" t="str">
        <f>IF(Sheet1!V9="",$F$7, IF(ISNUMBER(SEARCH("Sum", Sheet1!V9)), "Tổng", Sheet1!V9))</f>
        <v>Hao hụt</v>
      </c>
      <c r="R9" s="9" t="str">
        <f>IF(Sheet1!W9="",$F$7, IF(ISNUMBER(SEARCH("Sum", Sheet1!W9)), "Tổng", Sheet1!W9))</f>
        <v>Tổn thất</v>
      </c>
      <c r="S9" s="9">
        <f>IF(Sheet1!X9="",$F$7, IF(ISNUMBER(SEARCH("Sum", Sheet1!X9)), "Tổng", Sheet1!X9))</f>
        <v>0</v>
      </c>
      <c r="T9" s="9" t="str">
        <f>IF(Sheet1!Y9="",$F$7, IF(ISNUMBER(SEARCH("Sum", Sheet1!Y9)), "Tổng", Sheet1!Y9))</f>
        <v>DT cho NV đột xuất</v>
      </c>
      <c r="U9" s="9" t="str">
        <f>IF(Sheet1!Z9="",$F$7, IF(ISNUMBER(SEARCH("Sum", Sheet1!Z9)), "Tổng", Sheet1!Z9))</f>
        <v>DT SSCD</v>
      </c>
      <c r="V9" s="9">
        <f>IF(Sheet1!AA9="",$F$7, IF(ISNUMBER(SEARCH("Sum", Sheet1!AA9)), "Tổng", Sheet1!AA9))</f>
        <v>0</v>
      </c>
    </row>
    <row r="10" spans="1:22" x14ac:dyDescent="0.25">
      <c r="A10" s="56"/>
      <c r="B10" s="57"/>
      <c r="C10" s="9" t="str">
        <f>IF(Sheet1!H10="",$F$7, IF(ISNUMBER(SEARCH("Sum", Sheet1!H10)), "Tổng", Sheet1!H10))</f>
        <v>DT cho NV đột xuất</v>
      </c>
      <c r="D10" s="9" t="str">
        <f>IF(Sheet1!I10="",$F$7, IF(ISNUMBER(SEARCH("Sum", Sheet1!I10)), "Tổng", Sheet1!I10))</f>
        <v>DT SSCD</v>
      </c>
      <c r="E10" s="9">
        <f>IF(Sheet1!J10="",$F$7, IF(ISNUMBER(SEARCH("Sum", Sheet1!J10)), "Tổng", Sheet1!J10))</f>
        <v>0</v>
      </c>
      <c r="F10" s="9" t="str">
        <f>IF(Sheet1!K10="",$F$7, IF(ISNUMBER(SEARCH("Sum", Sheet1!K10)), "Tổng", Sheet1!K10))</f>
        <v>Trong QC</v>
      </c>
      <c r="G10" s="9" t="str">
        <f>IF(Sheet1!L10="",$F$7, IF(ISNUMBER(SEARCH("Sum", Sheet1!L10)), "Tổng", Sheet1!L10))</f>
        <v>CXD</v>
      </c>
      <c r="H10" s="9" t="str">
        <f>IF(Sheet1!M10="",$F$7, IF(ISNUMBER(SEARCH("Sum", Sheet1!M10)), "Tổng", Sheet1!M10))</f>
        <v>QC</v>
      </c>
      <c r="I10" s="9" t="str">
        <f>IF(Sheet1!N10="",$F$7, IF(ISNUMBER(SEARCH("Sum", Sheet1!N10)), "Tổng", Sheet1!N10))</f>
        <v>Mua P/cấp</v>
      </c>
      <c r="J10" s="9" t="str">
        <f>IF(Sheet1!O10="",$F$7, IF(ISNUMBER(SEARCH("Sum", Sheet1!O10)), "Tổng", Sheet1!O10))</f>
        <v>Khác</v>
      </c>
      <c r="K10" s="9">
        <f>IF(Sheet1!P10="",$F$7, IF(ISNUMBER(SEARCH("Sum", Sheet1!P10)), "Tổng", Sheet1!P10))</f>
        <v>0</v>
      </c>
      <c r="L10" s="9" t="str">
        <f>IF(Sheet1!Q10="",$F$7, IF(ISNUMBER(SEARCH("Sum", Sheet1!Q10)), "Tổng", Sheet1!Q10))</f>
        <v>Ngoài QC</v>
      </c>
      <c r="M10" s="9" t="str">
        <f>IF(Sheet1!R10="",$F$7, IF(ISNUMBER(SEARCH("Sum", Sheet1!R10)), "Tổng", Sheet1!R10))</f>
        <v>Trong QC</v>
      </c>
      <c r="N10" s="9" t="str">
        <f>IF(Sheet1!S10="",$F$7, IF(ISNUMBER(SEARCH("Sum", Sheet1!S10)), "Tổng", Sheet1!S10))</f>
        <v>Khác</v>
      </c>
      <c r="O10" s="9" t="str">
        <f>IF(Sheet1!T10="",$F$7, IF(ISNUMBER(SEARCH("Sum", Sheet1!T10)), "Tổng", Sheet1!T10))</f>
        <v>TT Xe máy</v>
      </c>
      <c r="P10" s="9" t="str">
        <f>IF(Sheet1!U10="",$F$7, IF(ISNUMBER(SEARCH("Sum", Sheet1!U10)), "Tổng", Sheet1!U10))</f>
        <v>BQ</v>
      </c>
      <c r="Q10" s="9" t="str">
        <f>IF(Sheet1!V10="",$F$7, IF(ISNUMBER(SEARCH("Sum", Sheet1!V10)), "Tổng", Sheet1!V10))</f>
        <v>Hao hụt</v>
      </c>
      <c r="R10" s="9" t="str">
        <f>IF(Sheet1!W10="",$F$7, IF(ISNUMBER(SEARCH("Sum", Sheet1!W10)), "Tổng", Sheet1!W10))</f>
        <v>Tổn thất</v>
      </c>
      <c r="S10" s="9">
        <f>IF(Sheet1!X10="",$F$7, IF(ISNUMBER(SEARCH("Sum", Sheet1!X10)), "Tổng", Sheet1!X10))</f>
        <v>0</v>
      </c>
      <c r="T10" s="9" t="str">
        <f>IF(Sheet1!Y10="",$F$7, IF(ISNUMBER(SEARCH("Sum", Sheet1!Y10)), "Tổng", Sheet1!Y10))</f>
        <v>DT cho NV đột xuất</v>
      </c>
      <c r="U10" s="9" t="str">
        <f>IF(Sheet1!Z10="",$F$7, IF(ISNUMBER(SEARCH("Sum", Sheet1!Z10)), "Tổng", Sheet1!Z10))</f>
        <v>DT SSCD</v>
      </c>
      <c r="V10" s="9">
        <f>IF(Sheet1!AA10="",$F$7, IF(ISNUMBER(SEARCH("Sum", Sheet1!AA10)), "Tổng", Sheet1!AA10))</f>
        <v>0</v>
      </c>
    </row>
    <row r="11" spans="1:22" x14ac:dyDescent="0.25">
      <c r="C11" s="9"/>
    </row>
    <row r="12" spans="1:22" x14ac:dyDescent="0.25">
      <c r="C12" s="9"/>
    </row>
    <row r="13" spans="1:22" x14ac:dyDescent="0.25">
      <c r="C13" s="9"/>
    </row>
    <row r="14" spans="1:22" x14ac:dyDescent="0.25">
      <c r="C14" s="9"/>
    </row>
    <row r="15" spans="1:22" x14ac:dyDescent="0.25">
      <c r="C15" s="9"/>
    </row>
    <row r="16" spans="1:22" x14ac:dyDescent="0.25">
      <c r="C16" s="9"/>
    </row>
    <row r="17" spans="3:3" x14ac:dyDescent="0.25">
      <c r="C17" s="9"/>
    </row>
    <row r="18" spans="3:3" x14ac:dyDescent="0.25">
      <c r="C18" s="9"/>
    </row>
    <row r="19" spans="3:3" x14ac:dyDescent="0.25">
      <c r="C19" s="9"/>
    </row>
    <row r="20" spans="3:3" x14ac:dyDescent="0.25">
      <c r="C20" s="9"/>
    </row>
    <row r="21" spans="3:3" x14ac:dyDescent="0.25">
      <c r="C21" s="9"/>
    </row>
  </sheetData>
  <mergeCells count="21">
    <mergeCell ref="T2:T7"/>
    <mergeCell ref="S3:S7"/>
    <mergeCell ref="R3:R7"/>
    <mergeCell ref="Q2:Q7"/>
    <mergeCell ref="P3:P7"/>
    <mergeCell ref="O3:O7"/>
    <mergeCell ref="N3:N7"/>
    <mergeCell ref="L3:L7"/>
    <mergeCell ref="M3:M7"/>
    <mergeCell ref="J4:J7"/>
    <mergeCell ref="K4:K7"/>
    <mergeCell ref="C2:C6"/>
    <mergeCell ref="B9:B10"/>
    <mergeCell ref="B3:B7"/>
    <mergeCell ref="A3:A10"/>
    <mergeCell ref="I2:I7"/>
    <mergeCell ref="H3:H7"/>
    <mergeCell ref="F3:F7"/>
    <mergeCell ref="G3:G7"/>
    <mergeCell ref="D4:D7"/>
    <mergeCell ref="E3:E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5"/>
  <sheetViews>
    <sheetView workbookViewId="0">
      <selection activeCell="A4" sqref="A4"/>
    </sheetView>
  </sheetViews>
  <sheetFormatPr defaultRowHeight="15" x14ac:dyDescent="0.25"/>
  <cols>
    <col min="1" max="1" width="4.85546875" bestFit="1" customWidth="1"/>
    <col min="2" max="2" width="18.28515625" bestFit="1" customWidth="1"/>
    <col min="3" max="3" width="9" bestFit="1" customWidth="1"/>
    <col min="4" max="4" width="12.85546875" bestFit="1" customWidth="1"/>
    <col min="5" max="5" width="14.28515625" bestFit="1" customWidth="1"/>
    <col min="6" max="6" width="12.28515625" bestFit="1" customWidth="1"/>
    <col min="7" max="7" width="8.28515625" bestFit="1" customWidth="1"/>
  </cols>
  <sheetData>
    <row r="1" spans="1:7" ht="13.9" x14ac:dyDescent="0.25">
      <c r="A1" t="s">
        <v>22</v>
      </c>
      <c r="B1" t="s">
        <v>144</v>
      </c>
      <c r="C1" t="s">
        <v>72</v>
      </c>
      <c r="D1" t="s">
        <v>145</v>
      </c>
      <c r="E1" t="s">
        <v>30</v>
      </c>
      <c r="F1" t="s">
        <v>5</v>
      </c>
      <c r="G1" t="s">
        <v>70</v>
      </c>
    </row>
    <row r="2" spans="1:7" x14ac:dyDescent="0.25">
      <c r="A2">
        <v>1</v>
      </c>
      <c r="B2" t="s">
        <v>156</v>
      </c>
      <c r="C2" t="s">
        <v>64</v>
      </c>
      <c r="D2">
        <v>1</v>
      </c>
      <c r="E2" s="1">
        <v>45563.663124999999</v>
      </c>
      <c r="F2" t="s">
        <v>151</v>
      </c>
      <c r="G2" t="s">
        <v>149</v>
      </c>
    </row>
    <row r="3" spans="1:7" x14ac:dyDescent="0.25">
      <c r="A3">
        <v>2</v>
      </c>
      <c r="B3" t="s">
        <v>157</v>
      </c>
      <c r="C3" t="s">
        <v>64</v>
      </c>
      <c r="D3">
        <v>1</v>
      </c>
      <c r="E3" s="1">
        <v>45563.665358796294</v>
      </c>
      <c r="F3" t="s">
        <v>151</v>
      </c>
      <c r="G3" t="s">
        <v>149</v>
      </c>
    </row>
    <row r="4" spans="1:7" x14ac:dyDescent="0.25">
      <c r="A4">
        <v>3</v>
      </c>
      <c r="B4" t="s">
        <v>158</v>
      </c>
      <c r="C4" t="s">
        <v>64</v>
      </c>
      <c r="D4">
        <v>1</v>
      </c>
      <c r="E4" s="1">
        <v>45563.665706018517</v>
      </c>
      <c r="F4" t="s">
        <v>151</v>
      </c>
      <c r="G4" t="s">
        <v>149</v>
      </c>
    </row>
    <row r="5" spans="1:7" ht="13.9" hidden="1" x14ac:dyDescent="0.25">
      <c r="A5">
        <v>6</v>
      </c>
      <c r="B5" t="s">
        <v>146</v>
      </c>
      <c r="C5" t="s">
        <v>147</v>
      </c>
      <c r="D5">
        <v>1</v>
      </c>
      <c r="E5" s="1">
        <v>45563.667997685188</v>
      </c>
      <c r="F5" t="s">
        <v>148</v>
      </c>
      <c r="G5" t="s">
        <v>149</v>
      </c>
    </row>
    <row r="6" spans="1:7" ht="13.9" hidden="1" x14ac:dyDescent="0.25">
      <c r="A6">
        <v>7</v>
      </c>
      <c r="B6" t="s">
        <v>160</v>
      </c>
      <c r="C6" t="s">
        <v>64</v>
      </c>
      <c r="D6">
        <v>1</v>
      </c>
      <c r="E6" s="1">
        <v>45563.668668981481</v>
      </c>
      <c r="F6" t="s">
        <v>148</v>
      </c>
      <c r="G6" t="s">
        <v>149</v>
      </c>
    </row>
    <row r="7" spans="1:7" ht="13.9" x14ac:dyDescent="0.25">
      <c r="A7">
        <v>13</v>
      </c>
      <c r="B7" t="s">
        <v>159</v>
      </c>
      <c r="C7" t="s">
        <v>64</v>
      </c>
      <c r="D7">
        <v>1</v>
      </c>
      <c r="E7" s="1">
        <v>45563.685682870368</v>
      </c>
      <c r="F7" t="s">
        <v>151</v>
      </c>
      <c r="G7" t="s">
        <v>149</v>
      </c>
    </row>
    <row r="8" spans="1:7" ht="13.9" hidden="1" x14ac:dyDescent="0.25">
      <c r="A8">
        <v>18</v>
      </c>
      <c r="B8" t="s">
        <v>161</v>
      </c>
      <c r="C8" t="s">
        <v>64</v>
      </c>
      <c r="D8">
        <v>1</v>
      </c>
      <c r="E8" s="1">
        <v>45568.691365740742</v>
      </c>
      <c r="F8" t="s">
        <v>148</v>
      </c>
      <c r="G8" t="s">
        <v>149</v>
      </c>
    </row>
    <row r="9" spans="1:7" x14ac:dyDescent="0.25">
      <c r="A9">
        <v>19</v>
      </c>
      <c r="B9" t="s">
        <v>150</v>
      </c>
      <c r="C9" t="s">
        <v>64</v>
      </c>
      <c r="D9">
        <v>1</v>
      </c>
      <c r="E9" s="1">
        <v>45569.305289351854</v>
      </c>
      <c r="F9" t="s">
        <v>151</v>
      </c>
      <c r="G9" t="s">
        <v>149</v>
      </c>
    </row>
    <row r="10" spans="1:7" ht="13.9" x14ac:dyDescent="0.25">
      <c r="A10">
        <v>20</v>
      </c>
      <c r="B10" t="s">
        <v>152</v>
      </c>
      <c r="C10" t="s">
        <v>153</v>
      </c>
      <c r="D10">
        <v>1</v>
      </c>
      <c r="E10" s="1">
        <v>45569.305532407408</v>
      </c>
      <c r="F10" t="s">
        <v>151</v>
      </c>
      <c r="G10" t="s">
        <v>149</v>
      </c>
    </row>
    <row r="11" spans="1:7" x14ac:dyDescent="0.25">
      <c r="A11">
        <v>21</v>
      </c>
      <c r="B11" t="s">
        <v>154</v>
      </c>
      <c r="C11" t="s">
        <v>153</v>
      </c>
      <c r="D11">
        <v>1</v>
      </c>
      <c r="E11" s="1">
        <v>45569.305960648147</v>
      </c>
      <c r="F11" t="s">
        <v>151</v>
      </c>
      <c r="G11" t="s">
        <v>149</v>
      </c>
    </row>
    <row r="12" spans="1:7" ht="13.9" hidden="1" x14ac:dyDescent="0.25">
      <c r="A12">
        <v>22</v>
      </c>
      <c r="B12" t="s">
        <v>154</v>
      </c>
      <c r="C12" t="s">
        <v>153</v>
      </c>
      <c r="D12">
        <v>1</v>
      </c>
      <c r="E12" s="1">
        <v>45569.306238425925</v>
      </c>
      <c r="F12" t="s">
        <v>148</v>
      </c>
      <c r="G12" t="s">
        <v>149</v>
      </c>
    </row>
    <row r="13" spans="1:7" ht="13.9" hidden="1" x14ac:dyDescent="0.25">
      <c r="A13">
        <v>23</v>
      </c>
      <c r="B13" t="s">
        <v>152</v>
      </c>
      <c r="C13" t="s">
        <v>153</v>
      </c>
      <c r="D13">
        <v>1</v>
      </c>
      <c r="E13" s="1">
        <v>45569.306377314817</v>
      </c>
      <c r="F13" t="s">
        <v>148</v>
      </c>
      <c r="G13" t="s">
        <v>149</v>
      </c>
    </row>
    <row r="14" spans="1:7" ht="13.9" hidden="1" x14ac:dyDescent="0.25">
      <c r="A14">
        <v>24</v>
      </c>
      <c r="B14" t="s">
        <v>155</v>
      </c>
      <c r="C14" t="s">
        <v>64</v>
      </c>
      <c r="D14">
        <v>1</v>
      </c>
      <c r="E14" s="1">
        <v>45569.306851851848</v>
      </c>
      <c r="F14" t="s">
        <v>148</v>
      </c>
      <c r="G14" t="s">
        <v>149</v>
      </c>
    </row>
    <row r="15" spans="1:7" ht="13.9" hidden="1" x14ac:dyDescent="0.25">
      <c r="A15">
        <v>25</v>
      </c>
      <c r="B15" t="s">
        <v>150</v>
      </c>
      <c r="C15" t="s">
        <v>64</v>
      </c>
      <c r="D15">
        <v>1</v>
      </c>
      <c r="E15" s="1">
        <v>45569.307118055556</v>
      </c>
      <c r="F15" t="s">
        <v>148</v>
      </c>
      <c r="G15" t="s">
        <v>149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1"/>
  <sheetViews>
    <sheetView workbookViewId="0">
      <selection activeCell="H18" sqref="H18"/>
    </sheetView>
  </sheetViews>
  <sheetFormatPr defaultRowHeight="15" x14ac:dyDescent="0.25"/>
  <cols>
    <col min="1" max="1" width="4.85546875" bestFit="1" customWidth="1"/>
    <col min="2" max="2" width="13.42578125" bestFit="1" customWidth="1"/>
    <col min="3" max="3" width="14.28515625" bestFit="1" customWidth="1"/>
  </cols>
  <sheetData>
    <row r="1" spans="1:3" x14ac:dyDescent="0.25">
      <c r="A1" t="s">
        <v>22</v>
      </c>
      <c r="B1" t="s">
        <v>24</v>
      </c>
      <c r="C1" t="s">
        <v>162</v>
      </c>
    </row>
    <row r="2" spans="1:3" x14ac:dyDescent="0.25">
      <c r="A2">
        <v>12</v>
      </c>
      <c r="B2">
        <v>54</v>
      </c>
      <c r="C2">
        <v>6</v>
      </c>
    </row>
    <row r="3" spans="1:3" x14ac:dyDescent="0.25">
      <c r="A3">
        <v>23</v>
      </c>
      <c r="B3">
        <v>1</v>
      </c>
      <c r="C3">
        <v>3</v>
      </c>
    </row>
    <row r="4" spans="1:3" x14ac:dyDescent="0.25">
      <c r="A4">
        <v>24</v>
      </c>
      <c r="B4">
        <v>2</v>
      </c>
      <c r="C4">
        <v>3</v>
      </c>
    </row>
    <row r="5" spans="1:3" x14ac:dyDescent="0.25">
      <c r="A5">
        <v>25</v>
      </c>
      <c r="B5">
        <v>17</v>
      </c>
      <c r="C5">
        <v>3</v>
      </c>
    </row>
    <row r="6" spans="1:3" x14ac:dyDescent="0.25">
      <c r="A6">
        <v>26</v>
      </c>
      <c r="B6">
        <v>18</v>
      </c>
      <c r="C6">
        <v>3</v>
      </c>
    </row>
    <row r="7" spans="1:3" x14ac:dyDescent="0.25">
      <c r="A7">
        <v>27</v>
      </c>
      <c r="B7">
        <v>19</v>
      </c>
      <c r="C7">
        <v>1</v>
      </c>
    </row>
    <row r="8" spans="1:3" x14ac:dyDescent="0.25">
      <c r="A8">
        <v>28</v>
      </c>
      <c r="B8">
        <v>20</v>
      </c>
      <c r="C8">
        <v>20</v>
      </c>
    </row>
    <row r="9" spans="1:3" x14ac:dyDescent="0.25">
      <c r="A9">
        <v>29</v>
      </c>
      <c r="B9">
        <v>21</v>
      </c>
      <c r="C9">
        <v>20</v>
      </c>
    </row>
    <row r="10" spans="1:3" x14ac:dyDescent="0.25">
      <c r="A10">
        <v>30</v>
      </c>
      <c r="B10">
        <v>22</v>
      </c>
      <c r="C10">
        <v>20</v>
      </c>
    </row>
    <row r="11" spans="1:3" x14ac:dyDescent="0.25">
      <c r="A11">
        <v>31</v>
      </c>
      <c r="B11">
        <v>23</v>
      </c>
      <c r="C11">
        <v>20</v>
      </c>
    </row>
    <row r="12" spans="1:3" x14ac:dyDescent="0.25">
      <c r="A12">
        <v>32</v>
      </c>
      <c r="B12">
        <v>24</v>
      </c>
      <c r="C12">
        <v>20</v>
      </c>
    </row>
    <row r="13" spans="1:3" x14ac:dyDescent="0.25">
      <c r="A13">
        <v>33</v>
      </c>
      <c r="B13">
        <v>25</v>
      </c>
      <c r="C13">
        <v>2</v>
      </c>
    </row>
    <row r="14" spans="1:3" x14ac:dyDescent="0.25">
      <c r="A14">
        <v>34</v>
      </c>
      <c r="B14">
        <v>26</v>
      </c>
      <c r="C14">
        <v>2</v>
      </c>
    </row>
    <row r="15" spans="1:3" x14ac:dyDescent="0.25">
      <c r="A15">
        <v>35</v>
      </c>
      <c r="B15">
        <v>36</v>
      </c>
      <c r="C15">
        <v>19</v>
      </c>
    </row>
    <row r="16" spans="1:3" x14ac:dyDescent="0.25">
      <c r="A16">
        <v>36</v>
      </c>
      <c r="B16">
        <v>37</v>
      </c>
      <c r="C16">
        <v>19</v>
      </c>
    </row>
    <row r="17" spans="1:3" x14ac:dyDescent="0.25">
      <c r="A17">
        <v>37</v>
      </c>
      <c r="B17">
        <v>29</v>
      </c>
      <c r="C17">
        <v>2</v>
      </c>
    </row>
    <row r="18" spans="1:3" x14ac:dyDescent="0.25">
      <c r="A18">
        <v>38</v>
      </c>
      <c r="B18">
        <v>31</v>
      </c>
      <c r="C18">
        <v>2</v>
      </c>
    </row>
    <row r="19" spans="1:3" x14ac:dyDescent="0.25">
      <c r="A19">
        <v>39</v>
      </c>
      <c r="B19">
        <v>33</v>
      </c>
      <c r="C19">
        <v>19</v>
      </c>
    </row>
    <row r="20" spans="1:3" x14ac:dyDescent="0.25">
      <c r="A20">
        <v>40</v>
      </c>
      <c r="B20">
        <v>34</v>
      </c>
      <c r="C20">
        <v>19</v>
      </c>
    </row>
    <row r="21" spans="1:3" x14ac:dyDescent="0.25">
      <c r="A21">
        <v>41</v>
      </c>
      <c r="B21">
        <v>35</v>
      </c>
      <c r="C21">
        <v>19</v>
      </c>
    </row>
    <row r="22" spans="1:3" x14ac:dyDescent="0.25">
      <c r="A22">
        <v>42</v>
      </c>
      <c r="B22">
        <v>3</v>
      </c>
      <c r="C22">
        <v>20</v>
      </c>
    </row>
    <row r="23" spans="1:3" x14ac:dyDescent="0.25">
      <c r="A23">
        <v>43</v>
      </c>
      <c r="B23">
        <v>4</v>
      </c>
      <c r="C23">
        <v>20</v>
      </c>
    </row>
    <row r="24" spans="1:3" x14ac:dyDescent="0.25">
      <c r="A24">
        <v>44</v>
      </c>
      <c r="B24">
        <v>5</v>
      </c>
      <c r="C24">
        <v>20</v>
      </c>
    </row>
    <row r="25" spans="1:3" x14ac:dyDescent="0.25">
      <c r="A25">
        <v>45</v>
      </c>
      <c r="B25">
        <v>6</v>
      </c>
      <c r="C25">
        <v>20</v>
      </c>
    </row>
    <row r="26" spans="1:3" x14ac:dyDescent="0.25">
      <c r="A26">
        <v>46</v>
      </c>
      <c r="B26">
        <v>8</v>
      </c>
      <c r="C26">
        <v>20</v>
      </c>
    </row>
    <row r="27" spans="1:3" x14ac:dyDescent="0.25">
      <c r="A27">
        <v>47</v>
      </c>
      <c r="B27">
        <v>9</v>
      </c>
      <c r="C27">
        <v>20</v>
      </c>
    </row>
    <row r="28" spans="1:3" x14ac:dyDescent="0.25">
      <c r="A28">
        <v>48</v>
      </c>
      <c r="B28">
        <v>10</v>
      </c>
      <c r="C28">
        <v>20</v>
      </c>
    </row>
    <row r="29" spans="1:3" x14ac:dyDescent="0.25">
      <c r="A29">
        <v>49</v>
      </c>
      <c r="B29">
        <v>28</v>
      </c>
      <c r="C29">
        <v>20</v>
      </c>
    </row>
    <row r="30" spans="1:3" x14ac:dyDescent="0.25">
      <c r="A30">
        <v>50</v>
      </c>
      <c r="B30">
        <v>17</v>
      </c>
      <c r="C30">
        <v>20</v>
      </c>
    </row>
    <row r="31" spans="1:3" x14ac:dyDescent="0.25">
      <c r="A31">
        <v>51</v>
      </c>
      <c r="B31">
        <v>1</v>
      </c>
      <c r="C31">
        <v>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socai</vt:lpstr>
      <vt:lpstr>loaixd</vt:lpstr>
      <vt:lpstr>nguon_nx</vt:lpstr>
      <vt:lpstr>phuongtien</vt:lpstr>
      <vt:lpstr>z_a</vt:lpstr>
      <vt:lpstr>Sheet1</vt:lpstr>
      <vt:lpstr>title</vt:lpstr>
      <vt:lpstr>tructhuoc</vt:lpstr>
      <vt:lpstr>nguonnx_tructhuoc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2024-10-22T04:53:59Z</dcterms:modified>
</cp:coreProperties>
</file>