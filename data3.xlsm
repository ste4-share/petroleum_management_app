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" hidden="1">tb_loaixd2[]</definedName>
    <definedName name="_xlcn.WorksheetConnection_data3.xlsmtb_nguon_nx" hidden="1">tb_nguon_nx[]</definedName>
    <definedName name="_xlcn.WorksheetConnection_data3.xlsmtb_nguonnx_tructhuoc" hidden="1">tb_nguonnx_tructhuoc[]</definedName>
    <definedName name="_xlcn.WorksheetConnection_data3.xlsmtb_socai" hidden="1">tb_socai[]</definedName>
    <definedName name="_xlcn.WorksheetConnection_data3.xlsmtb_tructhuoc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8" i="10" l="1"/>
  <c r="I8" i="10"/>
  <c r="K8" i="10"/>
  <c r="L8" i="10"/>
  <c r="M8" i="10"/>
  <c r="N8" i="10"/>
  <c r="O8" i="10"/>
  <c r="Q8" i="10"/>
  <c r="S8" i="10"/>
  <c r="T8" i="10"/>
  <c r="U8" i="10"/>
  <c r="V8" i="10"/>
  <c r="W8" i="10"/>
  <c r="Y8" i="10"/>
  <c r="Z8" i="10"/>
  <c r="K9" i="10"/>
  <c r="Q9" i="10"/>
  <c r="R9" i="10"/>
  <c r="J7" i="10"/>
  <c r="K7" i="10"/>
  <c r="P7" i="10"/>
  <c r="Q7" i="10"/>
  <c r="X7" i="10"/>
  <c r="Y7" i="10"/>
  <c r="AA7" i="10"/>
  <c r="H7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18" i="10" l="1"/>
  <c r="AH17" i="10"/>
  <c r="AI16" i="10"/>
  <c r="AH18" i="10"/>
  <c r="AI17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AW18" i="10"/>
  <c r="AX18" i="10"/>
  <c r="AY18" i="10"/>
  <c r="AZ18" i="10"/>
  <c r="BA18" i="10"/>
  <c r="BB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BC19" i="10"/>
  <c r="BD19" i="10"/>
  <c r="BC20" i="10"/>
  <c r="BD20" i="10"/>
  <c r="BC18" i="10"/>
  <c r="BD18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"/>
        </x15:connection>
      </ext>
    </extLst>
  </connection>
</connections>
</file>

<file path=xl/sharedStrings.xml><?xml version="1.0" encoding="utf-8"?>
<sst xmlns="http://schemas.openxmlformats.org/spreadsheetml/2006/main" count="822" uniqueCount="282">
  <si>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</si>
  <si>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</si>
  <si>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</si>
  <si>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</si>
  <si>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</si>
  <si>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</si>
  <si>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</si>
  <si>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</si>
  <si>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</si>
  <si>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</si>
  <si>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</si>
  <si>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</si>
  <si>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</si>
  <si>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</si>
  <si>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</si>
  <si>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</si>
  <si>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</si>
  <si>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</si>
  <si>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</si>
  <si>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</si>
  <si>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</si>
  <si>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</si>
  <si>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</si>
  <si>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</si>
  <si>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</si>
  <si>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</si>
  <si>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</si>
  <si>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</si>
  <si>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</si>
  <si>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</si>
  <si>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</si>
  <si>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</si>
  <si>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</si>
  <si>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</si>
  <si>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</si>
  <si>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</si>
  <si>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</si>
  <si>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</si>
  <si>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</si>
  <si>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</si>
  <si>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</si>
  <si>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</si>
  <si>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</si>
  <si>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</si>
  <si>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</si>
  <si>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</si>
  <si>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</si>
  <si>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</si>
  <si>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</si>
  <si>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</si>
  <si>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</si>
  <si>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</si>
  <si>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</si>
  <si>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</si>
  <si>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</si>
  <si>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</si>
  <si>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</si>
  <si>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</si>
  <si>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</si>
  <si>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</si>
  <si>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</si>
  <si>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</si>
  <si>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</si>
  <si>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</si>
  <si>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</si>
  <si>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</si>
  <si>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</si>
  <si>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</si>
  <si>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</si>
  <si>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</si>
  <si>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</si>
  <si>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</si>
  <si>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</si>
  <si>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</si>
  <si>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</si>
  <si>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</si>
  <si>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</si>
  <si>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</si>
  <si>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</si>
  <si>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</si>
  <si>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</si>
  <si>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</si>
  <si>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</si>
  <si>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</si>
  <si>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</si>
  <si>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</si>
  <si>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</si>
  <si>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</si>
  <si>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</si>
  <si>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</si>
  <si>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</si>
  <si>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</si>
  <si>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</si>
  <si>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</si>
  <si>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</si>
  <si>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</si>
  <si>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</si>
  <si>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</si>
  <si>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</si>
  <si>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</si>
  <si>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</si>
  <si>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</si>
  <si>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</si>
  <si>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</si>
  <si>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</si>
  <si>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</si>
  <si>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</si>
  <si>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</si>
  <si>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</si>
  <si>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</si>
  <si>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</si>
  <si>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</si>
  <si>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</si>
  <si>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</si>
  <si>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</si>
  <si>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</si>
  <si>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</si>
  <si>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</si>
  <si>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</si>
  <si>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</si>
  <si>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</si>
  <si>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</si>
  <si>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</si>
  <si>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</si>
  <si>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</si>
  <si>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</si>
  <si>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</si>
  <si>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</si>
  <si>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</si>
  <si>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</si>
  <si>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</si>
  <si>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</si>
  <si>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</si>
  <si>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</si>
  <si>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</si>
  <si>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</si>
  <si>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</si>
  <si>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</si>
  <si>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</si>
  <si>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</si>
  <si>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</si>
  <si>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</si>
  <si>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</si>
  <si>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</si>
  <si>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</si>
  <si>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</si>
  <si>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</si>
  <si>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</si>
  <si>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</si>
  <si>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</si>
  <si>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</si>
  <si>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</si>
  <si>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</si>
  <si>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</si>
  <si>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</si>
  <si>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</si>
  <si>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</si>
  <si>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</si>
  <si>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</si>
  <si>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</si>
  <si>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</si>
  <si>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</si>
  <si>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</si>
  <si>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</si>
  <si>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</si>
  <si>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</si>
  <si>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</si>
  <si>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</si>
  <si>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</si>
  <si>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</si>
  <si>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</si>
  <si>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</si>
  <si>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</si>
  <si>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</si>
  <si>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</si>
  <si>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</si>
  <si>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</si>
  <si>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</si>
  <si>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</si>
  <si>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</si>
  <si>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</si>
  <si>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</si>
  <si>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</si>
  <si>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</si>
  <si>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</si>
  <si>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</si>
  <si>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</si>
  <si>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</si>
  <si>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</si>
  <si>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</si>
  <si>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</si>
  <si>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</si>
  <si>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</si>
  <si>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</si>
  <si>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</si>
  <si>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</si>
  <si>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</si>
  <si>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</si>
  <si>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</si>
  <si>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</si>
  <si>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</si>
  <si>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</si>
  <si>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</si>
  <si>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</si>
  <si>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</si>
  <si>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</si>
  <si>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</si>
  <si>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</si>
  <si>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</si>
  <si>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</si>
  <si>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</si>
  <si>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</si>
  <si>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</si>
  <si>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</si>
  <si>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</si>
  <si>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</si>
  <si>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</si>
  <si>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</si>
  <si>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</si>
  <si>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</si>
  <si>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</si>
  <si>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</si>
  <si>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</si>
  <si>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</si>
  <si>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</si>
  <si>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</si>
  <si>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</si>
  <si>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</si>
  <si>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</si>
  <si>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</si>
  <si>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</si>
  <si>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</si>
  <si>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</si>
  <si>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</si>
  <si>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</si>
  <si>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</si>
  <si>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</si>
  <si>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</si>
  <si>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</si>
  <si>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</si>
  <si>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</si>
  <si>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</si>
  <si>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</si>
  <si>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</si>
  <si>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</si>
  <si>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</si>
  <si>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</si>
  <si>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</si>
  <si>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</si>
  <si>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</si>
  <si>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</si>
  <si>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</si>
  <si>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</si>
  <si>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</si>
  <si>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</si>
  <si>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</si>
  <si>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</si>
  <si>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</si>
  <si>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</si>
  <si>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</si>
  <si>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</si>
  <si>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</si>
  <si>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</si>
  <si>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</si>
  <si>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</si>
  <si>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</si>
  <si>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</si>
  <si>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</si>
  <si>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</si>
  <si>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</si>
  <si>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</si>
  <si>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</si>
  <si>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</si>
  <si>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</si>
  <si>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</si>
  <si>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</si>
  <si>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</si>
  <si>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</si>
  <si>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</si>
  <si>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</si>
  <si>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</si>
  <si>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XANG-OTO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</si>
</sst>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3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0" xfId="0" applyAlignment="1">
      <alignment wrapText="1"/>
    </xf>
    <xf numFmtId="0" fontId="0" fillId="0" borderId="0" xfId="0" applyAlignment="1"/>
    <xf numFmtId="0" fontId="1" fillId="0" borderId="0" xfId="0" applyFont="1" applyAlignment="1">
      <alignment horizontal="left" indent="2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inden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142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numFmt numFmtId="27" formatCode="m/d/yyyy\ h:mm"/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141"/>
    </tableStyle>
    <tableStyle name="PivotTable Style 2" table="0" count="2">
      <tableStyleElement type="wholeTable" dxfId="140"/>
      <tableStyleElement type="lastColumn" dxfId="1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9</xdr:row>
      <xdr:rowOff>85725</xdr:rowOff>
    </xdr:from>
    <xdr:to>
      <xdr:col>5</xdr:col>
      <xdr:colOff>476250</xdr:colOff>
      <xdr:row>11</xdr:row>
      <xdr:rowOff>85725</xdr:rowOff>
    </xdr:to>
    <xdr:sp macro="[0]!Merge" textlink="">
      <xdr:nvSpPr>
        <xdr:cNvPr id="2" name="Rounded Rectangle 1"/>
        <xdr:cNvSpPr/>
      </xdr:nvSpPr>
      <xdr:spPr>
        <a:xfrm>
          <a:off x="2647950" y="1800225"/>
          <a:ext cx="8763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Merge</a:t>
          </a:r>
          <a:r>
            <a:rPr lang="en-US" sz="1100" baseline="0"/>
            <a:t> cell</a:t>
          </a:r>
          <a:endParaRPr lang="en-US" sz="1100"/>
        </a:p>
      </xdr:txBody>
    </xdr:sp>
    <xdr:clientData/>
  </xdr:twoCellAnchor>
  <xdr:twoCellAnchor>
    <xdr:from>
      <xdr:col>5</xdr:col>
      <xdr:colOff>247650</xdr:colOff>
      <xdr:row>2</xdr:row>
      <xdr:rowOff>152400</xdr:rowOff>
    </xdr:from>
    <xdr:to>
      <xdr:col>6</xdr:col>
      <xdr:colOff>819150</xdr:colOff>
      <xdr:row>4</xdr:row>
      <xdr:rowOff>133350</xdr:rowOff>
    </xdr:to>
    <xdr:sp macro="" textlink="">
      <xdr:nvSpPr>
        <xdr:cNvPr id="3" name="Rounded Rectangle 2"/>
        <xdr:cNvSpPr/>
      </xdr:nvSpPr>
      <xdr:spPr>
        <a:xfrm>
          <a:off x="5353050" y="533400"/>
          <a:ext cx="11811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UPDATE</a:t>
          </a: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2.46580416667" createdVersion="6" refreshedVersion="6" minRefreshableVersion="3" recordCount="816">
  <cacheSource type="external" connectionId="2"/>
  <cacheFields count="10">
    <cacheField name="id" numFmtId="0" sqlType="4">
      <sharedItems containsSemiMixedTypes="0" containsString="0" containsNumber="1" containsInteger="1" minValue="8979" maxValue="9794"/>
    </cacheField>
    <cacheField name="loaixd" numFmtId="0" sqlType="-10">
      <sharedItems count="49"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XANG E5 RON92"/>
        <s v="Xăng A80"/>
        <s v="DầU TC-1"/>
        <s v="DầU JetA-1K"/>
        <s v="Dầu JETA-01"/>
        <s v="DO 0,05% S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0" count="1">
        <n v="0"/>
      </sharedItems>
    </cacheField>
    <cacheField name="title_lv1" numFmtId="0" sqlType="-10">
      <sharedItems count="12">
        <s v="Trong QC"/>
        <s v="Ngoài QC"/>
        <s v="DT cho NV đột xuất"/>
        <s v="DT SSCD"/>
        <s v="CXD"/>
        <s v="QC"/>
        <s v="Mua P/cấp"/>
        <s v="Khác"/>
        <s v="TT Xe máy"/>
        <s v="BQ"/>
        <s v="Hao hụt"/>
        <s v="Tổn thất"/>
      </sharedItems>
    </cacheField>
    <cacheField name="title_lv2" numFmtId="0" sqlType="-10">
      <sharedItems containsBlank="1" count="13">
        <s v="Nhập khác"/>
        <s v="Xuất khác"/>
        <s v="DT cho NV đột xuất"/>
        <s v="DT SSCD"/>
        <s v="CXD"/>
        <s v="QC"/>
        <s v="Mua P/cấp"/>
        <s v="Khác"/>
        <s v="TT Xe máy"/>
        <s v="BQ"/>
        <s v="Hao hụt"/>
        <s v="Tổn thất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Dầu đ.cơ ô tô"/>
        <s v="Dầu truyền động"/>
        <s v="Dầu khác"/>
        <s v="Mỡ giảm ma sát"/>
        <s v="Dầu động cơ"/>
        <s v="Xăng ô tô"/>
        <s v="Dầu hạ cấp"/>
        <s v="Dầu bay"/>
        <s v="Diezel"/>
        <s v="Dầu thủy lực"/>
        <s v="Mỡ nhờn"/>
        <s v="Dung môi"/>
        <s v="NL-XANG-OTO"/>
        <m u="1"/>
      </sharedItems>
    </cacheField>
    <cacheField name="title_lxd_lv2" numFmtId="0" sqlType="-10">
      <sharedItems containsBlank="1" count="8">
        <s v="DMN nhờn MĐ"/>
        <s v="DMN nhờn HK"/>
        <s v="Xăng ô tô"/>
        <s v="Dầu hạ cấp"/>
        <s v="Dầu bay"/>
        <s v="Diezel"/>
        <s v="XANG-OTO"/>
        <m u="1"/>
      </sharedItems>
    </cacheField>
    <cacheField name="title_lxd_lv3" numFmtId="0" sqlType="-10">
      <sharedItems containsBlank="1" count="4">
        <s v="DM nhờn"/>
        <s v="Nhiên liệu"/>
        <s v="NL"/>
        <m u="1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8979"/>
    <x v="0"/>
    <x v="0"/>
    <x v="0"/>
    <x v="0"/>
    <x v="0"/>
    <x v="0"/>
    <x v="0"/>
    <x v="0"/>
  </r>
  <r>
    <n v="8980"/>
    <x v="0"/>
    <x v="0"/>
    <x v="0"/>
    <x v="1"/>
    <x v="1"/>
    <x v="0"/>
    <x v="0"/>
    <x v="0"/>
  </r>
  <r>
    <n v="8981"/>
    <x v="0"/>
    <x v="0"/>
    <x v="1"/>
    <x v="1"/>
    <x v="1"/>
    <x v="0"/>
    <x v="0"/>
    <x v="0"/>
  </r>
  <r>
    <n v="8982"/>
    <x v="0"/>
    <x v="0"/>
    <x v="2"/>
    <x v="2"/>
    <x v="2"/>
    <x v="0"/>
    <x v="0"/>
    <x v="0"/>
  </r>
  <r>
    <n v="8983"/>
    <x v="0"/>
    <x v="0"/>
    <x v="3"/>
    <x v="3"/>
    <x v="2"/>
    <x v="0"/>
    <x v="0"/>
    <x v="0"/>
  </r>
  <r>
    <n v="8984"/>
    <x v="0"/>
    <x v="0"/>
    <x v="4"/>
    <x v="4"/>
    <x v="0"/>
    <x v="0"/>
    <x v="0"/>
    <x v="0"/>
  </r>
  <r>
    <n v="8985"/>
    <x v="0"/>
    <x v="0"/>
    <x v="5"/>
    <x v="5"/>
    <x v="0"/>
    <x v="0"/>
    <x v="0"/>
    <x v="0"/>
  </r>
  <r>
    <n v="8986"/>
    <x v="0"/>
    <x v="0"/>
    <x v="6"/>
    <x v="6"/>
    <x v="0"/>
    <x v="0"/>
    <x v="0"/>
    <x v="0"/>
  </r>
  <r>
    <n v="8987"/>
    <x v="0"/>
    <x v="0"/>
    <x v="7"/>
    <x v="7"/>
    <x v="0"/>
    <x v="0"/>
    <x v="0"/>
    <x v="0"/>
  </r>
  <r>
    <n v="8988"/>
    <x v="0"/>
    <x v="0"/>
    <x v="8"/>
    <x v="8"/>
    <x v="1"/>
    <x v="0"/>
    <x v="0"/>
    <x v="0"/>
  </r>
  <r>
    <n v="8989"/>
    <x v="0"/>
    <x v="0"/>
    <x v="9"/>
    <x v="9"/>
    <x v="1"/>
    <x v="0"/>
    <x v="0"/>
    <x v="0"/>
  </r>
  <r>
    <n v="8990"/>
    <x v="0"/>
    <x v="0"/>
    <x v="10"/>
    <x v="10"/>
    <x v="1"/>
    <x v="0"/>
    <x v="0"/>
    <x v="0"/>
  </r>
  <r>
    <n v="8991"/>
    <x v="0"/>
    <x v="0"/>
    <x v="11"/>
    <x v="11"/>
    <x v="1"/>
    <x v="0"/>
    <x v="0"/>
    <x v="0"/>
  </r>
  <r>
    <n v="8992"/>
    <x v="0"/>
    <x v="0"/>
    <x v="7"/>
    <x v="7"/>
    <x v="1"/>
    <x v="0"/>
    <x v="0"/>
    <x v="0"/>
  </r>
  <r>
    <n v="8993"/>
    <x v="0"/>
    <x v="0"/>
    <x v="2"/>
    <x v="2"/>
    <x v="3"/>
    <x v="0"/>
    <x v="0"/>
    <x v="0"/>
  </r>
  <r>
    <n v="8994"/>
    <x v="0"/>
    <x v="0"/>
    <x v="3"/>
    <x v="3"/>
    <x v="3"/>
    <x v="0"/>
    <x v="0"/>
    <x v="0"/>
  </r>
  <r>
    <n v="8995"/>
    <x v="1"/>
    <x v="0"/>
    <x v="0"/>
    <x v="0"/>
    <x v="0"/>
    <x v="0"/>
    <x v="0"/>
    <x v="0"/>
  </r>
  <r>
    <n v="8996"/>
    <x v="1"/>
    <x v="0"/>
    <x v="0"/>
    <x v="1"/>
    <x v="1"/>
    <x v="0"/>
    <x v="0"/>
    <x v="0"/>
  </r>
  <r>
    <n v="8997"/>
    <x v="1"/>
    <x v="0"/>
    <x v="1"/>
    <x v="1"/>
    <x v="1"/>
    <x v="0"/>
    <x v="0"/>
    <x v="0"/>
  </r>
  <r>
    <n v="8998"/>
    <x v="1"/>
    <x v="0"/>
    <x v="2"/>
    <x v="2"/>
    <x v="2"/>
    <x v="0"/>
    <x v="0"/>
    <x v="0"/>
  </r>
  <r>
    <n v="8999"/>
    <x v="1"/>
    <x v="0"/>
    <x v="3"/>
    <x v="3"/>
    <x v="2"/>
    <x v="0"/>
    <x v="0"/>
    <x v="0"/>
  </r>
  <r>
    <n v="9000"/>
    <x v="1"/>
    <x v="0"/>
    <x v="4"/>
    <x v="4"/>
    <x v="0"/>
    <x v="0"/>
    <x v="0"/>
    <x v="0"/>
  </r>
  <r>
    <n v="9001"/>
    <x v="1"/>
    <x v="0"/>
    <x v="5"/>
    <x v="5"/>
    <x v="0"/>
    <x v="0"/>
    <x v="0"/>
    <x v="0"/>
  </r>
  <r>
    <n v="9002"/>
    <x v="1"/>
    <x v="0"/>
    <x v="6"/>
    <x v="6"/>
    <x v="0"/>
    <x v="0"/>
    <x v="0"/>
    <x v="0"/>
  </r>
  <r>
    <n v="9003"/>
    <x v="1"/>
    <x v="0"/>
    <x v="7"/>
    <x v="7"/>
    <x v="0"/>
    <x v="0"/>
    <x v="0"/>
    <x v="0"/>
  </r>
  <r>
    <n v="9004"/>
    <x v="1"/>
    <x v="0"/>
    <x v="8"/>
    <x v="8"/>
    <x v="1"/>
    <x v="0"/>
    <x v="0"/>
    <x v="0"/>
  </r>
  <r>
    <n v="9005"/>
    <x v="1"/>
    <x v="0"/>
    <x v="9"/>
    <x v="9"/>
    <x v="1"/>
    <x v="0"/>
    <x v="0"/>
    <x v="0"/>
  </r>
  <r>
    <n v="9006"/>
    <x v="1"/>
    <x v="0"/>
    <x v="10"/>
    <x v="10"/>
    <x v="1"/>
    <x v="0"/>
    <x v="0"/>
    <x v="0"/>
  </r>
  <r>
    <n v="9007"/>
    <x v="1"/>
    <x v="0"/>
    <x v="11"/>
    <x v="11"/>
    <x v="1"/>
    <x v="0"/>
    <x v="0"/>
    <x v="0"/>
  </r>
  <r>
    <n v="9008"/>
    <x v="1"/>
    <x v="0"/>
    <x v="7"/>
    <x v="7"/>
    <x v="1"/>
    <x v="0"/>
    <x v="0"/>
    <x v="0"/>
  </r>
  <r>
    <n v="9009"/>
    <x v="1"/>
    <x v="0"/>
    <x v="2"/>
    <x v="2"/>
    <x v="3"/>
    <x v="0"/>
    <x v="0"/>
    <x v="0"/>
  </r>
  <r>
    <n v="9010"/>
    <x v="1"/>
    <x v="0"/>
    <x v="3"/>
    <x v="3"/>
    <x v="3"/>
    <x v="0"/>
    <x v="0"/>
    <x v="0"/>
  </r>
  <r>
    <n v="9011"/>
    <x v="2"/>
    <x v="0"/>
    <x v="0"/>
    <x v="0"/>
    <x v="0"/>
    <x v="0"/>
    <x v="0"/>
    <x v="0"/>
  </r>
  <r>
    <n v="9012"/>
    <x v="2"/>
    <x v="0"/>
    <x v="0"/>
    <x v="1"/>
    <x v="1"/>
    <x v="0"/>
    <x v="0"/>
    <x v="0"/>
  </r>
  <r>
    <n v="9013"/>
    <x v="2"/>
    <x v="0"/>
    <x v="1"/>
    <x v="1"/>
    <x v="1"/>
    <x v="0"/>
    <x v="0"/>
    <x v="0"/>
  </r>
  <r>
    <n v="9014"/>
    <x v="2"/>
    <x v="0"/>
    <x v="2"/>
    <x v="2"/>
    <x v="2"/>
    <x v="0"/>
    <x v="0"/>
    <x v="0"/>
  </r>
  <r>
    <n v="9015"/>
    <x v="2"/>
    <x v="0"/>
    <x v="3"/>
    <x v="3"/>
    <x v="2"/>
    <x v="0"/>
    <x v="0"/>
    <x v="0"/>
  </r>
  <r>
    <n v="9016"/>
    <x v="2"/>
    <x v="0"/>
    <x v="4"/>
    <x v="4"/>
    <x v="0"/>
    <x v="0"/>
    <x v="0"/>
    <x v="0"/>
  </r>
  <r>
    <n v="9017"/>
    <x v="2"/>
    <x v="0"/>
    <x v="5"/>
    <x v="5"/>
    <x v="0"/>
    <x v="0"/>
    <x v="0"/>
    <x v="0"/>
  </r>
  <r>
    <n v="9018"/>
    <x v="2"/>
    <x v="0"/>
    <x v="6"/>
    <x v="6"/>
    <x v="0"/>
    <x v="0"/>
    <x v="0"/>
    <x v="0"/>
  </r>
  <r>
    <n v="9019"/>
    <x v="2"/>
    <x v="0"/>
    <x v="7"/>
    <x v="7"/>
    <x v="0"/>
    <x v="0"/>
    <x v="0"/>
    <x v="0"/>
  </r>
  <r>
    <n v="9020"/>
    <x v="2"/>
    <x v="0"/>
    <x v="8"/>
    <x v="8"/>
    <x v="1"/>
    <x v="0"/>
    <x v="0"/>
    <x v="0"/>
  </r>
  <r>
    <n v="9021"/>
    <x v="2"/>
    <x v="0"/>
    <x v="9"/>
    <x v="9"/>
    <x v="1"/>
    <x v="0"/>
    <x v="0"/>
    <x v="0"/>
  </r>
  <r>
    <n v="9022"/>
    <x v="2"/>
    <x v="0"/>
    <x v="10"/>
    <x v="10"/>
    <x v="1"/>
    <x v="0"/>
    <x v="0"/>
    <x v="0"/>
  </r>
  <r>
    <n v="9023"/>
    <x v="2"/>
    <x v="0"/>
    <x v="11"/>
    <x v="11"/>
    <x v="1"/>
    <x v="0"/>
    <x v="0"/>
    <x v="0"/>
  </r>
  <r>
    <n v="9024"/>
    <x v="2"/>
    <x v="0"/>
    <x v="7"/>
    <x v="7"/>
    <x v="1"/>
    <x v="0"/>
    <x v="0"/>
    <x v="0"/>
  </r>
  <r>
    <n v="9025"/>
    <x v="2"/>
    <x v="0"/>
    <x v="2"/>
    <x v="2"/>
    <x v="3"/>
    <x v="0"/>
    <x v="0"/>
    <x v="0"/>
  </r>
  <r>
    <n v="9026"/>
    <x v="2"/>
    <x v="0"/>
    <x v="3"/>
    <x v="3"/>
    <x v="3"/>
    <x v="0"/>
    <x v="0"/>
    <x v="0"/>
  </r>
  <r>
    <n v="9027"/>
    <x v="3"/>
    <x v="0"/>
    <x v="0"/>
    <x v="0"/>
    <x v="0"/>
    <x v="0"/>
    <x v="0"/>
    <x v="0"/>
  </r>
  <r>
    <n v="9028"/>
    <x v="3"/>
    <x v="0"/>
    <x v="0"/>
    <x v="1"/>
    <x v="1"/>
    <x v="0"/>
    <x v="0"/>
    <x v="0"/>
  </r>
  <r>
    <n v="9029"/>
    <x v="3"/>
    <x v="0"/>
    <x v="1"/>
    <x v="1"/>
    <x v="1"/>
    <x v="0"/>
    <x v="0"/>
    <x v="0"/>
  </r>
  <r>
    <n v="9030"/>
    <x v="3"/>
    <x v="0"/>
    <x v="2"/>
    <x v="2"/>
    <x v="2"/>
    <x v="0"/>
    <x v="0"/>
    <x v="0"/>
  </r>
  <r>
    <n v="9031"/>
    <x v="3"/>
    <x v="0"/>
    <x v="3"/>
    <x v="3"/>
    <x v="2"/>
    <x v="0"/>
    <x v="0"/>
    <x v="0"/>
  </r>
  <r>
    <n v="9032"/>
    <x v="3"/>
    <x v="0"/>
    <x v="4"/>
    <x v="4"/>
    <x v="0"/>
    <x v="0"/>
    <x v="0"/>
    <x v="0"/>
  </r>
  <r>
    <n v="9033"/>
    <x v="3"/>
    <x v="0"/>
    <x v="5"/>
    <x v="5"/>
    <x v="0"/>
    <x v="0"/>
    <x v="0"/>
    <x v="0"/>
  </r>
  <r>
    <n v="9034"/>
    <x v="3"/>
    <x v="0"/>
    <x v="6"/>
    <x v="6"/>
    <x v="0"/>
    <x v="0"/>
    <x v="0"/>
    <x v="0"/>
  </r>
  <r>
    <n v="9035"/>
    <x v="3"/>
    <x v="0"/>
    <x v="7"/>
    <x v="7"/>
    <x v="0"/>
    <x v="0"/>
    <x v="0"/>
    <x v="0"/>
  </r>
  <r>
    <n v="9036"/>
    <x v="3"/>
    <x v="0"/>
    <x v="8"/>
    <x v="8"/>
    <x v="1"/>
    <x v="0"/>
    <x v="0"/>
    <x v="0"/>
  </r>
  <r>
    <n v="9037"/>
    <x v="3"/>
    <x v="0"/>
    <x v="9"/>
    <x v="9"/>
    <x v="1"/>
    <x v="0"/>
    <x v="0"/>
    <x v="0"/>
  </r>
  <r>
    <n v="9038"/>
    <x v="3"/>
    <x v="0"/>
    <x v="10"/>
    <x v="10"/>
    <x v="1"/>
    <x v="0"/>
    <x v="0"/>
    <x v="0"/>
  </r>
  <r>
    <n v="9039"/>
    <x v="3"/>
    <x v="0"/>
    <x v="11"/>
    <x v="11"/>
    <x v="1"/>
    <x v="0"/>
    <x v="0"/>
    <x v="0"/>
  </r>
  <r>
    <n v="9040"/>
    <x v="3"/>
    <x v="0"/>
    <x v="7"/>
    <x v="7"/>
    <x v="1"/>
    <x v="0"/>
    <x v="0"/>
    <x v="0"/>
  </r>
  <r>
    <n v="9041"/>
    <x v="3"/>
    <x v="0"/>
    <x v="2"/>
    <x v="2"/>
    <x v="3"/>
    <x v="0"/>
    <x v="0"/>
    <x v="0"/>
  </r>
  <r>
    <n v="9042"/>
    <x v="3"/>
    <x v="0"/>
    <x v="3"/>
    <x v="3"/>
    <x v="3"/>
    <x v="0"/>
    <x v="0"/>
    <x v="0"/>
  </r>
  <r>
    <n v="9043"/>
    <x v="4"/>
    <x v="0"/>
    <x v="0"/>
    <x v="0"/>
    <x v="0"/>
    <x v="0"/>
    <x v="0"/>
    <x v="0"/>
  </r>
  <r>
    <n v="9044"/>
    <x v="4"/>
    <x v="0"/>
    <x v="0"/>
    <x v="1"/>
    <x v="1"/>
    <x v="0"/>
    <x v="0"/>
    <x v="0"/>
  </r>
  <r>
    <n v="9045"/>
    <x v="4"/>
    <x v="0"/>
    <x v="1"/>
    <x v="1"/>
    <x v="1"/>
    <x v="0"/>
    <x v="0"/>
    <x v="0"/>
  </r>
  <r>
    <n v="9046"/>
    <x v="4"/>
    <x v="0"/>
    <x v="2"/>
    <x v="2"/>
    <x v="2"/>
    <x v="0"/>
    <x v="0"/>
    <x v="0"/>
  </r>
  <r>
    <n v="9047"/>
    <x v="4"/>
    <x v="0"/>
    <x v="3"/>
    <x v="3"/>
    <x v="2"/>
    <x v="0"/>
    <x v="0"/>
    <x v="0"/>
  </r>
  <r>
    <n v="9048"/>
    <x v="4"/>
    <x v="0"/>
    <x v="4"/>
    <x v="4"/>
    <x v="0"/>
    <x v="0"/>
    <x v="0"/>
    <x v="0"/>
  </r>
  <r>
    <n v="9049"/>
    <x v="4"/>
    <x v="0"/>
    <x v="5"/>
    <x v="5"/>
    <x v="0"/>
    <x v="0"/>
    <x v="0"/>
    <x v="0"/>
  </r>
  <r>
    <n v="9050"/>
    <x v="4"/>
    <x v="0"/>
    <x v="6"/>
    <x v="6"/>
    <x v="0"/>
    <x v="0"/>
    <x v="0"/>
    <x v="0"/>
  </r>
  <r>
    <n v="9051"/>
    <x v="4"/>
    <x v="0"/>
    <x v="7"/>
    <x v="7"/>
    <x v="0"/>
    <x v="0"/>
    <x v="0"/>
    <x v="0"/>
  </r>
  <r>
    <n v="9052"/>
    <x v="4"/>
    <x v="0"/>
    <x v="8"/>
    <x v="8"/>
    <x v="1"/>
    <x v="0"/>
    <x v="0"/>
    <x v="0"/>
  </r>
  <r>
    <n v="9053"/>
    <x v="4"/>
    <x v="0"/>
    <x v="9"/>
    <x v="9"/>
    <x v="1"/>
    <x v="0"/>
    <x v="0"/>
    <x v="0"/>
  </r>
  <r>
    <n v="9054"/>
    <x v="4"/>
    <x v="0"/>
    <x v="10"/>
    <x v="10"/>
    <x v="1"/>
    <x v="0"/>
    <x v="0"/>
    <x v="0"/>
  </r>
  <r>
    <n v="9055"/>
    <x v="4"/>
    <x v="0"/>
    <x v="11"/>
    <x v="11"/>
    <x v="1"/>
    <x v="0"/>
    <x v="0"/>
    <x v="0"/>
  </r>
  <r>
    <n v="9056"/>
    <x v="4"/>
    <x v="0"/>
    <x v="7"/>
    <x v="7"/>
    <x v="1"/>
    <x v="0"/>
    <x v="0"/>
    <x v="0"/>
  </r>
  <r>
    <n v="9057"/>
    <x v="4"/>
    <x v="0"/>
    <x v="2"/>
    <x v="2"/>
    <x v="3"/>
    <x v="0"/>
    <x v="0"/>
    <x v="0"/>
  </r>
  <r>
    <n v="9058"/>
    <x v="4"/>
    <x v="0"/>
    <x v="3"/>
    <x v="3"/>
    <x v="3"/>
    <x v="0"/>
    <x v="0"/>
    <x v="0"/>
  </r>
  <r>
    <n v="9059"/>
    <x v="5"/>
    <x v="0"/>
    <x v="0"/>
    <x v="0"/>
    <x v="0"/>
    <x v="0"/>
    <x v="0"/>
    <x v="0"/>
  </r>
  <r>
    <n v="9060"/>
    <x v="5"/>
    <x v="0"/>
    <x v="0"/>
    <x v="1"/>
    <x v="1"/>
    <x v="0"/>
    <x v="0"/>
    <x v="0"/>
  </r>
  <r>
    <n v="9061"/>
    <x v="5"/>
    <x v="0"/>
    <x v="1"/>
    <x v="1"/>
    <x v="1"/>
    <x v="0"/>
    <x v="0"/>
    <x v="0"/>
  </r>
  <r>
    <n v="9062"/>
    <x v="5"/>
    <x v="0"/>
    <x v="2"/>
    <x v="2"/>
    <x v="2"/>
    <x v="0"/>
    <x v="0"/>
    <x v="0"/>
  </r>
  <r>
    <n v="9063"/>
    <x v="5"/>
    <x v="0"/>
    <x v="3"/>
    <x v="3"/>
    <x v="2"/>
    <x v="0"/>
    <x v="0"/>
    <x v="0"/>
  </r>
  <r>
    <n v="9064"/>
    <x v="5"/>
    <x v="0"/>
    <x v="4"/>
    <x v="4"/>
    <x v="0"/>
    <x v="0"/>
    <x v="0"/>
    <x v="0"/>
  </r>
  <r>
    <n v="9065"/>
    <x v="5"/>
    <x v="0"/>
    <x v="5"/>
    <x v="5"/>
    <x v="0"/>
    <x v="0"/>
    <x v="0"/>
    <x v="0"/>
  </r>
  <r>
    <n v="9066"/>
    <x v="5"/>
    <x v="0"/>
    <x v="6"/>
    <x v="6"/>
    <x v="0"/>
    <x v="0"/>
    <x v="0"/>
    <x v="0"/>
  </r>
  <r>
    <n v="9067"/>
    <x v="5"/>
    <x v="0"/>
    <x v="7"/>
    <x v="7"/>
    <x v="0"/>
    <x v="0"/>
    <x v="0"/>
    <x v="0"/>
  </r>
  <r>
    <n v="9068"/>
    <x v="5"/>
    <x v="0"/>
    <x v="8"/>
    <x v="8"/>
    <x v="1"/>
    <x v="0"/>
    <x v="0"/>
    <x v="0"/>
  </r>
  <r>
    <n v="9069"/>
    <x v="5"/>
    <x v="0"/>
    <x v="9"/>
    <x v="9"/>
    <x v="1"/>
    <x v="0"/>
    <x v="0"/>
    <x v="0"/>
  </r>
  <r>
    <n v="9070"/>
    <x v="5"/>
    <x v="0"/>
    <x v="10"/>
    <x v="10"/>
    <x v="1"/>
    <x v="0"/>
    <x v="0"/>
    <x v="0"/>
  </r>
  <r>
    <n v="9071"/>
    <x v="5"/>
    <x v="0"/>
    <x v="11"/>
    <x v="11"/>
    <x v="1"/>
    <x v="0"/>
    <x v="0"/>
    <x v="0"/>
  </r>
  <r>
    <n v="9072"/>
    <x v="5"/>
    <x v="0"/>
    <x v="7"/>
    <x v="7"/>
    <x v="1"/>
    <x v="0"/>
    <x v="0"/>
    <x v="0"/>
  </r>
  <r>
    <n v="9073"/>
    <x v="5"/>
    <x v="0"/>
    <x v="2"/>
    <x v="2"/>
    <x v="3"/>
    <x v="0"/>
    <x v="0"/>
    <x v="0"/>
  </r>
  <r>
    <n v="9074"/>
    <x v="5"/>
    <x v="0"/>
    <x v="3"/>
    <x v="3"/>
    <x v="3"/>
    <x v="0"/>
    <x v="0"/>
    <x v="0"/>
  </r>
  <r>
    <n v="9075"/>
    <x v="6"/>
    <x v="0"/>
    <x v="0"/>
    <x v="0"/>
    <x v="0"/>
    <x v="0"/>
    <x v="0"/>
    <x v="0"/>
  </r>
  <r>
    <n v="9076"/>
    <x v="6"/>
    <x v="0"/>
    <x v="0"/>
    <x v="1"/>
    <x v="1"/>
    <x v="0"/>
    <x v="0"/>
    <x v="0"/>
  </r>
  <r>
    <n v="9077"/>
    <x v="6"/>
    <x v="0"/>
    <x v="1"/>
    <x v="1"/>
    <x v="1"/>
    <x v="0"/>
    <x v="0"/>
    <x v="0"/>
  </r>
  <r>
    <n v="9078"/>
    <x v="6"/>
    <x v="0"/>
    <x v="2"/>
    <x v="2"/>
    <x v="2"/>
    <x v="0"/>
    <x v="0"/>
    <x v="0"/>
  </r>
  <r>
    <n v="9079"/>
    <x v="6"/>
    <x v="0"/>
    <x v="3"/>
    <x v="3"/>
    <x v="2"/>
    <x v="0"/>
    <x v="0"/>
    <x v="0"/>
  </r>
  <r>
    <n v="9080"/>
    <x v="6"/>
    <x v="0"/>
    <x v="4"/>
    <x v="4"/>
    <x v="0"/>
    <x v="0"/>
    <x v="0"/>
    <x v="0"/>
  </r>
  <r>
    <n v="9081"/>
    <x v="6"/>
    <x v="0"/>
    <x v="5"/>
    <x v="5"/>
    <x v="0"/>
    <x v="0"/>
    <x v="0"/>
    <x v="0"/>
  </r>
  <r>
    <n v="9082"/>
    <x v="6"/>
    <x v="0"/>
    <x v="6"/>
    <x v="6"/>
    <x v="0"/>
    <x v="0"/>
    <x v="0"/>
    <x v="0"/>
  </r>
  <r>
    <n v="9083"/>
    <x v="6"/>
    <x v="0"/>
    <x v="7"/>
    <x v="7"/>
    <x v="0"/>
    <x v="0"/>
    <x v="0"/>
    <x v="0"/>
  </r>
  <r>
    <n v="9084"/>
    <x v="6"/>
    <x v="0"/>
    <x v="8"/>
    <x v="8"/>
    <x v="1"/>
    <x v="0"/>
    <x v="0"/>
    <x v="0"/>
  </r>
  <r>
    <n v="9085"/>
    <x v="6"/>
    <x v="0"/>
    <x v="9"/>
    <x v="9"/>
    <x v="1"/>
    <x v="0"/>
    <x v="0"/>
    <x v="0"/>
  </r>
  <r>
    <n v="9086"/>
    <x v="6"/>
    <x v="0"/>
    <x v="10"/>
    <x v="10"/>
    <x v="1"/>
    <x v="0"/>
    <x v="0"/>
    <x v="0"/>
  </r>
  <r>
    <n v="9087"/>
    <x v="6"/>
    <x v="0"/>
    <x v="11"/>
    <x v="11"/>
    <x v="1"/>
    <x v="0"/>
    <x v="0"/>
    <x v="0"/>
  </r>
  <r>
    <n v="9088"/>
    <x v="6"/>
    <x v="0"/>
    <x v="7"/>
    <x v="7"/>
    <x v="1"/>
    <x v="0"/>
    <x v="0"/>
    <x v="0"/>
  </r>
  <r>
    <n v="9089"/>
    <x v="6"/>
    <x v="0"/>
    <x v="2"/>
    <x v="2"/>
    <x v="3"/>
    <x v="0"/>
    <x v="0"/>
    <x v="0"/>
  </r>
  <r>
    <n v="9090"/>
    <x v="6"/>
    <x v="0"/>
    <x v="3"/>
    <x v="3"/>
    <x v="3"/>
    <x v="0"/>
    <x v="0"/>
    <x v="0"/>
  </r>
  <r>
    <n v="9091"/>
    <x v="7"/>
    <x v="0"/>
    <x v="0"/>
    <x v="0"/>
    <x v="0"/>
    <x v="0"/>
    <x v="0"/>
    <x v="0"/>
  </r>
  <r>
    <n v="9092"/>
    <x v="7"/>
    <x v="0"/>
    <x v="0"/>
    <x v="1"/>
    <x v="1"/>
    <x v="0"/>
    <x v="0"/>
    <x v="0"/>
  </r>
  <r>
    <n v="9093"/>
    <x v="7"/>
    <x v="0"/>
    <x v="1"/>
    <x v="1"/>
    <x v="1"/>
    <x v="0"/>
    <x v="0"/>
    <x v="0"/>
  </r>
  <r>
    <n v="9094"/>
    <x v="7"/>
    <x v="0"/>
    <x v="2"/>
    <x v="2"/>
    <x v="2"/>
    <x v="0"/>
    <x v="0"/>
    <x v="0"/>
  </r>
  <r>
    <n v="9095"/>
    <x v="7"/>
    <x v="0"/>
    <x v="3"/>
    <x v="3"/>
    <x v="2"/>
    <x v="0"/>
    <x v="0"/>
    <x v="0"/>
  </r>
  <r>
    <n v="9096"/>
    <x v="7"/>
    <x v="0"/>
    <x v="4"/>
    <x v="4"/>
    <x v="0"/>
    <x v="0"/>
    <x v="0"/>
    <x v="0"/>
  </r>
  <r>
    <n v="9097"/>
    <x v="7"/>
    <x v="0"/>
    <x v="5"/>
    <x v="5"/>
    <x v="0"/>
    <x v="0"/>
    <x v="0"/>
    <x v="0"/>
  </r>
  <r>
    <n v="9098"/>
    <x v="7"/>
    <x v="0"/>
    <x v="6"/>
    <x v="6"/>
    <x v="0"/>
    <x v="0"/>
    <x v="0"/>
    <x v="0"/>
  </r>
  <r>
    <n v="9099"/>
    <x v="7"/>
    <x v="0"/>
    <x v="7"/>
    <x v="7"/>
    <x v="0"/>
    <x v="0"/>
    <x v="0"/>
    <x v="0"/>
  </r>
  <r>
    <n v="9100"/>
    <x v="7"/>
    <x v="0"/>
    <x v="8"/>
    <x v="8"/>
    <x v="1"/>
    <x v="0"/>
    <x v="0"/>
    <x v="0"/>
  </r>
  <r>
    <n v="9101"/>
    <x v="7"/>
    <x v="0"/>
    <x v="9"/>
    <x v="9"/>
    <x v="1"/>
    <x v="0"/>
    <x v="0"/>
    <x v="0"/>
  </r>
  <r>
    <n v="9102"/>
    <x v="7"/>
    <x v="0"/>
    <x v="10"/>
    <x v="10"/>
    <x v="1"/>
    <x v="0"/>
    <x v="0"/>
    <x v="0"/>
  </r>
  <r>
    <n v="9103"/>
    <x v="7"/>
    <x v="0"/>
    <x v="11"/>
    <x v="11"/>
    <x v="1"/>
    <x v="0"/>
    <x v="0"/>
    <x v="0"/>
  </r>
  <r>
    <n v="9104"/>
    <x v="7"/>
    <x v="0"/>
    <x v="7"/>
    <x v="7"/>
    <x v="1"/>
    <x v="0"/>
    <x v="0"/>
    <x v="0"/>
  </r>
  <r>
    <n v="9105"/>
    <x v="7"/>
    <x v="0"/>
    <x v="2"/>
    <x v="2"/>
    <x v="3"/>
    <x v="0"/>
    <x v="0"/>
    <x v="0"/>
  </r>
  <r>
    <n v="9106"/>
    <x v="7"/>
    <x v="0"/>
    <x v="3"/>
    <x v="3"/>
    <x v="3"/>
    <x v="0"/>
    <x v="0"/>
    <x v="0"/>
  </r>
  <r>
    <n v="9107"/>
    <x v="8"/>
    <x v="0"/>
    <x v="0"/>
    <x v="0"/>
    <x v="0"/>
    <x v="0"/>
    <x v="0"/>
    <x v="0"/>
  </r>
  <r>
    <n v="9108"/>
    <x v="8"/>
    <x v="0"/>
    <x v="0"/>
    <x v="1"/>
    <x v="1"/>
    <x v="0"/>
    <x v="0"/>
    <x v="0"/>
  </r>
  <r>
    <n v="9109"/>
    <x v="8"/>
    <x v="0"/>
    <x v="1"/>
    <x v="1"/>
    <x v="1"/>
    <x v="0"/>
    <x v="0"/>
    <x v="0"/>
  </r>
  <r>
    <n v="9110"/>
    <x v="8"/>
    <x v="0"/>
    <x v="2"/>
    <x v="2"/>
    <x v="2"/>
    <x v="0"/>
    <x v="0"/>
    <x v="0"/>
  </r>
  <r>
    <n v="9111"/>
    <x v="8"/>
    <x v="0"/>
    <x v="3"/>
    <x v="3"/>
    <x v="2"/>
    <x v="0"/>
    <x v="0"/>
    <x v="0"/>
  </r>
  <r>
    <n v="9112"/>
    <x v="8"/>
    <x v="0"/>
    <x v="4"/>
    <x v="4"/>
    <x v="0"/>
    <x v="0"/>
    <x v="0"/>
    <x v="0"/>
  </r>
  <r>
    <n v="9113"/>
    <x v="8"/>
    <x v="0"/>
    <x v="5"/>
    <x v="5"/>
    <x v="0"/>
    <x v="0"/>
    <x v="0"/>
    <x v="0"/>
  </r>
  <r>
    <n v="9114"/>
    <x v="8"/>
    <x v="0"/>
    <x v="6"/>
    <x v="6"/>
    <x v="0"/>
    <x v="0"/>
    <x v="0"/>
    <x v="0"/>
  </r>
  <r>
    <n v="9115"/>
    <x v="8"/>
    <x v="0"/>
    <x v="7"/>
    <x v="7"/>
    <x v="0"/>
    <x v="0"/>
    <x v="0"/>
    <x v="0"/>
  </r>
  <r>
    <n v="9116"/>
    <x v="8"/>
    <x v="0"/>
    <x v="8"/>
    <x v="8"/>
    <x v="1"/>
    <x v="0"/>
    <x v="0"/>
    <x v="0"/>
  </r>
  <r>
    <n v="9117"/>
    <x v="8"/>
    <x v="0"/>
    <x v="9"/>
    <x v="9"/>
    <x v="1"/>
    <x v="0"/>
    <x v="0"/>
    <x v="0"/>
  </r>
  <r>
    <n v="9118"/>
    <x v="8"/>
    <x v="0"/>
    <x v="10"/>
    <x v="10"/>
    <x v="1"/>
    <x v="0"/>
    <x v="0"/>
    <x v="0"/>
  </r>
  <r>
    <n v="9119"/>
    <x v="8"/>
    <x v="0"/>
    <x v="11"/>
    <x v="11"/>
    <x v="1"/>
    <x v="0"/>
    <x v="0"/>
    <x v="0"/>
  </r>
  <r>
    <n v="9120"/>
    <x v="8"/>
    <x v="0"/>
    <x v="7"/>
    <x v="7"/>
    <x v="1"/>
    <x v="0"/>
    <x v="0"/>
    <x v="0"/>
  </r>
  <r>
    <n v="9121"/>
    <x v="8"/>
    <x v="0"/>
    <x v="2"/>
    <x v="2"/>
    <x v="3"/>
    <x v="0"/>
    <x v="0"/>
    <x v="0"/>
  </r>
  <r>
    <n v="9122"/>
    <x v="8"/>
    <x v="0"/>
    <x v="3"/>
    <x v="3"/>
    <x v="3"/>
    <x v="0"/>
    <x v="0"/>
    <x v="0"/>
  </r>
  <r>
    <n v="9123"/>
    <x v="9"/>
    <x v="0"/>
    <x v="0"/>
    <x v="0"/>
    <x v="0"/>
    <x v="0"/>
    <x v="0"/>
    <x v="0"/>
  </r>
  <r>
    <n v="9124"/>
    <x v="9"/>
    <x v="0"/>
    <x v="0"/>
    <x v="1"/>
    <x v="1"/>
    <x v="0"/>
    <x v="0"/>
    <x v="0"/>
  </r>
  <r>
    <n v="9125"/>
    <x v="9"/>
    <x v="0"/>
    <x v="1"/>
    <x v="1"/>
    <x v="1"/>
    <x v="0"/>
    <x v="0"/>
    <x v="0"/>
  </r>
  <r>
    <n v="9126"/>
    <x v="9"/>
    <x v="0"/>
    <x v="2"/>
    <x v="2"/>
    <x v="2"/>
    <x v="0"/>
    <x v="0"/>
    <x v="0"/>
  </r>
  <r>
    <n v="9127"/>
    <x v="9"/>
    <x v="0"/>
    <x v="3"/>
    <x v="3"/>
    <x v="2"/>
    <x v="0"/>
    <x v="0"/>
    <x v="0"/>
  </r>
  <r>
    <n v="9128"/>
    <x v="9"/>
    <x v="0"/>
    <x v="4"/>
    <x v="4"/>
    <x v="0"/>
    <x v="0"/>
    <x v="0"/>
    <x v="0"/>
  </r>
  <r>
    <n v="9129"/>
    <x v="9"/>
    <x v="0"/>
    <x v="5"/>
    <x v="5"/>
    <x v="0"/>
    <x v="0"/>
    <x v="0"/>
    <x v="0"/>
  </r>
  <r>
    <n v="9130"/>
    <x v="9"/>
    <x v="0"/>
    <x v="6"/>
    <x v="6"/>
    <x v="0"/>
    <x v="0"/>
    <x v="0"/>
    <x v="0"/>
  </r>
  <r>
    <n v="9131"/>
    <x v="9"/>
    <x v="0"/>
    <x v="7"/>
    <x v="7"/>
    <x v="0"/>
    <x v="0"/>
    <x v="0"/>
    <x v="0"/>
  </r>
  <r>
    <n v="9132"/>
    <x v="9"/>
    <x v="0"/>
    <x v="8"/>
    <x v="8"/>
    <x v="1"/>
    <x v="0"/>
    <x v="0"/>
    <x v="0"/>
  </r>
  <r>
    <n v="9133"/>
    <x v="9"/>
    <x v="0"/>
    <x v="9"/>
    <x v="9"/>
    <x v="1"/>
    <x v="0"/>
    <x v="0"/>
    <x v="0"/>
  </r>
  <r>
    <n v="9134"/>
    <x v="9"/>
    <x v="0"/>
    <x v="10"/>
    <x v="10"/>
    <x v="1"/>
    <x v="0"/>
    <x v="0"/>
    <x v="0"/>
  </r>
  <r>
    <n v="9135"/>
    <x v="9"/>
    <x v="0"/>
    <x v="11"/>
    <x v="11"/>
    <x v="1"/>
    <x v="0"/>
    <x v="0"/>
    <x v="0"/>
  </r>
  <r>
    <n v="9136"/>
    <x v="9"/>
    <x v="0"/>
    <x v="7"/>
    <x v="7"/>
    <x v="1"/>
    <x v="0"/>
    <x v="0"/>
    <x v="0"/>
  </r>
  <r>
    <n v="9137"/>
    <x v="9"/>
    <x v="0"/>
    <x v="2"/>
    <x v="2"/>
    <x v="3"/>
    <x v="0"/>
    <x v="0"/>
    <x v="0"/>
  </r>
  <r>
    <n v="9138"/>
    <x v="9"/>
    <x v="0"/>
    <x v="3"/>
    <x v="3"/>
    <x v="3"/>
    <x v="0"/>
    <x v="0"/>
    <x v="0"/>
  </r>
  <r>
    <n v="9139"/>
    <x v="10"/>
    <x v="0"/>
    <x v="0"/>
    <x v="0"/>
    <x v="0"/>
    <x v="1"/>
    <x v="0"/>
    <x v="0"/>
  </r>
  <r>
    <n v="9140"/>
    <x v="10"/>
    <x v="0"/>
    <x v="0"/>
    <x v="1"/>
    <x v="1"/>
    <x v="1"/>
    <x v="0"/>
    <x v="0"/>
  </r>
  <r>
    <n v="9141"/>
    <x v="10"/>
    <x v="0"/>
    <x v="1"/>
    <x v="1"/>
    <x v="1"/>
    <x v="1"/>
    <x v="0"/>
    <x v="0"/>
  </r>
  <r>
    <n v="9142"/>
    <x v="10"/>
    <x v="0"/>
    <x v="2"/>
    <x v="2"/>
    <x v="2"/>
    <x v="1"/>
    <x v="0"/>
    <x v="0"/>
  </r>
  <r>
    <n v="9143"/>
    <x v="10"/>
    <x v="0"/>
    <x v="3"/>
    <x v="3"/>
    <x v="2"/>
    <x v="1"/>
    <x v="0"/>
    <x v="0"/>
  </r>
  <r>
    <n v="9144"/>
    <x v="10"/>
    <x v="0"/>
    <x v="4"/>
    <x v="4"/>
    <x v="0"/>
    <x v="1"/>
    <x v="0"/>
    <x v="0"/>
  </r>
  <r>
    <n v="9145"/>
    <x v="10"/>
    <x v="0"/>
    <x v="5"/>
    <x v="5"/>
    <x v="0"/>
    <x v="1"/>
    <x v="0"/>
    <x v="0"/>
  </r>
  <r>
    <n v="9146"/>
    <x v="10"/>
    <x v="0"/>
    <x v="6"/>
    <x v="6"/>
    <x v="0"/>
    <x v="1"/>
    <x v="0"/>
    <x v="0"/>
  </r>
  <r>
    <n v="9147"/>
    <x v="10"/>
    <x v="0"/>
    <x v="7"/>
    <x v="7"/>
    <x v="0"/>
    <x v="1"/>
    <x v="0"/>
    <x v="0"/>
  </r>
  <r>
    <n v="9148"/>
    <x v="10"/>
    <x v="0"/>
    <x v="8"/>
    <x v="8"/>
    <x v="1"/>
    <x v="1"/>
    <x v="0"/>
    <x v="0"/>
  </r>
  <r>
    <n v="9149"/>
    <x v="10"/>
    <x v="0"/>
    <x v="9"/>
    <x v="9"/>
    <x v="1"/>
    <x v="1"/>
    <x v="0"/>
    <x v="0"/>
  </r>
  <r>
    <n v="9150"/>
    <x v="10"/>
    <x v="0"/>
    <x v="10"/>
    <x v="10"/>
    <x v="1"/>
    <x v="1"/>
    <x v="0"/>
    <x v="0"/>
  </r>
  <r>
    <n v="9151"/>
    <x v="10"/>
    <x v="0"/>
    <x v="11"/>
    <x v="11"/>
    <x v="1"/>
    <x v="1"/>
    <x v="0"/>
    <x v="0"/>
  </r>
  <r>
    <n v="9152"/>
    <x v="10"/>
    <x v="0"/>
    <x v="7"/>
    <x v="7"/>
    <x v="1"/>
    <x v="1"/>
    <x v="0"/>
    <x v="0"/>
  </r>
  <r>
    <n v="9153"/>
    <x v="10"/>
    <x v="0"/>
    <x v="2"/>
    <x v="2"/>
    <x v="3"/>
    <x v="1"/>
    <x v="0"/>
    <x v="0"/>
  </r>
  <r>
    <n v="9154"/>
    <x v="10"/>
    <x v="0"/>
    <x v="3"/>
    <x v="3"/>
    <x v="3"/>
    <x v="1"/>
    <x v="0"/>
    <x v="0"/>
  </r>
  <r>
    <n v="9155"/>
    <x v="11"/>
    <x v="0"/>
    <x v="0"/>
    <x v="0"/>
    <x v="0"/>
    <x v="1"/>
    <x v="0"/>
    <x v="0"/>
  </r>
  <r>
    <n v="9156"/>
    <x v="11"/>
    <x v="0"/>
    <x v="0"/>
    <x v="1"/>
    <x v="1"/>
    <x v="1"/>
    <x v="0"/>
    <x v="0"/>
  </r>
  <r>
    <n v="9157"/>
    <x v="11"/>
    <x v="0"/>
    <x v="1"/>
    <x v="1"/>
    <x v="1"/>
    <x v="1"/>
    <x v="0"/>
    <x v="0"/>
  </r>
  <r>
    <n v="9158"/>
    <x v="11"/>
    <x v="0"/>
    <x v="2"/>
    <x v="2"/>
    <x v="2"/>
    <x v="1"/>
    <x v="0"/>
    <x v="0"/>
  </r>
  <r>
    <n v="9159"/>
    <x v="11"/>
    <x v="0"/>
    <x v="3"/>
    <x v="3"/>
    <x v="2"/>
    <x v="1"/>
    <x v="0"/>
    <x v="0"/>
  </r>
  <r>
    <n v="9160"/>
    <x v="11"/>
    <x v="0"/>
    <x v="4"/>
    <x v="4"/>
    <x v="0"/>
    <x v="1"/>
    <x v="0"/>
    <x v="0"/>
  </r>
  <r>
    <n v="9161"/>
    <x v="11"/>
    <x v="0"/>
    <x v="5"/>
    <x v="5"/>
    <x v="0"/>
    <x v="1"/>
    <x v="0"/>
    <x v="0"/>
  </r>
  <r>
    <n v="9162"/>
    <x v="11"/>
    <x v="0"/>
    <x v="6"/>
    <x v="6"/>
    <x v="0"/>
    <x v="1"/>
    <x v="0"/>
    <x v="0"/>
  </r>
  <r>
    <n v="9163"/>
    <x v="11"/>
    <x v="0"/>
    <x v="7"/>
    <x v="7"/>
    <x v="0"/>
    <x v="1"/>
    <x v="0"/>
    <x v="0"/>
  </r>
  <r>
    <n v="9164"/>
    <x v="11"/>
    <x v="0"/>
    <x v="8"/>
    <x v="8"/>
    <x v="1"/>
    <x v="1"/>
    <x v="0"/>
    <x v="0"/>
  </r>
  <r>
    <n v="9165"/>
    <x v="11"/>
    <x v="0"/>
    <x v="9"/>
    <x v="9"/>
    <x v="1"/>
    <x v="1"/>
    <x v="0"/>
    <x v="0"/>
  </r>
  <r>
    <n v="9166"/>
    <x v="11"/>
    <x v="0"/>
    <x v="10"/>
    <x v="10"/>
    <x v="1"/>
    <x v="1"/>
    <x v="0"/>
    <x v="0"/>
  </r>
  <r>
    <n v="9167"/>
    <x v="11"/>
    <x v="0"/>
    <x v="11"/>
    <x v="11"/>
    <x v="1"/>
    <x v="1"/>
    <x v="0"/>
    <x v="0"/>
  </r>
  <r>
    <n v="9168"/>
    <x v="11"/>
    <x v="0"/>
    <x v="7"/>
    <x v="7"/>
    <x v="1"/>
    <x v="1"/>
    <x v="0"/>
    <x v="0"/>
  </r>
  <r>
    <n v="9169"/>
    <x v="11"/>
    <x v="0"/>
    <x v="2"/>
    <x v="2"/>
    <x v="3"/>
    <x v="1"/>
    <x v="0"/>
    <x v="0"/>
  </r>
  <r>
    <n v="9170"/>
    <x v="11"/>
    <x v="0"/>
    <x v="3"/>
    <x v="3"/>
    <x v="3"/>
    <x v="1"/>
    <x v="0"/>
    <x v="0"/>
  </r>
  <r>
    <n v="9171"/>
    <x v="12"/>
    <x v="0"/>
    <x v="0"/>
    <x v="0"/>
    <x v="0"/>
    <x v="1"/>
    <x v="0"/>
    <x v="0"/>
  </r>
  <r>
    <n v="9172"/>
    <x v="12"/>
    <x v="0"/>
    <x v="0"/>
    <x v="1"/>
    <x v="1"/>
    <x v="1"/>
    <x v="0"/>
    <x v="0"/>
  </r>
  <r>
    <n v="9173"/>
    <x v="12"/>
    <x v="0"/>
    <x v="1"/>
    <x v="1"/>
    <x v="1"/>
    <x v="1"/>
    <x v="0"/>
    <x v="0"/>
  </r>
  <r>
    <n v="9174"/>
    <x v="12"/>
    <x v="0"/>
    <x v="2"/>
    <x v="2"/>
    <x v="2"/>
    <x v="1"/>
    <x v="0"/>
    <x v="0"/>
  </r>
  <r>
    <n v="9175"/>
    <x v="12"/>
    <x v="0"/>
    <x v="3"/>
    <x v="3"/>
    <x v="2"/>
    <x v="1"/>
    <x v="0"/>
    <x v="0"/>
  </r>
  <r>
    <n v="9176"/>
    <x v="12"/>
    <x v="0"/>
    <x v="4"/>
    <x v="4"/>
    <x v="0"/>
    <x v="1"/>
    <x v="0"/>
    <x v="0"/>
  </r>
  <r>
    <n v="9177"/>
    <x v="12"/>
    <x v="0"/>
    <x v="5"/>
    <x v="5"/>
    <x v="0"/>
    <x v="1"/>
    <x v="0"/>
    <x v="0"/>
  </r>
  <r>
    <n v="9178"/>
    <x v="12"/>
    <x v="0"/>
    <x v="6"/>
    <x v="6"/>
    <x v="0"/>
    <x v="1"/>
    <x v="0"/>
    <x v="0"/>
  </r>
  <r>
    <n v="9179"/>
    <x v="12"/>
    <x v="0"/>
    <x v="7"/>
    <x v="7"/>
    <x v="0"/>
    <x v="1"/>
    <x v="0"/>
    <x v="0"/>
  </r>
  <r>
    <n v="9180"/>
    <x v="12"/>
    <x v="0"/>
    <x v="8"/>
    <x v="8"/>
    <x v="1"/>
    <x v="1"/>
    <x v="0"/>
    <x v="0"/>
  </r>
  <r>
    <n v="9181"/>
    <x v="12"/>
    <x v="0"/>
    <x v="9"/>
    <x v="9"/>
    <x v="1"/>
    <x v="1"/>
    <x v="0"/>
    <x v="0"/>
  </r>
  <r>
    <n v="9182"/>
    <x v="12"/>
    <x v="0"/>
    <x v="10"/>
    <x v="10"/>
    <x v="1"/>
    <x v="1"/>
    <x v="0"/>
    <x v="0"/>
  </r>
  <r>
    <n v="9183"/>
    <x v="12"/>
    <x v="0"/>
    <x v="11"/>
    <x v="11"/>
    <x v="1"/>
    <x v="1"/>
    <x v="0"/>
    <x v="0"/>
  </r>
  <r>
    <n v="9184"/>
    <x v="12"/>
    <x v="0"/>
    <x v="7"/>
    <x v="7"/>
    <x v="1"/>
    <x v="1"/>
    <x v="0"/>
    <x v="0"/>
  </r>
  <r>
    <n v="9185"/>
    <x v="12"/>
    <x v="0"/>
    <x v="2"/>
    <x v="2"/>
    <x v="3"/>
    <x v="1"/>
    <x v="0"/>
    <x v="0"/>
  </r>
  <r>
    <n v="9186"/>
    <x v="12"/>
    <x v="0"/>
    <x v="3"/>
    <x v="3"/>
    <x v="3"/>
    <x v="1"/>
    <x v="0"/>
    <x v="0"/>
  </r>
  <r>
    <n v="9187"/>
    <x v="13"/>
    <x v="0"/>
    <x v="0"/>
    <x v="0"/>
    <x v="0"/>
    <x v="1"/>
    <x v="0"/>
    <x v="0"/>
  </r>
  <r>
    <n v="9188"/>
    <x v="13"/>
    <x v="0"/>
    <x v="0"/>
    <x v="1"/>
    <x v="1"/>
    <x v="1"/>
    <x v="0"/>
    <x v="0"/>
  </r>
  <r>
    <n v="9189"/>
    <x v="13"/>
    <x v="0"/>
    <x v="1"/>
    <x v="1"/>
    <x v="1"/>
    <x v="1"/>
    <x v="0"/>
    <x v="0"/>
  </r>
  <r>
    <n v="9190"/>
    <x v="13"/>
    <x v="0"/>
    <x v="2"/>
    <x v="2"/>
    <x v="2"/>
    <x v="1"/>
    <x v="0"/>
    <x v="0"/>
  </r>
  <r>
    <n v="9191"/>
    <x v="13"/>
    <x v="0"/>
    <x v="3"/>
    <x v="3"/>
    <x v="2"/>
    <x v="1"/>
    <x v="0"/>
    <x v="0"/>
  </r>
  <r>
    <n v="9192"/>
    <x v="13"/>
    <x v="0"/>
    <x v="4"/>
    <x v="4"/>
    <x v="0"/>
    <x v="1"/>
    <x v="0"/>
    <x v="0"/>
  </r>
  <r>
    <n v="9193"/>
    <x v="13"/>
    <x v="0"/>
    <x v="5"/>
    <x v="5"/>
    <x v="0"/>
    <x v="1"/>
    <x v="0"/>
    <x v="0"/>
  </r>
  <r>
    <n v="9194"/>
    <x v="13"/>
    <x v="0"/>
    <x v="6"/>
    <x v="6"/>
    <x v="0"/>
    <x v="1"/>
    <x v="0"/>
    <x v="0"/>
  </r>
  <r>
    <n v="9195"/>
    <x v="13"/>
    <x v="0"/>
    <x v="7"/>
    <x v="7"/>
    <x v="0"/>
    <x v="1"/>
    <x v="0"/>
    <x v="0"/>
  </r>
  <r>
    <n v="9196"/>
    <x v="13"/>
    <x v="0"/>
    <x v="8"/>
    <x v="8"/>
    <x v="1"/>
    <x v="1"/>
    <x v="0"/>
    <x v="0"/>
  </r>
  <r>
    <n v="9197"/>
    <x v="13"/>
    <x v="0"/>
    <x v="9"/>
    <x v="9"/>
    <x v="1"/>
    <x v="1"/>
    <x v="0"/>
    <x v="0"/>
  </r>
  <r>
    <n v="9198"/>
    <x v="13"/>
    <x v="0"/>
    <x v="10"/>
    <x v="10"/>
    <x v="1"/>
    <x v="1"/>
    <x v="0"/>
    <x v="0"/>
  </r>
  <r>
    <n v="9199"/>
    <x v="13"/>
    <x v="0"/>
    <x v="11"/>
    <x v="11"/>
    <x v="1"/>
    <x v="1"/>
    <x v="0"/>
    <x v="0"/>
  </r>
  <r>
    <n v="9200"/>
    <x v="13"/>
    <x v="0"/>
    <x v="7"/>
    <x v="7"/>
    <x v="1"/>
    <x v="1"/>
    <x v="0"/>
    <x v="0"/>
  </r>
  <r>
    <n v="9201"/>
    <x v="13"/>
    <x v="0"/>
    <x v="2"/>
    <x v="2"/>
    <x v="3"/>
    <x v="1"/>
    <x v="0"/>
    <x v="0"/>
  </r>
  <r>
    <n v="9202"/>
    <x v="13"/>
    <x v="0"/>
    <x v="3"/>
    <x v="3"/>
    <x v="3"/>
    <x v="1"/>
    <x v="0"/>
    <x v="0"/>
  </r>
  <r>
    <n v="9203"/>
    <x v="14"/>
    <x v="0"/>
    <x v="0"/>
    <x v="0"/>
    <x v="0"/>
    <x v="1"/>
    <x v="0"/>
    <x v="0"/>
  </r>
  <r>
    <n v="9204"/>
    <x v="14"/>
    <x v="0"/>
    <x v="0"/>
    <x v="1"/>
    <x v="1"/>
    <x v="1"/>
    <x v="0"/>
    <x v="0"/>
  </r>
  <r>
    <n v="9205"/>
    <x v="14"/>
    <x v="0"/>
    <x v="1"/>
    <x v="1"/>
    <x v="1"/>
    <x v="1"/>
    <x v="0"/>
    <x v="0"/>
  </r>
  <r>
    <n v="9206"/>
    <x v="14"/>
    <x v="0"/>
    <x v="2"/>
    <x v="2"/>
    <x v="2"/>
    <x v="1"/>
    <x v="0"/>
    <x v="0"/>
  </r>
  <r>
    <n v="9207"/>
    <x v="14"/>
    <x v="0"/>
    <x v="3"/>
    <x v="3"/>
    <x v="2"/>
    <x v="1"/>
    <x v="0"/>
    <x v="0"/>
  </r>
  <r>
    <n v="9208"/>
    <x v="14"/>
    <x v="0"/>
    <x v="4"/>
    <x v="4"/>
    <x v="0"/>
    <x v="1"/>
    <x v="0"/>
    <x v="0"/>
  </r>
  <r>
    <n v="9209"/>
    <x v="14"/>
    <x v="0"/>
    <x v="5"/>
    <x v="5"/>
    <x v="0"/>
    <x v="1"/>
    <x v="0"/>
    <x v="0"/>
  </r>
  <r>
    <n v="9210"/>
    <x v="14"/>
    <x v="0"/>
    <x v="6"/>
    <x v="6"/>
    <x v="0"/>
    <x v="1"/>
    <x v="0"/>
    <x v="0"/>
  </r>
  <r>
    <n v="9211"/>
    <x v="14"/>
    <x v="0"/>
    <x v="7"/>
    <x v="7"/>
    <x v="0"/>
    <x v="1"/>
    <x v="0"/>
    <x v="0"/>
  </r>
  <r>
    <n v="9212"/>
    <x v="14"/>
    <x v="0"/>
    <x v="8"/>
    <x v="8"/>
    <x v="1"/>
    <x v="1"/>
    <x v="0"/>
    <x v="0"/>
  </r>
  <r>
    <n v="9213"/>
    <x v="14"/>
    <x v="0"/>
    <x v="9"/>
    <x v="9"/>
    <x v="1"/>
    <x v="1"/>
    <x v="0"/>
    <x v="0"/>
  </r>
  <r>
    <n v="9214"/>
    <x v="14"/>
    <x v="0"/>
    <x v="10"/>
    <x v="10"/>
    <x v="1"/>
    <x v="1"/>
    <x v="0"/>
    <x v="0"/>
  </r>
  <r>
    <n v="9215"/>
    <x v="14"/>
    <x v="0"/>
    <x v="11"/>
    <x v="11"/>
    <x v="1"/>
    <x v="1"/>
    <x v="0"/>
    <x v="0"/>
  </r>
  <r>
    <n v="9216"/>
    <x v="14"/>
    <x v="0"/>
    <x v="7"/>
    <x v="7"/>
    <x v="1"/>
    <x v="1"/>
    <x v="0"/>
    <x v="0"/>
  </r>
  <r>
    <n v="9217"/>
    <x v="14"/>
    <x v="0"/>
    <x v="2"/>
    <x v="2"/>
    <x v="3"/>
    <x v="1"/>
    <x v="0"/>
    <x v="0"/>
  </r>
  <r>
    <n v="9218"/>
    <x v="14"/>
    <x v="0"/>
    <x v="3"/>
    <x v="3"/>
    <x v="3"/>
    <x v="1"/>
    <x v="0"/>
    <x v="0"/>
  </r>
  <r>
    <n v="9219"/>
    <x v="15"/>
    <x v="0"/>
    <x v="0"/>
    <x v="0"/>
    <x v="0"/>
    <x v="2"/>
    <x v="0"/>
    <x v="0"/>
  </r>
  <r>
    <n v="9220"/>
    <x v="15"/>
    <x v="0"/>
    <x v="0"/>
    <x v="1"/>
    <x v="1"/>
    <x v="2"/>
    <x v="0"/>
    <x v="0"/>
  </r>
  <r>
    <n v="9221"/>
    <x v="15"/>
    <x v="0"/>
    <x v="1"/>
    <x v="1"/>
    <x v="1"/>
    <x v="2"/>
    <x v="0"/>
    <x v="0"/>
  </r>
  <r>
    <n v="9222"/>
    <x v="15"/>
    <x v="0"/>
    <x v="2"/>
    <x v="2"/>
    <x v="2"/>
    <x v="2"/>
    <x v="0"/>
    <x v="0"/>
  </r>
  <r>
    <n v="9223"/>
    <x v="15"/>
    <x v="0"/>
    <x v="3"/>
    <x v="3"/>
    <x v="2"/>
    <x v="2"/>
    <x v="0"/>
    <x v="0"/>
  </r>
  <r>
    <n v="9224"/>
    <x v="15"/>
    <x v="0"/>
    <x v="4"/>
    <x v="4"/>
    <x v="0"/>
    <x v="2"/>
    <x v="0"/>
    <x v="0"/>
  </r>
  <r>
    <n v="9225"/>
    <x v="15"/>
    <x v="0"/>
    <x v="5"/>
    <x v="5"/>
    <x v="0"/>
    <x v="2"/>
    <x v="0"/>
    <x v="0"/>
  </r>
  <r>
    <n v="9226"/>
    <x v="15"/>
    <x v="0"/>
    <x v="6"/>
    <x v="6"/>
    <x v="0"/>
    <x v="2"/>
    <x v="0"/>
    <x v="0"/>
  </r>
  <r>
    <n v="9227"/>
    <x v="15"/>
    <x v="0"/>
    <x v="7"/>
    <x v="7"/>
    <x v="0"/>
    <x v="2"/>
    <x v="0"/>
    <x v="0"/>
  </r>
  <r>
    <n v="9228"/>
    <x v="15"/>
    <x v="0"/>
    <x v="8"/>
    <x v="8"/>
    <x v="1"/>
    <x v="2"/>
    <x v="0"/>
    <x v="0"/>
  </r>
  <r>
    <n v="9229"/>
    <x v="15"/>
    <x v="0"/>
    <x v="9"/>
    <x v="9"/>
    <x v="1"/>
    <x v="2"/>
    <x v="0"/>
    <x v="0"/>
  </r>
  <r>
    <n v="9230"/>
    <x v="15"/>
    <x v="0"/>
    <x v="10"/>
    <x v="10"/>
    <x v="1"/>
    <x v="2"/>
    <x v="0"/>
    <x v="0"/>
  </r>
  <r>
    <n v="9231"/>
    <x v="15"/>
    <x v="0"/>
    <x v="11"/>
    <x v="11"/>
    <x v="1"/>
    <x v="2"/>
    <x v="0"/>
    <x v="0"/>
  </r>
  <r>
    <n v="9232"/>
    <x v="15"/>
    <x v="0"/>
    <x v="7"/>
    <x v="7"/>
    <x v="1"/>
    <x v="2"/>
    <x v="0"/>
    <x v="0"/>
  </r>
  <r>
    <n v="9233"/>
    <x v="15"/>
    <x v="0"/>
    <x v="2"/>
    <x v="2"/>
    <x v="3"/>
    <x v="2"/>
    <x v="0"/>
    <x v="0"/>
  </r>
  <r>
    <n v="9234"/>
    <x v="15"/>
    <x v="0"/>
    <x v="3"/>
    <x v="3"/>
    <x v="3"/>
    <x v="2"/>
    <x v="0"/>
    <x v="0"/>
  </r>
  <r>
    <n v="9235"/>
    <x v="16"/>
    <x v="0"/>
    <x v="0"/>
    <x v="0"/>
    <x v="0"/>
    <x v="2"/>
    <x v="0"/>
    <x v="0"/>
  </r>
  <r>
    <n v="9236"/>
    <x v="16"/>
    <x v="0"/>
    <x v="0"/>
    <x v="1"/>
    <x v="1"/>
    <x v="2"/>
    <x v="0"/>
    <x v="0"/>
  </r>
  <r>
    <n v="9237"/>
    <x v="16"/>
    <x v="0"/>
    <x v="1"/>
    <x v="1"/>
    <x v="1"/>
    <x v="2"/>
    <x v="0"/>
    <x v="0"/>
  </r>
  <r>
    <n v="9238"/>
    <x v="16"/>
    <x v="0"/>
    <x v="2"/>
    <x v="2"/>
    <x v="2"/>
    <x v="2"/>
    <x v="0"/>
    <x v="0"/>
  </r>
  <r>
    <n v="9239"/>
    <x v="16"/>
    <x v="0"/>
    <x v="3"/>
    <x v="3"/>
    <x v="2"/>
    <x v="2"/>
    <x v="0"/>
    <x v="0"/>
  </r>
  <r>
    <n v="9240"/>
    <x v="16"/>
    <x v="0"/>
    <x v="4"/>
    <x v="4"/>
    <x v="0"/>
    <x v="2"/>
    <x v="0"/>
    <x v="0"/>
  </r>
  <r>
    <n v="9241"/>
    <x v="16"/>
    <x v="0"/>
    <x v="5"/>
    <x v="5"/>
    <x v="0"/>
    <x v="2"/>
    <x v="0"/>
    <x v="0"/>
  </r>
  <r>
    <n v="9242"/>
    <x v="16"/>
    <x v="0"/>
    <x v="6"/>
    <x v="6"/>
    <x v="0"/>
    <x v="2"/>
    <x v="0"/>
    <x v="0"/>
  </r>
  <r>
    <n v="9243"/>
    <x v="16"/>
    <x v="0"/>
    <x v="7"/>
    <x v="7"/>
    <x v="0"/>
    <x v="2"/>
    <x v="0"/>
    <x v="0"/>
  </r>
  <r>
    <n v="9244"/>
    <x v="16"/>
    <x v="0"/>
    <x v="8"/>
    <x v="8"/>
    <x v="1"/>
    <x v="2"/>
    <x v="0"/>
    <x v="0"/>
  </r>
  <r>
    <n v="9245"/>
    <x v="16"/>
    <x v="0"/>
    <x v="9"/>
    <x v="9"/>
    <x v="1"/>
    <x v="2"/>
    <x v="0"/>
    <x v="0"/>
  </r>
  <r>
    <n v="9246"/>
    <x v="16"/>
    <x v="0"/>
    <x v="10"/>
    <x v="10"/>
    <x v="1"/>
    <x v="2"/>
    <x v="0"/>
    <x v="0"/>
  </r>
  <r>
    <n v="9247"/>
    <x v="16"/>
    <x v="0"/>
    <x v="11"/>
    <x v="11"/>
    <x v="1"/>
    <x v="2"/>
    <x v="0"/>
    <x v="0"/>
  </r>
  <r>
    <n v="9248"/>
    <x v="16"/>
    <x v="0"/>
    <x v="7"/>
    <x v="7"/>
    <x v="1"/>
    <x v="2"/>
    <x v="0"/>
    <x v="0"/>
  </r>
  <r>
    <n v="9249"/>
    <x v="16"/>
    <x v="0"/>
    <x v="2"/>
    <x v="2"/>
    <x v="3"/>
    <x v="2"/>
    <x v="0"/>
    <x v="0"/>
  </r>
  <r>
    <n v="9250"/>
    <x v="16"/>
    <x v="0"/>
    <x v="3"/>
    <x v="3"/>
    <x v="3"/>
    <x v="2"/>
    <x v="0"/>
    <x v="0"/>
  </r>
  <r>
    <n v="9251"/>
    <x v="17"/>
    <x v="0"/>
    <x v="0"/>
    <x v="0"/>
    <x v="0"/>
    <x v="3"/>
    <x v="0"/>
    <x v="0"/>
  </r>
  <r>
    <n v="9252"/>
    <x v="17"/>
    <x v="0"/>
    <x v="0"/>
    <x v="1"/>
    <x v="1"/>
    <x v="3"/>
    <x v="0"/>
    <x v="0"/>
  </r>
  <r>
    <n v="9253"/>
    <x v="17"/>
    <x v="0"/>
    <x v="1"/>
    <x v="1"/>
    <x v="1"/>
    <x v="3"/>
    <x v="0"/>
    <x v="0"/>
  </r>
  <r>
    <n v="9254"/>
    <x v="17"/>
    <x v="0"/>
    <x v="2"/>
    <x v="2"/>
    <x v="2"/>
    <x v="3"/>
    <x v="0"/>
    <x v="0"/>
  </r>
  <r>
    <n v="9255"/>
    <x v="17"/>
    <x v="0"/>
    <x v="3"/>
    <x v="3"/>
    <x v="2"/>
    <x v="3"/>
    <x v="0"/>
    <x v="0"/>
  </r>
  <r>
    <n v="9256"/>
    <x v="17"/>
    <x v="0"/>
    <x v="4"/>
    <x v="4"/>
    <x v="0"/>
    <x v="3"/>
    <x v="0"/>
    <x v="0"/>
  </r>
  <r>
    <n v="9257"/>
    <x v="17"/>
    <x v="0"/>
    <x v="5"/>
    <x v="5"/>
    <x v="0"/>
    <x v="3"/>
    <x v="0"/>
    <x v="0"/>
  </r>
  <r>
    <n v="9258"/>
    <x v="17"/>
    <x v="0"/>
    <x v="6"/>
    <x v="6"/>
    <x v="0"/>
    <x v="3"/>
    <x v="0"/>
    <x v="0"/>
  </r>
  <r>
    <n v="9259"/>
    <x v="17"/>
    <x v="0"/>
    <x v="7"/>
    <x v="7"/>
    <x v="0"/>
    <x v="3"/>
    <x v="0"/>
    <x v="0"/>
  </r>
  <r>
    <n v="9260"/>
    <x v="17"/>
    <x v="0"/>
    <x v="8"/>
    <x v="8"/>
    <x v="1"/>
    <x v="3"/>
    <x v="0"/>
    <x v="0"/>
  </r>
  <r>
    <n v="9261"/>
    <x v="17"/>
    <x v="0"/>
    <x v="9"/>
    <x v="9"/>
    <x v="1"/>
    <x v="3"/>
    <x v="0"/>
    <x v="0"/>
  </r>
  <r>
    <n v="9262"/>
    <x v="17"/>
    <x v="0"/>
    <x v="10"/>
    <x v="10"/>
    <x v="1"/>
    <x v="3"/>
    <x v="0"/>
    <x v="0"/>
  </r>
  <r>
    <n v="9263"/>
    <x v="17"/>
    <x v="0"/>
    <x v="11"/>
    <x v="11"/>
    <x v="1"/>
    <x v="3"/>
    <x v="0"/>
    <x v="0"/>
  </r>
  <r>
    <n v="9264"/>
    <x v="17"/>
    <x v="0"/>
    <x v="7"/>
    <x v="7"/>
    <x v="1"/>
    <x v="3"/>
    <x v="0"/>
    <x v="0"/>
  </r>
  <r>
    <n v="9265"/>
    <x v="17"/>
    <x v="0"/>
    <x v="2"/>
    <x v="2"/>
    <x v="3"/>
    <x v="3"/>
    <x v="0"/>
    <x v="0"/>
  </r>
  <r>
    <n v="9266"/>
    <x v="17"/>
    <x v="0"/>
    <x v="3"/>
    <x v="3"/>
    <x v="3"/>
    <x v="3"/>
    <x v="0"/>
    <x v="0"/>
  </r>
  <r>
    <n v="9267"/>
    <x v="18"/>
    <x v="0"/>
    <x v="0"/>
    <x v="0"/>
    <x v="0"/>
    <x v="3"/>
    <x v="0"/>
    <x v="0"/>
  </r>
  <r>
    <n v="9268"/>
    <x v="18"/>
    <x v="0"/>
    <x v="0"/>
    <x v="1"/>
    <x v="1"/>
    <x v="3"/>
    <x v="0"/>
    <x v="0"/>
  </r>
  <r>
    <n v="9269"/>
    <x v="18"/>
    <x v="0"/>
    <x v="1"/>
    <x v="1"/>
    <x v="1"/>
    <x v="3"/>
    <x v="0"/>
    <x v="0"/>
  </r>
  <r>
    <n v="9270"/>
    <x v="18"/>
    <x v="0"/>
    <x v="2"/>
    <x v="2"/>
    <x v="2"/>
    <x v="3"/>
    <x v="0"/>
    <x v="0"/>
  </r>
  <r>
    <n v="9271"/>
    <x v="18"/>
    <x v="0"/>
    <x v="3"/>
    <x v="3"/>
    <x v="2"/>
    <x v="3"/>
    <x v="0"/>
    <x v="0"/>
  </r>
  <r>
    <n v="9272"/>
    <x v="18"/>
    <x v="0"/>
    <x v="4"/>
    <x v="4"/>
    <x v="0"/>
    <x v="3"/>
    <x v="0"/>
    <x v="0"/>
  </r>
  <r>
    <n v="9273"/>
    <x v="18"/>
    <x v="0"/>
    <x v="5"/>
    <x v="5"/>
    <x v="0"/>
    <x v="3"/>
    <x v="0"/>
    <x v="0"/>
  </r>
  <r>
    <n v="9274"/>
    <x v="18"/>
    <x v="0"/>
    <x v="6"/>
    <x v="6"/>
    <x v="0"/>
    <x v="3"/>
    <x v="0"/>
    <x v="0"/>
  </r>
  <r>
    <n v="9275"/>
    <x v="18"/>
    <x v="0"/>
    <x v="7"/>
    <x v="7"/>
    <x v="0"/>
    <x v="3"/>
    <x v="0"/>
    <x v="0"/>
  </r>
  <r>
    <n v="9276"/>
    <x v="18"/>
    <x v="0"/>
    <x v="8"/>
    <x v="8"/>
    <x v="1"/>
    <x v="3"/>
    <x v="0"/>
    <x v="0"/>
  </r>
  <r>
    <n v="9277"/>
    <x v="18"/>
    <x v="0"/>
    <x v="9"/>
    <x v="9"/>
    <x v="1"/>
    <x v="3"/>
    <x v="0"/>
    <x v="0"/>
  </r>
  <r>
    <n v="9278"/>
    <x v="18"/>
    <x v="0"/>
    <x v="10"/>
    <x v="10"/>
    <x v="1"/>
    <x v="3"/>
    <x v="0"/>
    <x v="0"/>
  </r>
  <r>
    <n v="9279"/>
    <x v="18"/>
    <x v="0"/>
    <x v="11"/>
    <x v="11"/>
    <x v="1"/>
    <x v="3"/>
    <x v="0"/>
    <x v="0"/>
  </r>
  <r>
    <n v="9280"/>
    <x v="18"/>
    <x v="0"/>
    <x v="7"/>
    <x v="7"/>
    <x v="1"/>
    <x v="3"/>
    <x v="0"/>
    <x v="0"/>
  </r>
  <r>
    <n v="9281"/>
    <x v="18"/>
    <x v="0"/>
    <x v="2"/>
    <x v="2"/>
    <x v="3"/>
    <x v="3"/>
    <x v="0"/>
    <x v="0"/>
  </r>
  <r>
    <n v="9282"/>
    <x v="18"/>
    <x v="0"/>
    <x v="3"/>
    <x v="3"/>
    <x v="3"/>
    <x v="3"/>
    <x v="0"/>
    <x v="0"/>
  </r>
  <r>
    <n v="9283"/>
    <x v="19"/>
    <x v="0"/>
    <x v="0"/>
    <x v="0"/>
    <x v="0"/>
    <x v="3"/>
    <x v="0"/>
    <x v="0"/>
  </r>
  <r>
    <n v="9284"/>
    <x v="19"/>
    <x v="0"/>
    <x v="0"/>
    <x v="1"/>
    <x v="1"/>
    <x v="3"/>
    <x v="0"/>
    <x v="0"/>
  </r>
  <r>
    <n v="9285"/>
    <x v="19"/>
    <x v="0"/>
    <x v="1"/>
    <x v="1"/>
    <x v="1"/>
    <x v="3"/>
    <x v="0"/>
    <x v="0"/>
  </r>
  <r>
    <n v="9286"/>
    <x v="19"/>
    <x v="0"/>
    <x v="2"/>
    <x v="2"/>
    <x v="2"/>
    <x v="3"/>
    <x v="0"/>
    <x v="0"/>
  </r>
  <r>
    <n v="9287"/>
    <x v="19"/>
    <x v="0"/>
    <x v="3"/>
    <x v="3"/>
    <x v="2"/>
    <x v="3"/>
    <x v="0"/>
    <x v="0"/>
  </r>
  <r>
    <n v="9288"/>
    <x v="19"/>
    <x v="0"/>
    <x v="4"/>
    <x v="4"/>
    <x v="0"/>
    <x v="3"/>
    <x v="0"/>
    <x v="0"/>
  </r>
  <r>
    <n v="9289"/>
    <x v="19"/>
    <x v="0"/>
    <x v="5"/>
    <x v="5"/>
    <x v="0"/>
    <x v="3"/>
    <x v="0"/>
    <x v="0"/>
  </r>
  <r>
    <n v="9290"/>
    <x v="19"/>
    <x v="0"/>
    <x v="6"/>
    <x v="6"/>
    <x v="0"/>
    <x v="3"/>
    <x v="0"/>
    <x v="0"/>
  </r>
  <r>
    <n v="9291"/>
    <x v="19"/>
    <x v="0"/>
    <x v="7"/>
    <x v="7"/>
    <x v="0"/>
    <x v="3"/>
    <x v="0"/>
    <x v="0"/>
  </r>
  <r>
    <n v="9292"/>
    <x v="19"/>
    <x v="0"/>
    <x v="8"/>
    <x v="8"/>
    <x v="1"/>
    <x v="3"/>
    <x v="0"/>
    <x v="0"/>
  </r>
  <r>
    <n v="9293"/>
    <x v="19"/>
    <x v="0"/>
    <x v="9"/>
    <x v="9"/>
    <x v="1"/>
    <x v="3"/>
    <x v="0"/>
    <x v="0"/>
  </r>
  <r>
    <n v="9294"/>
    <x v="19"/>
    <x v="0"/>
    <x v="10"/>
    <x v="10"/>
    <x v="1"/>
    <x v="3"/>
    <x v="0"/>
    <x v="0"/>
  </r>
  <r>
    <n v="9295"/>
    <x v="19"/>
    <x v="0"/>
    <x v="11"/>
    <x v="11"/>
    <x v="1"/>
    <x v="3"/>
    <x v="0"/>
    <x v="0"/>
  </r>
  <r>
    <n v="9296"/>
    <x v="19"/>
    <x v="0"/>
    <x v="7"/>
    <x v="7"/>
    <x v="1"/>
    <x v="3"/>
    <x v="0"/>
    <x v="0"/>
  </r>
  <r>
    <n v="9297"/>
    <x v="19"/>
    <x v="0"/>
    <x v="2"/>
    <x v="2"/>
    <x v="3"/>
    <x v="3"/>
    <x v="0"/>
    <x v="0"/>
  </r>
  <r>
    <n v="9298"/>
    <x v="19"/>
    <x v="0"/>
    <x v="3"/>
    <x v="3"/>
    <x v="3"/>
    <x v="3"/>
    <x v="0"/>
    <x v="0"/>
  </r>
  <r>
    <n v="9299"/>
    <x v="20"/>
    <x v="0"/>
    <x v="0"/>
    <x v="0"/>
    <x v="0"/>
    <x v="3"/>
    <x v="0"/>
    <x v="0"/>
  </r>
  <r>
    <n v="9300"/>
    <x v="20"/>
    <x v="0"/>
    <x v="0"/>
    <x v="1"/>
    <x v="1"/>
    <x v="3"/>
    <x v="0"/>
    <x v="0"/>
  </r>
  <r>
    <n v="9301"/>
    <x v="20"/>
    <x v="0"/>
    <x v="1"/>
    <x v="1"/>
    <x v="1"/>
    <x v="3"/>
    <x v="0"/>
    <x v="0"/>
  </r>
  <r>
    <n v="9302"/>
    <x v="20"/>
    <x v="0"/>
    <x v="2"/>
    <x v="2"/>
    <x v="2"/>
    <x v="3"/>
    <x v="0"/>
    <x v="0"/>
  </r>
  <r>
    <n v="9303"/>
    <x v="20"/>
    <x v="0"/>
    <x v="3"/>
    <x v="3"/>
    <x v="2"/>
    <x v="3"/>
    <x v="0"/>
    <x v="0"/>
  </r>
  <r>
    <n v="9304"/>
    <x v="20"/>
    <x v="0"/>
    <x v="4"/>
    <x v="4"/>
    <x v="0"/>
    <x v="3"/>
    <x v="0"/>
    <x v="0"/>
  </r>
  <r>
    <n v="9305"/>
    <x v="20"/>
    <x v="0"/>
    <x v="5"/>
    <x v="5"/>
    <x v="0"/>
    <x v="3"/>
    <x v="0"/>
    <x v="0"/>
  </r>
  <r>
    <n v="9306"/>
    <x v="20"/>
    <x v="0"/>
    <x v="6"/>
    <x v="6"/>
    <x v="0"/>
    <x v="3"/>
    <x v="0"/>
    <x v="0"/>
  </r>
  <r>
    <n v="9307"/>
    <x v="20"/>
    <x v="0"/>
    <x v="7"/>
    <x v="7"/>
    <x v="0"/>
    <x v="3"/>
    <x v="0"/>
    <x v="0"/>
  </r>
  <r>
    <n v="9308"/>
    <x v="20"/>
    <x v="0"/>
    <x v="8"/>
    <x v="8"/>
    <x v="1"/>
    <x v="3"/>
    <x v="0"/>
    <x v="0"/>
  </r>
  <r>
    <n v="9309"/>
    <x v="20"/>
    <x v="0"/>
    <x v="9"/>
    <x v="9"/>
    <x v="1"/>
    <x v="3"/>
    <x v="0"/>
    <x v="0"/>
  </r>
  <r>
    <n v="9310"/>
    <x v="20"/>
    <x v="0"/>
    <x v="10"/>
    <x v="10"/>
    <x v="1"/>
    <x v="3"/>
    <x v="0"/>
    <x v="0"/>
  </r>
  <r>
    <n v="9311"/>
    <x v="20"/>
    <x v="0"/>
    <x v="11"/>
    <x v="11"/>
    <x v="1"/>
    <x v="3"/>
    <x v="0"/>
    <x v="0"/>
  </r>
  <r>
    <n v="9312"/>
    <x v="20"/>
    <x v="0"/>
    <x v="7"/>
    <x v="7"/>
    <x v="1"/>
    <x v="3"/>
    <x v="0"/>
    <x v="0"/>
  </r>
  <r>
    <n v="9313"/>
    <x v="20"/>
    <x v="0"/>
    <x v="2"/>
    <x v="2"/>
    <x v="3"/>
    <x v="3"/>
    <x v="0"/>
    <x v="0"/>
  </r>
  <r>
    <n v="9314"/>
    <x v="20"/>
    <x v="0"/>
    <x v="3"/>
    <x v="3"/>
    <x v="3"/>
    <x v="3"/>
    <x v="0"/>
    <x v="0"/>
  </r>
  <r>
    <n v="9315"/>
    <x v="21"/>
    <x v="0"/>
    <x v="0"/>
    <x v="0"/>
    <x v="0"/>
    <x v="3"/>
    <x v="0"/>
    <x v="0"/>
  </r>
  <r>
    <n v="9316"/>
    <x v="21"/>
    <x v="0"/>
    <x v="0"/>
    <x v="1"/>
    <x v="1"/>
    <x v="3"/>
    <x v="0"/>
    <x v="0"/>
  </r>
  <r>
    <n v="9317"/>
    <x v="21"/>
    <x v="0"/>
    <x v="1"/>
    <x v="1"/>
    <x v="1"/>
    <x v="3"/>
    <x v="0"/>
    <x v="0"/>
  </r>
  <r>
    <n v="9318"/>
    <x v="21"/>
    <x v="0"/>
    <x v="2"/>
    <x v="2"/>
    <x v="2"/>
    <x v="3"/>
    <x v="0"/>
    <x v="0"/>
  </r>
  <r>
    <n v="9319"/>
    <x v="21"/>
    <x v="0"/>
    <x v="3"/>
    <x v="3"/>
    <x v="2"/>
    <x v="3"/>
    <x v="0"/>
    <x v="0"/>
  </r>
  <r>
    <n v="9320"/>
    <x v="21"/>
    <x v="0"/>
    <x v="4"/>
    <x v="4"/>
    <x v="0"/>
    <x v="3"/>
    <x v="0"/>
    <x v="0"/>
  </r>
  <r>
    <n v="9321"/>
    <x v="21"/>
    <x v="0"/>
    <x v="5"/>
    <x v="5"/>
    <x v="0"/>
    <x v="3"/>
    <x v="0"/>
    <x v="0"/>
  </r>
  <r>
    <n v="9322"/>
    <x v="21"/>
    <x v="0"/>
    <x v="6"/>
    <x v="6"/>
    <x v="0"/>
    <x v="3"/>
    <x v="0"/>
    <x v="0"/>
  </r>
  <r>
    <n v="9323"/>
    <x v="21"/>
    <x v="0"/>
    <x v="7"/>
    <x v="7"/>
    <x v="0"/>
    <x v="3"/>
    <x v="0"/>
    <x v="0"/>
  </r>
  <r>
    <n v="9324"/>
    <x v="21"/>
    <x v="0"/>
    <x v="8"/>
    <x v="8"/>
    <x v="1"/>
    <x v="3"/>
    <x v="0"/>
    <x v="0"/>
  </r>
  <r>
    <n v="9325"/>
    <x v="21"/>
    <x v="0"/>
    <x v="9"/>
    <x v="9"/>
    <x v="1"/>
    <x v="3"/>
    <x v="0"/>
    <x v="0"/>
  </r>
  <r>
    <n v="9326"/>
    <x v="21"/>
    <x v="0"/>
    <x v="10"/>
    <x v="10"/>
    <x v="1"/>
    <x v="3"/>
    <x v="0"/>
    <x v="0"/>
  </r>
  <r>
    <n v="9327"/>
    <x v="21"/>
    <x v="0"/>
    <x v="11"/>
    <x v="11"/>
    <x v="1"/>
    <x v="3"/>
    <x v="0"/>
    <x v="0"/>
  </r>
  <r>
    <n v="9328"/>
    <x v="21"/>
    <x v="0"/>
    <x v="7"/>
    <x v="7"/>
    <x v="1"/>
    <x v="3"/>
    <x v="0"/>
    <x v="0"/>
  </r>
  <r>
    <n v="9329"/>
    <x v="21"/>
    <x v="0"/>
    <x v="2"/>
    <x v="2"/>
    <x v="3"/>
    <x v="3"/>
    <x v="0"/>
    <x v="0"/>
  </r>
  <r>
    <n v="9330"/>
    <x v="21"/>
    <x v="0"/>
    <x v="3"/>
    <x v="3"/>
    <x v="3"/>
    <x v="3"/>
    <x v="0"/>
    <x v="0"/>
  </r>
  <r>
    <n v="9331"/>
    <x v="22"/>
    <x v="0"/>
    <x v="0"/>
    <x v="0"/>
    <x v="0"/>
    <x v="3"/>
    <x v="0"/>
    <x v="0"/>
  </r>
  <r>
    <n v="9332"/>
    <x v="22"/>
    <x v="0"/>
    <x v="0"/>
    <x v="1"/>
    <x v="1"/>
    <x v="3"/>
    <x v="0"/>
    <x v="0"/>
  </r>
  <r>
    <n v="9333"/>
    <x v="22"/>
    <x v="0"/>
    <x v="1"/>
    <x v="1"/>
    <x v="1"/>
    <x v="3"/>
    <x v="0"/>
    <x v="0"/>
  </r>
  <r>
    <n v="9334"/>
    <x v="22"/>
    <x v="0"/>
    <x v="2"/>
    <x v="2"/>
    <x v="2"/>
    <x v="3"/>
    <x v="0"/>
    <x v="0"/>
  </r>
  <r>
    <n v="9335"/>
    <x v="22"/>
    <x v="0"/>
    <x v="3"/>
    <x v="3"/>
    <x v="2"/>
    <x v="3"/>
    <x v="0"/>
    <x v="0"/>
  </r>
  <r>
    <n v="9336"/>
    <x v="22"/>
    <x v="0"/>
    <x v="4"/>
    <x v="4"/>
    <x v="0"/>
    <x v="3"/>
    <x v="0"/>
    <x v="0"/>
  </r>
  <r>
    <n v="9337"/>
    <x v="22"/>
    <x v="0"/>
    <x v="5"/>
    <x v="5"/>
    <x v="0"/>
    <x v="3"/>
    <x v="0"/>
    <x v="0"/>
  </r>
  <r>
    <n v="9338"/>
    <x v="22"/>
    <x v="0"/>
    <x v="6"/>
    <x v="6"/>
    <x v="0"/>
    <x v="3"/>
    <x v="0"/>
    <x v="0"/>
  </r>
  <r>
    <n v="9339"/>
    <x v="22"/>
    <x v="0"/>
    <x v="7"/>
    <x v="7"/>
    <x v="0"/>
    <x v="3"/>
    <x v="0"/>
    <x v="0"/>
  </r>
  <r>
    <n v="9340"/>
    <x v="22"/>
    <x v="0"/>
    <x v="8"/>
    <x v="8"/>
    <x v="1"/>
    <x v="3"/>
    <x v="0"/>
    <x v="0"/>
  </r>
  <r>
    <n v="9341"/>
    <x v="22"/>
    <x v="0"/>
    <x v="9"/>
    <x v="9"/>
    <x v="1"/>
    <x v="3"/>
    <x v="0"/>
    <x v="0"/>
  </r>
  <r>
    <n v="9342"/>
    <x v="22"/>
    <x v="0"/>
    <x v="10"/>
    <x v="10"/>
    <x v="1"/>
    <x v="3"/>
    <x v="0"/>
    <x v="0"/>
  </r>
  <r>
    <n v="9343"/>
    <x v="22"/>
    <x v="0"/>
    <x v="11"/>
    <x v="11"/>
    <x v="1"/>
    <x v="3"/>
    <x v="0"/>
    <x v="0"/>
  </r>
  <r>
    <n v="9344"/>
    <x v="22"/>
    <x v="0"/>
    <x v="7"/>
    <x v="7"/>
    <x v="1"/>
    <x v="3"/>
    <x v="0"/>
    <x v="0"/>
  </r>
  <r>
    <n v="9345"/>
    <x v="22"/>
    <x v="0"/>
    <x v="2"/>
    <x v="2"/>
    <x v="3"/>
    <x v="3"/>
    <x v="0"/>
    <x v="0"/>
  </r>
  <r>
    <n v="9346"/>
    <x v="22"/>
    <x v="0"/>
    <x v="3"/>
    <x v="3"/>
    <x v="3"/>
    <x v="3"/>
    <x v="0"/>
    <x v="0"/>
  </r>
  <r>
    <n v="9347"/>
    <x v="23"/>
    <x v="0"/>
    <x v="0"/>
    <x v="0"/>
    <x v="0"/>
    <x v="4"/>
    <x v="1"/>
    <x v="0"/>
  </r>
  <r>
    <n v="9348"/>
    <x v="23"/>
    <x v="0"/>
    <x v="0"/>
    <x v="1"/>
    <x v="1"/>
    <x v="4"/>
    <x v="1"/>
    <x v="0"/>
  </r>
  <r>
    <n v="9349"/>
    <x v="23"/>
    <x v="0"/>
    <x v="1"/>
    <x v="1"/>
    <x v="1"/>
    <x v="4"/>
    <x v="1"/>
    <x v="0"/>
  </r>
  <r>
    <n v="9350"/>
    <x v="23"/>
    <x v="0"/>
    <x v="2"/>
    <x v="2"/>
    <x v="2"/>
    <x v="4"/>
    <x v="1"/>
    <x v="0"/>
  </r>
  <r>
    <n v="9351"/>
    <x v="23"/>
    <x v="0"/>
    <x v="3"/>
    <x v="3"/>
    <x v="2"/>
    <x v="4"/>
    <x v="1"/>
    <x v="0"/>
  </r>
  <r>
    <n v="9352"/>
    <x v="23"/>
    <x v="0"/>
    <x v="4"/>
    <x v="4"/>
    <x v="0"/>
    <x v="4"/>
    <x v="1"/>
    <x v="0"/>
  </r>
  <r>
    <n v="9353"/>
    <x v="23"/>
    <x v="0"/>
    <x v="5"/>
    <x v="5"/>
    <x v="0"/>
    <x v="4"/>
    <x v="1"/>
    <x v="0"/>
  </r>
  <r>
    <n v="9354"/>
    <x v="23"/>
    <x v="0"/>
    <x v="6"/>
    <x v="6"/>
    <x v="0"/>
    <x v="4"/>
    <x v="1"/>
    <x v="0"/>
  </r>
  <r>
    <n v="9355"/>
    <x v="23"/>
    <x v="0"/>
    <x v="7"/>
    <x v="7"/>
    <x v="0"/>
    <x v="4"/>
    <x v="1"/>
    <x v="0"/>
  </r>
  <r>
    <n v="9356"/>
    <x v="23"/>
    <x v="0"/>
    <x v="8"/>
    <x v="8"/>
    <x v="1"/>
    <x v="4"/>
    <x v="1"/>
    <x v="0"/>
  </r>
  <r>
    <n v="9357"/>
    <x v="23"/>
    <x v="0"/>
    <x v="9"/>
    <x v="9"/>
    <x v="1"/>
    <x v="4"/>
    <x v="1"/>
    <x v="0"/>
  </r>
  <r>
    <n v="9358"/>
    <x v="23"/>
    <x v="0"/>
    <x v="10"/>
    <x v="10"/>
    <x v="1"/>
    <x v="4"/>
    <x v="1"/>
    <x v="0"/>
  </r>
  <r>
    <n v="9359"/>
    <x v="23"/>
    <x v="0"/>
    <x v="11"/>
    <x v="11"/>
    <x v="1"/>
    <x v="4"/>
    <x v="1"/>
    <x v="0"/>
  </r>
  <r>
    <n v="9360"/>
    <x v="23"/>
    <x v="0"/>
    <x v="7"/>
    <x v="7"/>
    <x v="1"/>
    <x v="4"/>
    <x v="1"/>
    <x v="0"/>
  </r>
  <r>
    <n v="9361"/>
    <x v="23"/>
    <x v="0"/>
    <x v="2"/>
    <x v="2"/>
    <x v="3"/>
    <x v="4"/>
    <x v="1"/>
    <x v="0"/>
  </r>
  <r>
    <n v="9362"/>
    <x v="23"/>
    <x v="0"/>
    <x v="3"/>
    <x v="3"/>
    <x v="3"/>
    <x v="4"/>
    <x v="1"/>
    <x v="0"/>
  </r>
  <r>
    <n v="9363"/>
    <x v="24"/>
    <x v="0"/>
    <x v="0"/>
    <x v="0"/>
    <x v="0"/>
    <x v="4"/>
    <x v="1"/>
    <x v="0"/>
  </r>
  <r>
    <n v="9364"/>
    <x v="24"/>
    <x v="0"/>
    <x v="0"/>
    <x v="1"/>
    <x v="1"/>
    <x v="4"/>
    <x v="1"/>
    <x v="0"/>
  </r>
  <r>
    <n v="9365"/>
    <x v="24"/>
    <x v="0"/>
    <x v="1"/>
    <x v="1"/>
    <x v="1"/>
    <x v="4"/>
    <x v="1"/>
    <x v="0"/>
  </r>
  <r>
    <n v="9366"/>
    <x v="24"/>
    <x v="0"/>
    <x v="2"/>
    <x v="2"/>
    <x v="2"/>
    <x v="4"/>
    <x v="1"/>
    <x v="0"/>
  </r>
  <r>
    <n v="9367"/>
    <x v="24"/>
    <x v="0"/>
    <x v="3"/>
    <x v="3"/>
    <x v="2"/>
    <x v="4"/>
    <x v="1"/>
    <x v="0"/>
  </r>
  <r>
    <n v="9368"/>
    <x v="24"/>
    <x v="0"/>
    <x v="4"/>
    <x v="4"/>
    <x v="0"/>
    <x v="4"/>
    <x v="1"/>
    <x v="0"/>
  </r>
  <r>
    <n v="9369"/>
    <x v="24"/>
    <x v="0"/>
    <x v="5"/>
    <x v="5"/>
    <x v="0"/>
    <x v="4"/>
    <x v="1"/>
    <x v="0"/>
  </r>
  <r>
    <n v="9370"/>
    <x v="24"/>
    <x v="0"/>
    <x v="6"/>
    <x v="6"/>
    <x v="0"/>
    <x v="4"/>
    <x v="1"/>
    <x v="0"/>
  </r>
  <r>
    <n v="9371"/>
    <x v="24"/>
    <x v="0"/>
    <x v="7"/>
    <x v="7"/>
    <x v="0"/>
    <x v="4"/>
    <x v="1"/>
    <x v="0"/>
  </r>
  <r>
    <n v="9372"/>
    <x v="24"/>
    <x v="0"/>
    <x v="8"/>
    <x v="8"/>
    <x v="1"/>
    <x v="4"/>
    <x v="1"/>
    <x v="0"/>
  </r>
  <r>
    <n v="9373"/>
    <x v="24"/>
    <x v="0"/>
    <x v="9"/>
    <x v="9"/>
    <x v="1"/>
    <x v="4"/>
    <x v="1"/>
    <x v="0"/>
  </r>
  <r>
    <n v="9374"/>
    <x v="24"/>
    <x v="0"/>
    <x v="10"/>
    <x v="10"/>
    <x v="1"/>
    <x v="4"/>
    <x v="1"/>
    <x v="0"/>
  </r>
  <r>
    <n v="9375"/>
    <x v="24"/>
    <x v="0"/>
    <x v="11"/>
    <x v="11"/>
    <x v="1"/>
    <x v="4"/>
    <x v="1"/>
    <x v="0"/>
  </r>
  <r>
    <n v="9376"/>
    <x v="24"/>
    <x v="0"/>
    <x v="7"/>
    <x v="7"/>
    <x v="1"/>
    <x v="4"/>
    <x v="1"/>
    <x v="0"/>
  </r>
  <r>
    <n v="9377"/>
    <x v="24"/>
    <x v="0"/>
    <x v="2"/>
    <x v="2"/>
    <x v="3"/>
    <x v="4"/>
    <x v="1"/>
    <x v="0"/>
  </r>
  <r>
    <n v="9378"/>
    <x v="24"/>
    <x v="0"/>
    <x v="3"/>
    <x v="3"/>
    <x v="3"/>
    <x v="4"/>
    <x v="1"/>
    <x v="0"/>
  </r>
  <r>
    <n v="9379"/>
    <x v="25"/>
    <x v="0"/>
    <x v="0"/>
    <x v="0"/>
    <x v="0"/>
    <x v="4"/>
    <x v="1"/>
    <x v="0"/>
  </r>
  <r>
    <n v="9380"/>
    <x v="25"/>
    <x v="0"/>
    <x v="0"/>
    <x v="1"/>
    <x v="1"/>
    <x v="4"/>
    <x v="1"/>
    <x v="0"/>
  </r>
  <r>
    <n v="9381"/>
    <x v="25"/>
    <x v="0"/>
    <x v="1"/>
    <x v="1"/>
    <x v="1"/>
    <x v="4"/>
    <x v="1"/>
    <x v="0"/>
  </r>
  <r>
    <n v="9382"/>
    <x v="25"/>
    <x v="0"/>
    <x v="2"/>
    <x v="2"/>
    <x v="2"/>
    <x v="4"/>
    <x v="1"/>
    <x v="0"/>
  </r>
  <r>
    <n v="9383"/>
    <x v="25"/>
    <x v="0"/>
    <x v="3"/>
    <x v="3"/>
    <x v="2"/>
    <x v="4"/>
    <x v="1"/>
    <x v="0"/>
  </r>
  <r>
    <n v="9384"/>
    <x v="25"/>
    <x v="0"/>
    <x v="4"/>
    <x v="4"/>
    <x v="0"/>
    <x v="4"/>
    <x v="1"/>
    <x v="0"/>
  </r>
  <r>
    <n v="9385"/>
    <x v="25"/>
    <x v="0"/>
    <x v="5"/>
    <x v="5"/>
    <x v="0"/>
    <x v="4"/>
    <x v="1"/>
    <x v="0"/>
  </r>
  <r>
    <n v="9386"/>
    <x v="25"/>
    <x v="0"/>
    <x v="6"/>
    <x v="6"/>
    <x v="0"/>
    <x v="4"/>
    <x v="1"/>
    <x v="0"/>
  </r>
  <r>
    <n v="9387"/>
    <x v="25"/>
    <x v="0"/>
    <x v="7"/>
    <x v="7"/>
    <x v="0"/>
    <x v="4"/>
    <x v="1"/>
    <x v="0"/>
  </r>
  <r>
    <n v="9388"/>
    <x v="25"/>
    <x v="0"/>
    <x v="8"/>
    <x v="8"/>
    <x v="1"/>
    <x v="4"/>
    <x v="1"/>
    <x v="0"/>
  </r>
  <r>
    <n v="9389"/>
    <x v="25"/>
    <x v="0"/>
    <x v="9"/>
    <x v="9"/>
    <x v="1"/>
    <x v="4"/>
    <x v="1"/>
    <x v="0"/>
  </r>
  <r>
    <n v="9390"/>
    <x v="25"/>
    <x v="0"/>
    <x v="10"/>
    <x v="10"/>
    <x v="1"/>
    <x v="4"/>
    <x v="1"/>
    <x v="0"/>
  </r>
  <r>
    <n v="9391"/>
    <x v="25"/>
    <x v="0"/>
    <x v="11"/>
    <x v="11"/>
    <x v="1"/>
    <x v="4"/>
    <x v="1"/>
    <x v="0"/>
  </r>
  <r>
    <n v="9392"/>
    <x v="25"/>
    <x v="0"/>
    <x v="7"/>
    <x v="7"/>
    <x v="1"/>
    <x v="4"/>
    <x v="1"/>
    <x v="0"/>
  </r>
  <r>
    <n v="9393"/>
    <x v="25"/>
    <x v="0"/>
    <x v="2"/>
    <x v="2"/>
    <x v="3"/>
    <x v="4"/>
    <x v="1"/>
    <x v="0"/>
  </r>
  <r>
    <n v="9394"/>
    <x v="25"/>
    <x v="0"/>
    <x v="3"/>
    <x v="3"/>
    <x v="3"/>
    <x v="4"/>
    <x v="1"/>
    <x v="0"/>
  </r>
  <r>
    <n v="9395"/>
    <x v="26"/>
    <x v="0"/>
    <x v="0"/>
    <x v="0"/>
    <x v="0"/>
    <x v="4"/>
    <x v="1"/>
    <x v="0"/>
  </r>
  <r>
    <n v="9396"/>
    <x v="26"/>
    <x v="0"/>
    <x v="0"/>
    <x v="1"/>
    <x v="1"/>
    <x v="4"/>
    <x v="1"/>
    <x v="0"/>
  </r>
  <r>
    <n v="9397"/>
    <x v="26"/>
    <x v="0"/>
    <x v="1"/>
    <x v="1"/>
    <x v="1"/>
    <x v="4"/>
    <x v="1"/>
    <x v="0"/>
  </r>
  <r>
    <n v="9398"/>
    <x v="26"/>
    <x v="0"/>
    <x v="2"/>
    <x v="2"/>
    <x v="2"/>
    <x v="4"/>
    <x v="1"/>
    <x v="0"/>
  </r>
  <r>
    <n v="9399"/>
    <x v="26"/>
    <x v="0"/>
    <x v="3"/>
    <x v="3"/>
    <x v="2"/>
    <x v="4"/>
    <x v="1"/>
    <x v="0"/>
  </r>
  <r>
    <n v="9400"/>
    <x v="26"/>
    <x v="0"/>
    <x v="4"/>
    <x v="4"/>
    <x v="0"/>
    <x v="4"/>
    <x v="1"/>
    <x v="0"/>
  </r>
  <r>
    <n v="9401"/>
    <x v="26"/>
    <x v="0"/>
    <x v="5"/>
    <x v="5"/>
    <x v="0"/>
    <x v="4"/>
    <x v="1"/>
    <x v="0"/>
  </r>
  <r>
    <n v="9402"/>
    <x v="26"/>
    <x v="0"/>
    <x v="6"/>
    <x v="6"/>
    <x v="0"/>
    <x v="4"/>
    <x v="1"/>
    <x v="0"/>
  </r>
  <r>
    <n v="9403"/>
    <x v="26"/>
    <x v="0"/>
    <x v="7"/>
    <x v="7"/>
    <x v="0"/>
    <x v="4"/>
    <x v="1"/>
    <x v="0"/>
  </r>
  <r>
    <n v="9404"/>
    <x v="26"/>
    <x v="0"/>
    <x v="8"/>
    <x v="8"/>
    <x v="1"/>
    <x v="4"/>
    <x v="1"/>
    <x v="0"/>
  </r>
  <r>
    <n v="9405"/>
    <x v="26"/>
    <x v="0"/>
    <x v="9"/>
    <x v="9"/>
    <x v="1"/>
    <x v="4"/>
    <x v="1"/>
    <x v="0"/>
  </r>
  <r>
    <n v="9406"/>
    <x v="26"/>
    <x v="0"/>
    <x v="10"/>
    <x v="10"/>
    <x v="1"/>
    <x v="4"/>
    <x v="1"/>
    <x v="0"/>
  </r>
  <r>
    <n v="9407"/>
    <x v="26"/>
    <x v="0"/>
    <x v="11"/>
    <x v="11"/>
    <x v="1"/>
    <x v="4"/>
    <x v="1"/>
    <x v="0"/>
  </r>
  <r>
    <n v="9408"/>
    <x v="26"/>
    <x v="0"/>
    <x v="7"/>
    <x v="7"/>
    <x v="1"/>
    <x v="4"/>
    <x v="1"/>
    <x v="0"/>
  </r>
  <r>
    <n v="9409"/>
    <x v="26"/>
    <x v="0"/>
    <x v="2"/>
    <x v="2"/>
    <x v="3"/>
    <x v="4"/>
    <x v="1"/>
    <x v="0"/>
  </r>
  <r>
    <n v="9410"/>
    <x v="26"/>
    <x v="0"/>
    <x v="3"/>
    <x v="3"/>
    <x v="3"/>
    <x v="4"/>
    <x v="1"/>
    <x v="0"/>
  </r>
  <r>
    <n v="9411"/>
    <x v="27"/>
    <x v="0"/>
    <x v="0"/>
    <x v="0"/>
    <x v="0"/>
    <x v="5"/>
    <x v="2"/>
    <x v="1"/>
  </r>
  <r>
    <n v="9412"/>
    <x v="27"/>
    <x v="0"/>
    <x v="0"/>
    <x v="1"/>
    <x v="1"/>
    <x v="5"/>
    <x v="2"/>
    <x v="1"/>
  </r>
  <r>
    <n v="9414"/>
    <x v="27"/>
    <x v="0"/>
    <x v="2"/>
    <x v="2"/>
    <x v="2"/>
    <x v="5"/>
    <x v="2"/>
    <x v="1"/>
  </r>
  <r>
    <n v="9415"/>
    <x v="27"/>
    <x v="0"/>
    <x v="3"/>
    <x v="3"/>
    <x v="2"/>
    <x v="5"/>
    <x v="2"/>
    <x v="1"/>
  </r>
  <r>
    <n v="9416"/>
    <x v="27"/>
    <x v="0"/>
    <x v="4"/>
    <x v="4"/>
    <x v="0"/>
    <x v="5"/>
    <x v="2"/>
    <x v="1"/>
  </r>
  <r>
    <n v="9417"/>
    <x v="27"/>
    <x v="0"/>
    <x v="5"/>
    <x v="5"/>
    <x v="0"/>
    <x v="5"/>
    <x v="2"/>
    <x v="1"/>
  </r>
  <r>
    <n v="9418"/>
    <x v="27"/>
    <x v="0"/>
    <x v="6"/>
    <x v="6"/>
    <x v="0"/>
    <x v="5"/>
    <x v="2"/>
    <x v="1"/>
  </r>
  <r>
    <n v="9419"/>
    <x v="27"/>
    <x v="0"/>
    <x v="7"/>
    <x v="7"/>
    <x v="0"/>
    <x v="5"/>
    <x v="2"/>
    <x v="1"/>
  </r>
  <r>
    <n v="9420"/>
    <x v="27"/>
    <x v="0"/>
    <x v="8"/>
    <x v="8"/>
    <x v="1"/>
    <x v="5"/>
    <x v="2"/>
    <x v="1"/>
  </r>
  <r>
    <n v="9421"/>
    <x v="27"/>
    <x v="0"/>
    <x v="9"/>
    <x v="9"/>
    <x v="1"/>
    <x v="5"/>
    <x v="2"/>
    <x v="1"/>
  </r>
  <r>
    <n v="9422"/>
    <x v="27"/>
    <x v="0"/>
    <x v="10"/>
    <x v="10"/>
    <x v="1"/>
    <x v="5"/>
    <x v="2"/>
    <x v="1"/>
  </r>
  <r>
    <n v="9423"/>
    <x v="27"/>
    <x v="0"/>
    <x v="11"/>
    <x v="11"/>
    <x v="1"/>
    <x v="5"/>
    <x v="2"/>
    <x v="1"/>
  </r>
  <r>
    <n v="9424"/>
    <x v="27"/>
    <x v="0"/>
    <x v="7"/>
    <x v="7"/>
    <x v="1"/>
    <x v="5"/>
    <x v="2"/>
    <x v="1"/>
  </r>
  <r>
    <n v="9425"/>
    <x v="27"/>
    <x v="0"/>
    <x v="2"/>
    <x v="2"/>
    <x v="3"/>
    <x v="5"/>
    <x v="2"/>
    <x v="1"/>
  </r>
  <r>
    <n v="9426"/>
    <x v="27"/>
    <x v="0"/>
    <x v="3"/>
    <x v="3"/>
    <x v="3"/>
    <x v="5"/>
    <x v="2"/>
    <x v="1"/>
  </r>
  <r>
    <n v="9427"/>
    <x v="28"/>
    <x v="0"/>
    <x v="0"/>
    <x v="0"/>
    <x v="0"/>
    <x v="5"/>
    <x v="2"/>
    <x v="1"/>
  </r>
  <r>
    <n v="9428"/>
    <x v="28"/>
    <x v="0"/>
    <x v="0"/>
    <x v="1"/>
    <x v="1"/>
    <x v="5"/>
    <x v="2"/>
    <x v="1"/>
  </r>
  <r>
    <n v="9429"/>
    <x v="28"/>
    <x v="0"/>
    <x v="1"/>
    <x v="1"/>
    <x v="1"/>
    <x v="5"/>
    <x v="2"/>
    <x v="1"/>
  </r>
  <r>
    <n v="9430"/>
    <x v="28"/>
    <x v="0"/>
    <x v="2"/>
    <x v="2"/>
    <x v="2"/>
    <x v="5"/>
    <x v="2"/>
    <x v="1"/>
  </r>
  <r>
    <n v="9431"/>
    <x v="28"/>
    <x v="0"/>
    <x v="3"/>
    <x v="3"/>
    <x v="2"/>
    <x v="5"/>
    <x v="2"/>
    <x v="1"/>
  </r>
  <r>
    <n v="9432"/>
    <x v="28"/>
    <x v="0"/>
    <x v="4"/>
    <x v="4"/>
    <x v="0"/>
    <x v="5"/>
    <x v="2"/>
    <x v="1"/>
  </r>
  <r>
    <n v="9433"/>
    <x v="28"/>
    <x v="0"/>
    <x v="5"/>
    <x v="5"/>
    <x v="0"/>
    <x v="5"/>
    <x v="2"/>
    <x v="1"/>
  </r>
  <r>
    <n v="9434"/>
    <x v="28"/>
    <x v="0"/>
    <x v="6"/>
    <x v="6"/>
    <x v="0"/>
    <x v="5"/>
    <x v="2"/>
    <x v="1"/>
  </r>
  <r>
    <n v="9435"/>
    <x v="28"/>
    <x v="0"/>
    <x v="7"/>
    <x v="7"/>
    <x v="0"/>
    <x v="5"/>
    <x v="2"/>
    <x v="1"/>
  </r>
  <r>
    <n v="9436"/>
    <x v="28"/>
    <x v="0"/>
    <x v="8"/>
    <x v="8"/>
    <x v="1"/>
    <x v="5"/>
    <x v="2"/>
    <x v="1"/>
  </r>
  <r>
    <n v="9437"/>
    <x v="28"/>
    <x v="0"/>
    <x v="9"/>
    <x v="9"/>
    <x v="1"/>
    <x v="5"/>
    <x v="2"/>
    <x v="1"/>
  </r>
  <r>
    <n v="9438"/>
    <x v="28"/>
    <x v="0"/>
    <x v="10"/>
    <x v="10"/>
    <x v="1"/>
    <x v="5"/>
    <x v="2"/>
    <x v="1"/>
  </r>
  <r>
    <n v="9439"/>
    <x v="28"/>
    <x v="0"/>
    <x v="11"/>
    <x v="11"/>
    <x v="1"/>
    <x v="5"/>
    <x v="2"/>
    <x v="1"/>
  </r>
  <r>
    <n v="9440"/>
    <x v="28"/>
    <x v="0"/>
    <x v="7"/>
    <x v="7"/>
    <x v="1"/>
    <x v="5"/>
    <x v="2"/>
    <x v="1"/>
  </r>
  <r>
    <n v="9441"/>
    <x v="28"/>
    <x v="0"/>
    <x v="2"/>
    <x v="2"/>
    <x v="3"/>
    <x v="5"/>
    <x v="2"/>
    <x v="1"/>
  </r>
  <r>
    <n v="9442"/>
    <x v="28"/>
    <x v="0"/>
    <x v="3"/>
    <x v="3"/>
    <x v="3"/>
    <x v="5"/>
    <x v="2"/>
    <x v="1"/>
  </r>
  <r>
    <n v="9443"/>
    <x v="29"/>
    <x v="0"/>
    <x v="0"/>
    <x v="0"/>
    <x v="0"/>
    <x v="6"/>
    <x v="3"/>
    <x v="1"/>
  </r>
  <r>
    <n v="9444"/>
    <x v="29"/>
    <x v="0"/>
    <x v="0"/>
    <x v="1"/>
    <x v="1"/>
    <x v="6"/>
    <x v="3"/>
    <x v="1"/>
  </r>
  <r>
    <n v="9445"/>
    <x v="29"/>
    <x v="0"/>
    <x v="1"/>
    <x v="1"/>
    <x v="1"/>
    <x v="6"/>
    <x v="3"/>
    <x v="1"/>
  </r>
  <r>
    <n v="9446"/>
    <x v="29"/>
    <x v="0"/>
    <x v="2"/>
    <x v="2"/>
    <x v="2"/>
    <x v="6"/>
    <x v="3"/>
    <x v="1"/>
  </r>
  <r>
    <n v="9447"/>
    <x v="29"/>
    <x v="0"/>
    <x v="3"/>
    <x v="3"/>
    <x v="2"/>
    <x v="6"/>
    <x v="3"/>
    <x v="1"/>
  </r>
  <r>
    <n v="9448"/>
    <x v="29"/>
    <x v="0"/>
    <x v="4"/>
    <x v="4"/>
    <x v="0"/>
    <x v="6"/>
    <x v="3"/>
    <x v="1"/>
  </r>
  <r>
    <n v="9449"/>
    <x v="29"/>
    <x v="0"/>
    <x v="5"/>
    <x v="5"/>
    <x v="0"/>
    <x v="6"/>
    <x v="3"/>
    <x v="1"/>
  </r>
  <r>
    <n v="9450"/>
    <x v="29"/>
    <x v="0"/>
    <x v="6"/>
    <x v="6"/>
    <x v="0"/>
    <x v="6"/>
    <x v="3"/>
    <x v="1"/>
  </r>
  <r>
    <n v="9451"/>
    <x v="29"/>
    <x v="0"/>
    <x v="7"/>
    <x v="7"/>
    <x v="0"/>
    <x v="6"/>
    <x v="3"/>
    <x v="1"/>
  </r>
  <r>
    <n v="9452"/>
    <x v="29"/>
    <x v="0"/>
    <x v="8"/>
    <x v="8"/>
    <x v="1"/>
    <x v="6"/>
    <x v="3"/>
    <x v="1"/>
  </r>
  <r>
    <n v="9453"/>
    <x v="29"/>
    <x v="0"/>
    <x v="9"/>
    <x v="9"/>
    <x v="1"/>
    <x v="6"/>
    <x v="3"/>
    <x v="1"/>
  </r>
  <r>
    <n v="9454"/>
    <x v="29"/>
    <x v="0"/>
    <x v="10"/>
    <x v="10"/>
    <x v="1"/>
    <x v="6"/>
    <x v="3"/>
    <x v="1"/>
  </r>
  <r>
    <n v="9455"/>
    <x v="29"/>
    <x v="0"/>
    <x v="11"/>
    <x v="11"/>
    <x v="1"/>
    <x v="6"/>
    <x v="3"/>
    <x v="1"/>
  </r>
  <r>
    <n v="9456"/>
    <x v="29"/>
    <x v="0"/>
    <x v="7"/>
    <x v="7"/>
    <x v="1"/>
    <x v="6"/>
    <x v="3"/>
    <x v="1"/>
  </r>
  <r>
    <n v="9457"/>
    <x v="29"/>
    <x v="0"/>
    <x v="2"/>
    <x v="2"/>
    <x v="3"/>
    <x v="6"/>
    <x v="3"/>
    <x v="1"/>
  </r>
  <r>
    <n v="9458"/>
    <x v="29"/>
    <x v="0"/>
    <x v="3"/>
    <x v="3"/>
    <x v="3"/>
    <x v="6"/>
    <x v="3"/>
    <x v="1"/>
  </r>
  <r>
    <n v="9459"/>
    <x v="30"/>
    <x v="0"/>
    <x v="0"/>
    <x v="0"/>
    <x v="0"/>
    <x v="6"/>
    <x v="3"/>
    <x v="1"/>
  </r>
  <r>
    <n v="9460"/>
    <x v="30"/>
    <x v="0"/>
    <x v="0"/>
    <x v="1"/>
    <x v="1"/>
    <x v="6"/>
    <x v="3"/>
    <x v="1"/>
  </r>
  <r>
    <n v="9461"/>
    <x v="30"/>
    <x v="0"/>
    <x v="1"/>
    <x v="1"/>
    <x v="1"/>
    <x v="6"/>
    <x v="3"/>
    <x v="1"/>
  </r>
  <r>
    <n v="9462"/>
    <x v="30"/>
    <x v="0"/>
    <x v="2"/>
    <x v="2"/>
    <x v="2"/>
    <x v="6"/>
    <x v="3"/>
    <x v="1"/>
  </r>
  <r>
    <n v="9463"/>
    <x v="30"/>
    <x v="0"/>
    <x v="3"/>
    <x v="3"/>
    <x v="2"/>
    <x v="6"/>
    <x v="3"/>
    <x v="1"/>
  </r>
  <r>
    <n v="9464"/>
    <x v="30"/>
    <x v="0"/>
    <x v="4"/>
    <x v="4"/>
    <x v="0"/>
    <x v="6"/>
    <x v="3"/>
    <x v="1"/>
  </r>
  <r>
    <n v="9465"/>
    <x v="30"/>
    <x v="0"/>
    <x v="5"/>
    <x v="5"/>
    <x v="0"/>
    <x v="6"/>
    <x v="3"/>
    <x v="1"/>
  </r>
  <r>
    <n v="9466"/>
    <x v="30"/>
    <x v="0"/>
    <x v="6"/>
    <x v="6"/>
    <x v="0"/>
    <x v="6"/>
    <x v="3"/>
    <x v="1"/>
  </r>
  <r>
    <n v="9467"/>
    <x v="30"/>
    <x v="0"/>
    <x v="7"/>
    <x v="7"/>
    <x v="0"/>
    <x v="6"/>
    <x v="3"/>
    <x v="1"/>
  </r>
  <r>
    <n v="9468"/>
    <x v="30"/>
    <x v="0"/>
    <x v="8"/>
    <x v="8"/>
    <x v="1"/>
    <x v="6"/>
    <x v="3"/>
    <x v="1"/>
  </r>
  <r>
    <n v="9469"/>
    <x v="30"/>
    <x v="0"/>
    <x v="9"/>
    <x v="9"/>
    <x v="1"/>
    <x v="6"/>
    <x v="3"/>
    <x v="1"/>
  </r>
  <r>
    <n v="9470"/>
    <x v="30"/>
    <x v="0"/>
    <x v="10"/>
    <x v="10"/>
    <x v="1"/>
    <x v="6"/>
    <x v="3"/>
    <x v="1"/>
  </r>
  <r>
    <n v="9471"/>
    <x v="30"/>
    <x v="0"/>
    <x v="11"/>
    <x v="11"/>
    <x v="1"/>
    <x v="6"/>
    <x v="3"/>
    <x v="1"/>
  </r>
  <r>
    <n v="9472"/>
    <x v="30"/>
    <x v="0"/>
    <x v="7"/>
    <x v="7"/>
    <x v="1"/>
    <x v="6"/>
    <x v="3"/>
    <x v="1"/>
  </r>
  <r>
    <n v="9473"/>
    <x v="30"/>
    <x v="0"/>
    <x v="2"/>
    <x v="2"/>
    <x v="3"/>
    <x v="6"/>
    <x v="3"/>
    <x v="1"/>
  </r>
  <r>
    <n v="9474"/>
    <x v="30"/>
    <x v="0"/>
    <x v="3"/>
    <x v="3"/>
    <x v="3"/>
    <x v="6"/>
    <x v="3"/>
    <x v="1"/>
  </r>
  <r>
    <n v="9475"/>
    <x v="31"/>
    <x v="0"/>
    <x v="0"/>
    <x v="0"/>
    <x v="0"/>
    <x v="7"/>
    <x v="4"/>
    <x v="1"/>
  </r>
  <r>
    <n v="9476"/>
    <x v="31"/>
    <x v="0"/>
    <x v="0"/>
    <x v="1"/>
    <x v="1"/>
    <x v="7"/>
    <x v="4"/>
    <x v="1"/>
  </r>
  <r>
    <n v="9477"/>
    <x v="31"/>
    <x v="0"/>
    <x v="1"/>
    <x v="1"/>
    <x v="1"/>
    <x v="7"/>
    <x v="4"/>
    <x v="1"/>
  </r>
  <r>
    <n v="9478"/>
    <x v="31"/>
    <x v="0"/>
    <x v="2"/>
    <x v="2"/>
    <x v="2"/>
    <x v="7"/>
    <x v="4"/>
    <x v="1"/>
  </r>
  <r>
    <n v="9479"/>
    <x v="31"/>
    <x v="0"/>
    <x v="3"/>
    <x v="3"/>
    <x v="2"/>
    <x v="7"/>
    <x v="4"/>
    <x v="1"/>
  </r>
  <r>
    <n v="9480"/>
    <x v="31"/>
    <x v="0"/>
    <x v="4"/>
    <x v="4"/>
    <x v="0"/>
    <x v="7"/>
    <x v="4"/>
    <x v="1"/>
  </r>
  <r>
    <n v="9481"/>
    <x v="31"/>
    <x v="0"/>
    <x v="5"/>
    <x v="5"/>
    <x v="0"/>
    <x v="7"/>
    <x v="4"/>
    <x v="1"/>
  </r>
  <r>
    <n v="9482"/>
    <x v="31"/>
    <x v="0"/>
    <x v="6"/>
    <x v="6"/>
    <x v="0"/>
    <x v="7"/>
    <x v="4"/>
    <x v="1"/>
  </r>
  <r>
    <n v="9483"/>
    <x v="31"/>
    <x v="0"/>
    <x v="7"/>
    <x v="7"/>
    <x v="0"/>
    <x v="7"/>
    <x v="4"/>
    <x v="1"/>
  </r>
  <r>
    <n v="9484"/>
    <x v="31"/>
    <x v="0"/>
    <x v="8"/>
    <x v="8"/>
    <x v="1"/>
    <x v="7"/>
    <x v="4"/>
    <x v="1"/>
  </r>
  <r>
    <n v="9485"/>
    <x v="31"/>
    <x v="0"/>
    <x v="9"/>
    <x v="9"/>
    <x v="1"/>
    <x v="7"/>
    <x v="4"/>
    <x v="1"/>
  </r>
  <r>
    <n v="9486"/>
    <x v="31"/>
    <x v="0"/>
    <x v="10"/>
    <x v="10"/>
    <x v="1"/>
    <x v="7"/>
    <x v="4"/>
    <x v="1"/>
  </r>
  <r>
    <n v="9487"/>
    <x v="31"/>
    <x v="0"/>
    <x v="11"/>
    <x v="11"/>
    <x v="1"/>
    <x v="7"/>
    <x v="4"/>
    <x v="1"/>
  </r>
  <r>
    <n v="9488"/>
    <x v="31"/>
    <x v="0"/>
    <x v="7"/>
    <x v="7"/>
    <x v="1"/>
    <x v="7"/>
    <x v="4"/>
    <x v="1"/>
  </r>
  <r>
    <n v="9489"/>
    <x v="31"/>
    <x v="0"/>
    <x v="2"/>
    <x v="2"/>
    <x v="3"/>
    <x v="7"/>
    <x v="4"/>
    <x v="1"/>
  </r>
  <r>
    <n v="9490"/>
    <x v="31"/>
    <x v="0"/>
    <x v="3"/>
    <x v="3"/>
    <x v="3"/>
    <x v="7"/>
    <x v="4"/>
    <x v="1"/>
  </r>
  <r>
    <n v="9491"/>
    <x v="29"/>
    <x v="0"/>
    <x v="0"/>
    <x v="0"/>
    <x v="0"/>
    <x v="7"/>
    <x v="4"/>
    <x v="1"/>
  </r>
  <r>
    <n v="9492"/>
    <x v="29"/>
    <x v="0"/>
    <x v="0"/>
    <x v="1"/>
    <x v="1"/>
    <x v="7"/>
    <x v="4"/>
    <x v="1"/>
  </r>
  <r>
    <n v="9493"/>
    <x v="29"/>
    <x v="0"/>
    <x v="1"/>
    <x v="1"/>
    <x v="1"/>
    <x v="7"/>
    <x v="4"/>
    <x v="1"/>
  </r>
  <r>
    <n v="9494"/>
    <x v="29"/>
    <x v="0"/>
    <x v="2"/>
    <x v="2"/>
    <x v="2"/>
    <x v="7"/>
    <x v="4"/>
    <x v="1"/>
  </r>
  <r>
    <n v="9495"/>
    <x v="29"/>
    <x v="0"/>
    <x v="3"/>
    <x v="3"/>
    <x v="2"/>
    <x v="7"/>
    <x v="4"/>
    <x v="1"/>
  </r>
  <r>
    <n v="9496"/>
    <x v="29"/>
    <x v="0"/>
    <x v="4"/>
    <x v="4"/>
    <x v="0"/>
    <x v="7"/>
    <x v="4"/>
    <x v="1"/>
  </r>
  <r>
    <n v="9497"/>
    <x v="29"/>
    <x v="0"/>
    <x v="5"/>
    <x v="5"/>
    <x v="0"/>
    <x v="7"/>
    <x v="4"/>
    <x v="1"/>
  </r>
  <r>
    <n v="9498"/>
    <x v="29"/>
    <x v="0"/>
    <x v="6"/>
    <x v="6"/>
    <x v="0"/>
    <x v="7"/>
    <x v="4"/>
    <x v="1"/>
  </r>
  <r>
    <n v="9499"/>
    <x v="29"/>
    <x v="0"/>
    <x v="7"/>
    <x v="7"/>
    <x v="0"/>
    <x v="7"/>
    <x v="4"/>
    <x v="1"/>
  </r>
  <r>
    <n v="9500"/>
    <x v="29"/>
    <x v="0"/>
    <x v="8"/>
    <x v="8"/>
    <x v="1"/>
    <x v="7"/>
    <x v="4"/>
    <x v="1"/>
  </r>
  <r>
    <n v="9501"/>
    <x v="29"/>
    <x v="0"/>
    <x v="9"/>
    <x v="9"/>
    <x v="1"/>
    <x v="7"/>
    <x v="4"/>
    <x v="1"/>
  </r>
  <r>
    <n v="9502"/>
    <x v="29"/>
    <x v="0"/>
    <x v="10"/>
    <x v="10"/>
    <x v="1"/>
    <x v="7"/>
    <x v="4"/>
    <x v="1"/>
  </r>
  <r>
    <n v="9503"/>
    <x v="29"/>
    <x v="0"/>
    <x v="11"/>
    <x v="11"/>
    <x v="1"/>
    <x v="7"/>
    <x v="4"/>
    <x v="1"/>
  </r>
  <r>
    <n v="9504"/>
    <x v="29"/>
    <x v="0"/>
    <x v="7"/>
    <x v="7"/>
    <x v="1"/>
    <x v="7"/>
    <x v="4"/>
    <x v="1"/>
  </r>
  <r>
    <n v="9505"/>
    <x v="29"/>
    <x v="0"/>
    <x v="2"/>
    <x v="2"/>
    <x v="3"/>
    <x v="7"/>
    <x v="4"/>
    <x v="1"/>
  </r>
  <r>
    <n v="9506"/>
    <x v="29"/>
    <x v="0"/>
    <x v="3"/>
    <x v="3"/>
    <x v="3"/>
    <x v="7"/>
    <x v="4"/>
    <x v="1"/>
  </r>
  <r>
    <n v="9507"/>
    <x v="30"/>
    <x v="0"/>
    <x v="0"/>
    <x v="0"/>
    <x v="0"/>
    <x v="7"/>
    <x v="4"/>
    <x v="1"/>
  </r>
  <r>
    <n v="9508"/>
    <x v="30"/>
    <x v="0"/>
    <x v="0"/>
    <x v="1"/>
    <x v="1"/>
    <x v="7"/>
    <x v="4"/>
    <x v="1"/>
  </r>
  <r>
    <n v="9509"/>
    <x v="30"/>
    <x v="0"/>
    <x v="1"/>
    <x v="1"/>
    <x v="1"/>
    <x v="7"/>
    <x v="4"/>
    <x v="1"/>
  </r>
  <r>
    <n v="9510"/>
    <x v="30"/>
    <x v="0"/>
    <x v="2"/>
    <x v="2"/>
    <x v="2"/>
    <x v="7"/>
    <x v="4"/>
    <x v="1"/>
  </r>
  <r>
    <n v="9511"/>
    <x v="30"/>
    <x v="0"/>
    <x v="3"/>
    <x v="3"/>
    <x v="2"/>
    <x v="7"/>
    <x v="4"/>
    <x v="1"/>
  </r>
  <r>
    <n v="9512"/>
    <x v="30"/>
    <x v="0"/>
    <x v="4"/>
    <x v="4"/>
    <x v="0"/>
    <x v="7"/>
    <x v="4"/>
    <x v="1"/>
  </r>
  <r>
    <n v="9513"/>
    <x v="30"/>
    <x v="0"/>
    <x v="5"/>
    <x v="5"/>
    <x v="0"/>
    <x v="7"/>
    <x v="4"/>
    <x v="1"/>
  </r>
  <r>
    <n v="9514"/>
    <x v="30"/>
    <x v="0"/>
    <x v="6"/>
    <x v="6"/>
    <x v="0"/>
    <x v="7"/>
    <x v="4"/>
    <x v="1"/>
  </r>
  <r>
    <n v="9515"/>
    <x v="30"/>
    <x v="0"/>
    <x v="7"/>
    <x v="7"/>
    <x v="0"/>
    <x v="7"/>
    <x v="4"/>
    <x v="1"/>
  </r>
  <r>
    <n v="9516"/>
    <x v="30"/>
    <x v="0"/>
    <x v="8"/>
    <x v="8"/>
    <x v="1"/>
    <x v="7"/>
    <x v="4"/>
    <x v="1"/>
  </r>
  <r>
    <n v="9517"/>
    <x v="30"/>
    <x v="0"/>
    <x v="9"/>
    <x v="9"/>
    <x v="1"/>
    <x v="7"/>
    <x v="4"/>
    <x v="1"/>
  </r>
  <r>
    <n v="9518"/>
    <x v="30"/>
    <x v="0"/>
    <x v="10"/>
    <x v="10"/>
    <x v="1"/>
    <x v="7"/>
    <x v="4"/>
    <x v="1"/>
  </r>
  <r>
    <n v="9519"/>
    <x v="30"/>
    <x v="0"/>
    <x v="11"/>
    <x v="11"/>
    <x v="1"/>
    <x v="7"/>
    <x v="4"/>
    <x v="1"/>
  </r>
  <r>
    <n v="9520"/>
    <x v="30"/>
    <x v="0"/>
    <x v="7"/>
    <x v="7"/>
    <x v="1"/>
    <x v="7"/>
    <x v="4"/>
    <x v="1"/>
  </r>
  <r>
    <n v="9521"/>
    <x v="30"/>
    <x v="0"/>
    <x v="2"/>
    <x v="2"/>
    <x v="3"/>
    <x v="7"/>
    <x v="4"/>
    <x v="1"/>
  </r>
  <r>
    <n v="9522"/>
    <x v="30"/>
    <x v="0"/>
    <x v="3"/>
    <x v="3"/>
    <x v="3"/>
    <x v="7"/>
    <x v="4"/>
    <x v="1"/>
  </r>
  <r>
    <n v="9523"/>
    <x v="32"/>
    <x v="0"/>
    <x v="0"/>
    <x v="0"/>
    <x v="0"/>
    <x v="8"/>
    <x v="5"/>
    <x v="1"/>
  </r>
  <r>
    <n v="9524"/>
    <x v="32"/>
    <x v="0"/>
    <x v="0"/>
    <x v="1"/>
    <x v="1"/>
    <x v="8"/>
    <x v="5"/>
    <x v="1"/>
  </r>
  <r>
    <n v="9525"/>
    <x v="32"/>
    <x v="0"/>
    <x v="1"/>
    <x v="1"/>
    <x v="1"/>
    <x v="8"/>
    <x v="5"/>
    <x v="1"/>
  </r>
  <r>
    <n v="9526"/>
    <x v="32"/>
    <x v="0"/>
    <x v="2"/>
    <x v="2"/>
    <x v="2"/>
    <x v="8"/>
    <x v="5"/>
    <x v="1"/>
  </r>
  <r>
    <n v="9527"/>
    <x v="32"/>
    <x v="0"/>
    <x v="3"/>
    <x v="3"/>
    <x v="2"/>
    <x v="8"/>
    <x v="5"/>
    <x v="1"/>
  </r>
  <r>
    <n v="9528"/>
    <x v="32"/>
    <x v="0"/>
    <x v="4"/>
    <x v="4"/>
    <x v="0"/>
    <x v="8"/>
    <x v="5"/>
    <x v="1"/>
  </r>
  <r>
    <n v="9529"/>
    <x v="32"/>
    <x v="0"/>
    <x v="5"/>
    <x v="5"/>
    <x v="0"/>
    <x v="8"/>
    <x v="5"/>
    <x v="1"/>
  </r>
  <r>
    <n v="9530"/>
    <x v="32"/>
    <x v="0"/>
    <x v="6"/>
    <x v="6"/>
    <x v="0"/>
    <x v="8"/>
    <x v="5"/>
    <x v="1"/>
  </r>
  <r>
    <n v="9531"/>
    <x v="32"/>
    <x v="0"/>
    <x v="7"/>
    <x v="7"/>
    <x v="0"/>
    <x v="8"/>
    <x v="5"/>
    <x v="1"/>
  </r>
  <r>
    <n v="9532"/>
    <x v="32"/>
    <x v="0"/>
    <x v="8"/>
    <x v="8"/>
    <x v="1"/>
    <x v="8"/>
    <x v="5"/>
    <x v="1"/>
  </r>
  <r>
    <n v="9533"/>
    <x v="32"/>
    <x v="0"/>
    <x v="9"/>
    <x v="9"/>
    <x v="1"/>
    <x v="8"/>
    <x v="5"/>
    <x v="1"/>
  </r>
  <r>
    <n v="9534"/>
    <x v="32"/>
    <x v="0"/>
    <x v="10"/>
    <x v="10"/>
    <x v="1"/>
    <x v="8"/>
    <x v="5"/>
    <x v="1"/>
  </r>
  <r>
    <n v="9535"/>
    <x v="32"/>
    <x v="0"/>
    <x v="11"/>
    <x v="11"/>
    <x v="1"/>
    <x v="8"/>
    <x v="5"/>
    <x v="1"/>
  </r>
  <r>
    <n v="9536"/>
    <x v="32"/>
    <x v="0"/>
    <x v="7"/>
    <x v="7"/>
    <x v="1"/>
    <x v="8"/>
    <x v="5"/>
    <x v="1"/>
  </r>
  <r>
    <n v="9537"/>
    <x v="32"/>
    <x v="0"/>
    <x v="2"/>
    <x v="2"/>
    <x v="3"/>
    <x v="8"/>
    <x v="5"/>
    <x v="1"/>
  </r>
  <r>
    <n v="9538"/>
    <x v="32"/>
    <x v="0"/>
    <x v="3"/>
    <x v="3"/>
    <x v="3"/>
    <x v="8"/>
    <x v="5"/>
    <x v="1"/>
  </r>
  <r>
    <n v="9539"/>
    <x v="33"/>
    <x v="0"/>
    <x v="0"/>
    <x v="0"/>
    <x v="0"/>
    <x v="4"/>
    <x v="1"/>
    <x v="0"/>
  </r>
  <r>
    <n v="9540"/>
    <x v="33"/>
    <x v="0"/>
    <x v="0"/>
    <x v="1"/>
    <x v="1"/>
    <x v="4"/>
    <x v="1"/>
    <x v="0"/>
  </r>
  <r>
    <n v="9541"/>
    <x v="33"/>
    <x v="0"/>
    <x v="1"/>
    <x v="1"/>
    <x v="1"/>
    <x v="4"/>
    <x v="1"/>
    <x v="0"/>
  </r>
  <r>
    <n v="9542"/>
    <x v="33"/>
    <x v="0"/>
    <x v="2"/>
    <x v="2"/>
    <x v="2"/>
    <x v="4"/>
    <x v="1"/>
    <x v="0"/>
  </r>
  <r>
    <n v="9543"/>
    <x v="33"/>
    <x v="0"/>
    <x v="3"/>
    <x v="3"/>
    <x v="2"/>
    <x v="4"/>
    <x v="1"/>
    <x v="0"/>
  </r>
  <r>
    <n v="9544"/>
    <x v="33"/>
    <x v="0"/>
    <x v="4"/>
    <x v="4"/>
    <x v="0"/>
    <x v="4"/>
    <x v="1"/>
    <x v="0"/>
  </r>
  <r>
    <n v="9545"/>
    <x v="33"/>
    <x v="0"/>
    <x v="5"/>
    <x v="5"/>
    <x v="0"/>
    <x v="4"/>
    <x v="1"/>
    <x v="0"/>
  </r>
  <r>
    <n v="9546"/>
    <x v="33"/>
    <x v="0"/>
    <x v="6"/>
    <x v="6"/>
    <x v="0"/>
    <x v="4"/>
    <x v="1"/>
    <x v="0"/>
  </r>
  <r>
    <n v="9547"/>
    <x v="33"/>
    <x v="0"/>
    <x v="7"/>
    <x v="7"/>
    <x v="0"/>
    <x v="4"/>
    <x v="1"/>
    <x v="0"/>
  </r>
  <r>
    <n v="9548"/>
    <x v="33"/>
    <x v="0"/>
    <x v="8"/>
    <x v="8"/>
    <x v="1"/>
    <x v="4"/>
    <x v="1"/>
    <x v="0"/>
  </r>
  <r>
    <n v="9549"/>
    <x v="33"/>
    <x v="0"/>
    <x v="9"/>
    <x v="9"/>
    <x v="1"/>
    <x v="4"/>
    <x v="1"/>
    <x v="0"/>
  </r>
  <r>
    <n v="9550"/>
    <x v="33"/>
    <x v="0"/>
    <x v="10"/>
    <x v="10"/>
    <x v="1"/>
    <x v="4"/>
    <x v="1"/>
    <x v="0"/>
  </r>
  <r>
    <n v="9551"/>
    <x v="33"/>
    <x v="0"/>
    <x v="11"/>
    <x v="11"/>
    <x v="1"/>
    <x v="4"/>
    <x v="1"/>
    <x v="0"/>
  </r>
  <r>
    <n v="9552"/>
    <x v="33"/>
    <x v="0"/>
    <x v="7"/>
    <x v="7"/>
    <x v="1"/>
    <x v="4"/>
    <x v="1"/>
    <x v="0"/>
  </r>
  <r>
    <n v="9553"/>
    <x v="33"/>
    <x v="0"/>
    <x v="2"/>
    <x v="2"/>
    <x v="3"/>
    <x v="4"/>
    <x v="1"/>
    <x v="0"/>
  </r>
  <r>
    <n v="9554"/>
    <x v="33"/>
    <x v="0"/>
    <x v="3"/>
    <x v="3"/>
    <x v="3"/>
    <x v="4"/>
    <x v="1"/>
    <x v="0"/>
  </r>
  <r>
    <n v="9555"/>
    <x v="34"/>
    <x v="0"/>
    <x v="0"/>
    <x v="0"/>
    <x v="0"/>
    <x v="9"/>
    <x v="1"/>
    <x v="0"/>
  </r>
  <r>
    <n v="9556"/>
    <x v="34"/>
    <x v="0"/>
    <x v="0"/>
    <x v="1"/>
    <x v="1"/>
    <x v="9"/>
    <x v="1"/>
    <x v="0"/>
  </r>
  <r>
    <n v="9557"/>
    <x v="34"/>
    <x v="0"/>
    <x v="1"/>
    <x v="1"/>
    <x v="1"/>
    <x v="9"/>
    <x v="1"/>
    <x v="0"/>
  </r>
  <r>
    <n v="9558"/>
    <x v="34"/>
    <x v="0"/>
    <x v="2"/>
    <x v="2"/>
    <x v="2"/>
    <x v="9"/>
    <x v="1"/>
    <x v="0"/>
  </r>
  <r>
    <n v="9559"/>
    <x v="34"/>
    <x v="0"/>
    <x v="3"/>
    <x v="3"/>
    <x v="2"/>
    <x v="9"/>
    <x v="1"/>
    <x v="0"/>
  </r>
  <r>
    <n v="9560"/>
    <x v="34"/>
    <x v="0"/>
    <x v="4"/>
    <x v="4"/>
    <x v="0"/>
    <x v="9"/>
    <x v="1"/>
    <x v="0"/>
  </r>
  <r>
    <n v="9561"/>
    <x v="34"/>
    <x v="0"/>
    <x v="5"/>
    <x v="5"/>
    <x v="0"/>
    <x v="9"/>
    <x v="1"/>
    <x v="0"/>
  </r>
  <r>
    <n v="9562"/>
    <x v="34"/>
    <x v="0"/>
    <x v="6"/>
    <x v="6"/>
    <x v="0"/>
    <x v="9"/>
    <x v="1"/>
    <x v="0"/>
  </r>
  <r>
    <n v="9563"/>
    <x v="34"/>
    <x v="0"/>
    <x v="7"/>
    <x v="7"/>
    <x v="0"/>
    <x v="9"/>
    <x v="1"/>
    <x v="0"/>
  </r>
  <r>
    <n v="9564"/>
    <x v="34"/>
    <x v="0"/>
    <x v="8"/>
    <x v="8"/>
    <x v="1"/>
    <x v="9"/>
    <x v="1"/>
    <x v="0"/>
  </r>
  <r>
    <n v="9565"/>
    <x v="34"/>
    <x v="0"/>
    <x v="9"/>
    <x v="9"/>
    <x v="1"/>
    <x v="9"/>
    <x v="1"/>
    <x v="0"/>
  </r>
  <r>
    <n v="9566"/>
    <x v="34"/>
    <x v="0"/>
    <x v="10"/>
    <x v="10"/>
    <x v="1"/>
    <x v="9"/>
    <x v="1"/>
    <x v="0"/>
  </r>
  <r>
    <n v="9567"/>
    <x v="34"/>
    <x v="0"/>
    <x v="11"/>
    <x v="11"/>
    <x v="1"/>
    <x v="9"/>
    <x v="1"/>
    <x v="0"/>
  </r>
  <r>
    <n v="9568"/>
    <x v="34"/>
    <x v="0"/>
    <x v="7"/>
    <x v="7"/>
    <x v="1"/>
    <x v="9"/>
    <x v="1"/>
    <x v="0"/>
  </r>
  <r>
    <n v="9569"/>
    <x v="34"/>
    <x v="0"/>
    <x v="2"/>
    <x v="2"/>
    <x v="3"/>
    <x v="9"/>
    <x v="1"/>
    <x v="0"/>
  </r>
  <r>
    <n v="9570"/>
    <x v="34"/>
    <x v="0"/>
    <x v="3"/>
    <x v="3"/>
    <x v="3"/>
    <x v="9"/>
    <x v="1"/>
    <x v="0"/>
  </r>
  <r>
    <n v="9571"/>
    <x v="35"/>
    <x v="0"/>
    <x v="0"/>
    <x v="0"/>
    <x v="0"/>
    <x v="2"/>
    <x v="1"/>
    <x v="0"/>
  </r>
  <r>
    <n v="9572"/>
    <x v="35"/>
    <x v="0"/>
    <x v="0"/>
    <x v="1"/>
    <x v="1"/>
    <x v="2"/>
    <x v="1"/>
    <x v="0"/>
  </r>
  <r>
    <n v="9573"/>
    <x v="35"/>
    <x v="0"/>
    <x v="1"/>
    <x v="1"/>
    <x v="1"/>
    <x v="2"/>
    <x v="1"/>
    <x v="0"/>
  </r>
  <r>
    <n v="9574"/>
    <x v="35"/>
    <x v="0"/>
    <x v="2"/>
    <x v="2"/>
    <x v="2"/>
    <x v="2"/>
    <x v="1"/>
    <x v="0"/>
  </r>
  <r>
    <n v="9575"/>
    <x v="35"/>
    <x v="0"/>
    <x v="3"/>
    <x v="3"/>
    <x v="2"/>
    <x v="2"/>
    <x v="1"/>
    <x v="0"/>
  </r>
  <r>
    <n v="9576"/>
    <x v="35"/>
    <x v="0"/>
    <x v="4"/>
    <x v="4"/>
    <x v="0"/>
    <x v="2"/>
    <x v="1"/>
    <x v="0"/>
  </r>
  <r>
    <n v="9577"/>
    <x v="35"/>
    <x v="0"/>
    <x v="5"/>
    <x v="5"/>
    <x v="0"/>
    <x v="2"/>
    <x v="1"/>
    <x v="0"/>
  </r>
  <r>
    <n v="9578"/>
    <x v="35"/>
    <x v="0"/>
    <x v="6"/>
    <x v="6"/>
    <x v="0"/>
    <x v="2"/>
    <x v="1"/>
    <x v="0"/>
  </r>
  <r>
    <n v="9579"/>
    <x v="35"/>
    <x v="0"/>
    <x v="7"/>
    <x v="7"/>
    <x v="0"/>
    <x v="2"/>
    <x v="1"/>
    <x v="0"/>
  </r>
  <r>
    <n v="9580"/>
    <x v="35"/>
    <x v="0"/>
    <x v="8"/>
    <x v="8"/>
    <x v="1"/>
    <x v="2"/>
    <x v="1"/>
    <x v="0"/>
  </r>
  <r>
    <n v="9581"/>
    <x v="35"/>
    <x v="0"/>
    <x v="9"/>
    <x v="9"/>
    <x v="1"/>
    <x v="2"/>
    <x v="1"/>
    <x v="0"/>
  </r>
  <r>
    <n v="9582"/>
    <x v="35"/>
    <x v="0"/>
    <x v="10"/>
    <x v="10"/>
    <x v="1"/>
    <x v="2"/>
    <x v="1"/>
    <x v="0"/>
  </r>
  <r>
    <n v="9583"/>
    <x v="35"/>
    <x v="0"/>
    <x v="11"/>
    <x v="11"/>
    <x v="1"/>
    <x v="2"/>
    <x v="1"/>
    <x v="0"/>
  </r>
  <r>
    <n v="9584"/>
    <x v="35"/>
    <x v="0"/>
    <x v="7"/>
    <x v="7"/>
    <x v="1"/>
    <x v="2"/>
    <x v="1"/>
    <x v="0"/>
  </r>
  <r>
    <n v="9585"/>
    <x v="35"/>
    <x v="0"/>
    <x v="2"/>
    <x v="2"/>
    <x v="3"/>
    <x v="2"/>
    <x v="1"/>
    <x v="0"/>
  </r>
  <r>
    <n v="9586"/>
    <x v="35"/>
    <x v="0"/>
    <x v="3"/>
    <x v="3"/>
    <x v="3"/>
    <x v="2"/>
    <x v="1"/>
    <x v="0"/>
  </r>
  <r>
    <n v="9587"/>
    <x v="36"/>
    <x v="0"/>
    <x v="0"/>
    <x v="0"/>
    <x v="0"/>
    <x v="2"/>
    <x v="1"/>
    <x v="0"/>
  </r>
  <r>
    <n v="9588"/>
    <x v="36"/>
    <x v="0"/>
    <x v="0"/>
    <x v="1"/>
    <x v="1"/>
    <x v="2"/>
    <x v="1"/>
    <x v="0"/>
  </r>
  <r>
    <n v="9589"/>
    <x v="36"/>
    <x v="0"/>
    <x v="1"/>
    <x v="1"/>
    <x v="1"/>
    <x v="2"/>
    <x v="1"/>
    <x v="0"/>
  </r>
  <r>
    <n v="9590"/>
    <x v="36"/>
    <x v="0"/>
    <x v="2"/>
    <x v="2"/>
    <x v="2"/>
    <x v="2"/>
    <x v="1"/>
    <x v="0"/>
  </r>
  <r>
    <n v="9591"/>
    <x v="36"/>
    <x v="0"/>
    <x v="3"/>
    <x v="3"/>
    <x v="2"/>
    <x v="2"/>
    <x v="1"/>
    <x v="0"/>
  </r>
  <r>
    <n v="9592"/>
    <x v="36"/>
    <x v="0"/>
    <x v="4"/>
    <x v="4"/>
    <x v="0"/>
    <x v="2"/>
    <x v="1"/>
    <x v="0"/>
  </r>
  <r>
    <n v="9593"/>
    <x v="36"/>
    <x v="0"/>
    <x v="5"/>
    <x v="5"/>
    <x v="0"/>
    <x v="2"/>
    <x v="1"/>
    <x v="0"/>
  </r>
  <r>
    <n v="9594"/>
    <x v="36"/>
    <x v="0"/>
    <x v="6"/>
    <x v="6"/>
    <x v="0"/>
    <x v="2"/>
    <x v="1"/>
    <x v="0"/>
  </r>
  <r>
    <n v="9595"/>
    <x v="36"/>
    <x v="0"/>
    <x v="7"/>
    <x v="7"/>
    <x v="0"/>
    <x v="2"/>
    <x v="1"/>
    <x v="0"/>
  </r>
  <r>
    <n v="9596"/>
    <x v="36"/>
    <x v="0"/>
    <x v="8"/>
    <x v="8"/>
    <x v="1"/>
    <x v="2"/>
    <x v="1"/>
    <x v="0"/>
  </r>
  <r>
    <n v="9597"/>
    <x v="36"/>
    <x v="0"/>
    <x v="9"/>
    <x v="9"/>
    <x v="1"/>
    <x v="2"/>
    <x v="1"/>
    <x v="0"/>
  </r>
  <r>
    <n v="9598"/>
    <x v="36"/>
    <x v="0"/>
    <x v="10"/>
    <x v="10"/>
    <x v="1"/>
    <x v="2"/>
    <x v="1"/>
    <x v="0"/>
  </r>
  <r>
    <n v="9599"/>
    <x v="36"/>
    <x v="0"/>
    <x v="11"/>
    <x v="11"/>
    <x v="1"/>
    <x v="2"/>
    <x v="1"/>
    <x v="0"/>
  </r>
  <r>
    <n v="9600"/>
    <x v="36"/>
    <x v="0"/>
    <x v="7"/>
    <x v="7"/>
    <x v="1"/>
    <x v="2"/>
    <x v="1"/>
    <x v="0"/>
  </r>
  <r>
    <n v="9601"/>
    <x v="36"/>
    <x v="0"/>
    <x v="2"/>
    <x v="2"/>
    <x v="3"/>
    <x v="2"/>
    <x v="1"/>
    <x v="0"/>
  </r>
  <r>
    <n v="9602"/>
    <x v="36"/>
    <x v="0"/>
    <x v="3"/>
    <x v="3"/>
    <x v="3"/>
    <x v="2"/>
    <x v="1"/>
    <x v="0"/>
  </r>
  <r>
    <n v="9603"/>
    <x v="37"/>
    <x v="0"/>
    <x v="0"/>
    <x v="0"/>
    <x v="0"/>
    <x v="2"/>
    <x v="1"/>
    <x v="0"/>
  </r>
  <r>
    <n v="9604"/>
    <x v="37"/>
    <x v="0"/>
    <x v="0"/>
    <x v="1"/>
    <x v="1"/>
    <x v="2"/>
    <x v="1"/>
    <x v="0"/>
  </r>
  <r>
    <n v="9605"/>
    <x v="37"/>
    <x v="0"/>
    <x v="1"/>
    <x v="1"/>
    <x v="1"/>
    <x v="2"/>
    <x v="1"/>
    <x v="0"/>
  </r>
  <r>
    <n v="9606"/>
    <x v="37"/>
    <x v="0"/>
    <x v="2"/>
    <x v="2"/>
    <x v="2"/>
    <x v="2"/>
    <x v="1"/>
    <x v="0"/>
  </r>
  <r>
    <n v="9607"/>
    <x v="37"/>
    <x v="0"/>
    <x v="3"/>
    <x v="3"/>
    <x v="2"/>
    <x v="2"/>
    <x v="1"/>
    <x v="0"/>
  </r>
  <r>
    <n v="9608"/>
    <x v="37"/>
    <x v="0"/>
    <x v="4"/>
    <x v="4"/>
    <x v="0"/>
    <x v="2"/>
    <x v="1"/>
    <x v="0"/>
  </r>
  <r>
    <n v="9609"/>
    <x v="37"/>
    <x v="0"/>
    <x v="5"/>
    <x v="5"/>
    <x v="0"/>
    <x v="2"/>
    <x v="1"/>
    <x v="0"/>
  </r>
  <r>
    <n v="9610"/>
    <x v="37"/>
    <x v="0"/>
    <x v="6"/>
    <x v="6"/>
    <x v="0"/>
    <x v="2"/>
    <x v="1"/>
    <x v="0"/>
  </r>
  <r>
    <n v="9611"/>
    <x v="37"/>
    <x v="0"/>
    <x v="7"/>
    <x v="7"/>
    <x v="0"/>
    <x v="2"/>
    <x v="1"/>
    <x v="0"/>
  </r>
  <r>
    <n v="9612"/>
    <x v="37"/>
    <x v="0"/>
    <x v="8"/>
    <x v="8"/>
    <x v="1"/>
    <x v="2"/>
    <x v="1"/>
    <x v="0"/>
  </r>
  <r>
    <n v="9613"/>
    <x v="37"/>
    <x v="0"/>
    <x v="9"/>
    <x v="9"/>
    <x v="1"/>
    <x v="2"/>
    <x v="1"/>
    <x v="0"/>
  </r>
  <r>
    <n v="9614"/>
    <x v="37"/>
    <x v="0"/>
    <x v="10"/>
    <x v="10"/>
    <x v="1"/>
    <x v="2"/>
    <x v="1"/>
    <x v="0"/>
  </r>
  <r>
    <n v="9615"/>
    <x v="37"/>
    <x v="0"/>
    <x v="11"/>
    <x v="11"/>
    <x v="1"/>
    <x v="2"/>
    <x v="1"/>
    <x v="0"/>
  </r>
  <r>
    <n v="9616"/>
    <x v="37"/>
    <x v="0"/>
    <x v="7"/>
    <x v="7"/>
    <x v="1"/>
    <x v="2"/>
    <x v="1"/>
    <x v="0"/>
  </r>
  <r>
    <n v="9617"/>
    <x v="37"/>
    <x v="0"/>
    <x v="2"/>
    <x v="2"/>
    <x v="3"/>
    <x v="2"/>
    <x v="1"/>
    <x v="0"/>
  </r>
  <r>
    <n v="9618"/>
    <x v="37"/>
    <x v="0"/>
    <x v="3"/>
    <x v="3"/>
    <x v="3"/>
    <x v="2"/>
    <x v="1"/>
    <x v="0"/>
  </r>
  <r>
    <n v="9619"/>
    <x v="38"/>
    <x v="0"/>
    <x v="0"/>
    <x v="0"/>
    <x v="0"/>
    <x v="2"/>
    <x v="1"/>
    <x v="0"/>
  </r>
  <r>
    <n v="9620"/>
    <x v="38"/>
    <x v="0"/>
    <x v="0"/>
    <x v="1"/>
    <x v="1"/>
    <x v="2"/>
    <x v="1"/>
    <x v="0"/>
  </r>
  <r>
    <n v="9621"/>
    <x v="38"/>
    <x v="0"/>
    <x v="1"/>
    <x v="1"/>
    <x v="1"/>
    <x v="2"/>
    <x v="1"/>
    <x v="0"/>
  </r>
  <r>
    <n v="9622"/>
    <x v="38"/>
    <x v="0"/>
    <x v="2"/>
    <x v="2"/>
    <x v="2"/>
    <x v="2"/>
    <x v="1"/>
    <x v="0"/>
  </r>
  <r>
    <n v="9623"/>
    <x v="38"/>
    <x v="0"/>
    <x v="3"/>
    <x v="3"/>
    <x v="2"/>
    <x v="2"/>
    <x v="1"/>
    <x v="0"/>
  </r>
  <r>
    <n v="9624"/>
    <x v="38"/>
    <x v="0"/>
    <x v="4"/>
    <x v="4"/>
    <x v="0"/>
    <x v="2"/>
    <x v="1"/>
    <x v="0"/>
  </r>
  <r>
    <n v="9625"/>
    <x v="38"/>
    <x v="0"/>
    <x v="5"/>
    <x v="5"/>
    <x v="0"/>
    <x v="2"/>
    <x v="1"/>
    <x v="0"/>
  </r>
  <r>
    <n v="9626"/>
    <x v="38"/>
    <x v="0"/>
    <x v="6"/>
    <x v="6"/>
    <x v="0"/>
    <x v="2"/>
    <x v="1"/>
    <x v="0"/>
  </r>
  <r>
    <n v="9627"/>
    <x v="38"/>
    <x v="0"/>
    <x v="7"/>
    <x v="7"/>
    <x v="0"/>
    <x v="2"/>
    <x v="1"/>
    <x v="0"/>
  </r>
  <r>
    <n v="9628"/>
    <x v="38"/>
    <x v="0"/>
    <x v="8"/>
    <x v="8"/>
    <x v="1"/>
    <x v="2"/>
    <x v="1"/>
    <x v="0"/>
  </r>
  <r>
    <n v="9629"/>
    <x v="38"/>
    <x v="0"/>
    <x v="9"/>
    <x v="9"/>
    <x v="1"/>
    <x v="2"/>
    <x v="1"/>
    <x v="0"/>
  </r>
  <r>
    <n v="9630"/>
    <x v="38"/>
    <x v="0"/>
    <x v="10"/>
    <x v="10"/>
    <x v="1"/>
    <x v="2"/>
    <x v="1"/>
    <x v="0"/>
  </r>
  <r>
    <n v="9631"/>
    <x v="38"/>
    <x v="0"/>
    <x v="11"/>
    <x v="11"/>
    <x v="1"/>
    <x v="2"/>
    <x v="1"/>
    <x v="0"/>
  </r>
  <r>
    <n v="9632"/>
    <x v="38"/>
    <x v="0"/>
    <x v="7"/>
    <x v="7"/>
    <x v="1"/>
    <x v="2"/>
    <x v="1"/>
    <x v="0"/>
  </r>
  <r>
    <n v="9633"/>
    <x v="38"/>
    <x v="0"/>
    <x v="2"/>
    <x v="2"/>
    <x v="3"/>
    <x v="2"/>
    <x v="1"/>
    <x v="0"/>
  </r>
  <r>
    <n v="9634"/>
    <x v="38"/>
    <x v="0"/>
    <x v="3"/>
    <x v="3"/>
    <x v="3"/>
    <x v="2"/>
    <x v="1"/>
    <x v="0"/>
  </r>
  <r>
    <n v="9635"/>
    <x v="39"/>
    <x v="0"/>
    <x v="0"/>
    <x v="0"/>
    <x v="0"/>
    <x v="2"/>
    <x v="1"/>
    <x v="0"/>
  </r>
  <r>
    <n v="9636"/>
    <x v="39"/>
    <x v="0"/>
    <x v="0"/>
    <x v="1"/>
    <x v="1"/>
    <x v="2"/>
    <x v="1"/>
    <x v="0"/>
  </r>
  <r>
    <n v="9637"/>
    <x v="39"/>
    <x v="0"/>
    <x v="1"/>
    <x v="1"/>
    <x v="1"/>
    <x v="2"/>
    <x v="1"/>
    <x v="0"/>
  </r>
  <r>
    <n v="9638"/>
    <x v="39"/>
    <x v="0"/>
    <x v="2"/>
    <x v="2"/>
    <x v="2"/>
    <x v="2"/>
    <x v="1"/>
    <x v="0"/>
  </r>
  <r>
    <n v="9639"/>
    <x v="39"/>
    <x v="0"/>
    <x v="3"/>
    <x v="3"/>
    <x v="2"/>
    <x v="2"/>
    <x v="1"/>
    <x v="0"/>
  </r>
  <r>
    <n v="9640"/>
    <x v="39"/>
    <x v="0"/>
    <x v="4"/>
    <x v="4"/>
    <x v="0"/>
    <x v="2"/>
    <x v="1"/>
    <x v="0"/>
  </r>
  <r>
    <n v="9641"/>
    <x v="39"/>
    <x v="0"/>
    <x v="5"/>
    <x v="5"/>
    <x v="0"/>
    <x v="2"/>
    <x v="1"/>
    <x v="0"/>
  </r>
  <r>
    <n v="9642"/>
    <x v="39"/>
    <x v="0"/>
    <x v="6"/>
    <x v="6"/>
    <x v="0"/>
    <x v="2"/>
    <x v="1"/>
    <x v="0"/>
  </r>
  <r>
    <n v="9643"/>
    <x v="39"/>
    <x v="0"/>
    <x v="7"/>
    <x v="7"/>
    <x v="0"/>
    <x v="2"/>
    <x v="1"/>
    <x v="0"/>
  </r>
  <r>
    <n v="9644"/>
    <x v="39"/>
    <x v="0"/>
    <x v="8"/>
    <x v="8"/>
    <x v="1"/>
    <x v="2"/>
    <x v="1"/>
    <x v="0"/>
  </r>
  <r>
    <n v="9645"/>
    <x v="39"/>
    <x v="0"/>
    <x v="9"/>
    <x v="9"/>
    <x v="1"/>
    <x v="2"/>
    <x v="1"/>
    <x v="0"/>
  </r>
  <r>
    <n v="9646"/>
    <x v="39"/>
    <x v="0"/>
    <x v="10"/>
    <x v="10"/>
    <x v="1"/>
    <x v="2"/>
    <x v="1"/>
    <x v="0"/>
  </r>
  <r>
    <n v="9647"/>
    <x v="39"/>
    <x v="0"/>
    <x v="11"/>
    <x v="11"/>
    <x v="1"/>
    <x v="2"/>
    <x v="1"/>
    <x v="0"/>
  </r>
  <r>
    <n v="9648"/>
    <x v="39"/>
    <x v="0"/>
    <x v="7"/>
    <x v="7"/>
    <x v="1"/>
    <x v="2"/>
    <x v="1"/>
    <x v="0"/>
  </r>
  <r>
    <n v="9649"/>
    <x v="39"/>
    <x v="0"/>
    <x v="2"/>
    <x v="2"/>
    <x v="3"/>
    <x v="2"/>
    <x v="1"/>
    <x v="0"/>
  </r>
  <r>
    <n v="9650"/>
    <x v="39"/>
    <x v="0"/>
    <x v="3"/>
    <x v="3"/>
    <x v="3"/>
    <x v="2"/>
    <x v="1"/>
    <x v="0"/>
  </r>
  <r>
    <n v="9651"/>
    <x v="40"/>
    <x v="0"/>
    <x v="0"/>
    <x v="0"/>
    <x v="0"/>
    <x v="2"/>
    <x v="1"/>
    <x v="0"/>
  </r>
  <r>
    <n v="9652"/>
    <x v="40"/>
    <x v="0"/>
    <x v="0"/>
    <x v="1"/>
    <x v="1"/>
    <x v="2"/>
    <x v="1"/>
    <x v="0"/>
  </r>
  <r>
    <n v="9653"/>
    <x v="40"/>
    <x v="0"/>
    <x v="1"/>
    <x v="1"/>
    <x v="1"/>
    <x v="2"/>
    <x v="1"/>
    <x v="0"/>
  </r>
  <r>
    <n v="9654"/>
    <x v="40"/>
    <x v="0"/>
    <x v="2"/>
    <x v="2"/>
    <x v="2"/>
    <x v="2"/>
    <x v="1"/>
    <x v="0"/>
  </r>
  <r>
    <n v="9655"/>
    <x v="40"/>
    <x v="0"/>
    <x v="3"/>
    <x v="3"/>
    <x v="2"/>
    <x v="2"/>
    <x v="1"/>
    <x v="0"/>
  </r>
  <r>
    <n v="9656"/>
    <x v="40"/>
    <x v="0"/>
    <x v="4"/>
    <x v="4"/>
    <x v="0"/>
    <x v="2"/>
    <x v="1"/>
    <x v="0"/>
  </r>
  <r>
    <n v="9657"/>
    <x v="40"/>
    <x v="0"/>
    <x v="5"/>
    <x v="5"/>
    <x v="0"/>
    <x v="2"/>
    <x v="1"/>
    <x v="0"/>
  </r>
  <r>
    <n v="9658"/>
    <x v="40"/>
    <x v="0"/>
    <x v="6"/>
    <x v="6"/>
    <x v="0"/>
    <x v="2"/>
    <x v="1"/>
    <x v="0"/>
  </r>
  <r>
    <n v="9659"/>
    <x v="40"/>
    <x v="0"/>
    <x v="7"/>
    <x v="7"/>
    <x v="0"/>
    <x v="2"/>
    <x v="1"/>
    <x v="0"/>
  </r>
  <r>
    <n v="9660"/>
    <x v="40"/>
    <x v="0"/>
    <x v="8"/>
    <x v="8"/>
    <x v="1"/>
    <x v="2"/>
    <x v="1"/>
    <x v="0"/>
  </r>
  <r>
    <n v="9661"/>
    <x v="40"/>
    <x v="0"/>
    <x v="9"/>
    <x v="9"/>
    <x v="1"/>
    <x v="2"/>
    <x v="1"/>
    <x v="0"/>
  </r>
  <r>
    <n v="9662"/>
    <x v="40"/>
    <x v="0"/>
    <x v="10"/>
    <x v="10"/>
    <x v="1"/>
    <x v="2"/>
    <x v="1"/>
    <x v="0"/>
  </r>
  <r>
    <n v="9663"/>
    <x v="40"/>
    <x v="0"/>
    <x v="11"/>
    <x v="11"/>
    <x v="1"/>
    <x v="2"/>
    <x v="1"/>
    <x v="0"/>
  </r>
  <r>
    <n v="9664"/>
    <x v="40"/>
    <x v="0"/>
    <x v="7"/>
    <x v="7"/>
    <x v="1"/>
    <x v="2"/>
    <x v="1"/>
    <x v="0"/>
  </r>
  <r>
    <n v="9665"/>
    <x v="40"/>
    <x v="0"/>
    <x v="2"/>
    <x v="2"/>
    <x v="3"/>
    <x v="2"/>
    <x v="1"/>
    <x v="0"/>
  </r>
  <r>
    <n v="9666"/>
    <x v="40"/>
    <x v="0"/>
    <x v="3"/>
    <x v="3"/>
    <x v="3"/>
    <x v="2"/>
    <x v="1"/>
    <x v="0"/>
  </r>
  <r>
    <n v="9667"/>
    <x v="41"/>
    <x v="0"/>
    <x v="0"/>
    <x v="0"/>
    <x v="0"/>
    <x v="2"/>
    <x v="1"/>
    <x v="0"/>
  </r>
  <r>
    <n v="9668"/>
    <x v="41"/>
    <x v="0"/>
    <x v="0"/>
    <x v="1"/>
    <x v="1"/>
    <x v="2"/>
    <x v="1"/>
    <x v="0"/>
  </r>
  <r>
    <n v="9669"/>
    <x v="41"/>
    <x v="0"/>
    <x v="1"/>
    <x v="1"/>
    <x v="1"/>
    <x v="2"/>
    <x v="1"/>
    <x v="0"/>
  </r>
  <r>
    <n v="9670"/>
    <x v="41"/>
    <x v="0"/>
    <x v="2"/>
    <x v="2"/>
    <x v="2"/>
    <x v="2"/>
    <x v="1"/>
    <x v="0"/>
  </r>
  <r>
    <n v="9671"/>
    <x v="41"/>
    <x v="0"/>
    <x v="3"/>
    <x v="3"/>
    <x v="2"/>
    <x v="2"/>
    <x v="1"/>
    <x v="0"/>
  </r>
  <r>
    <n v="9672"/>
    <x v="41"/>
    <x v="0"/>
    <x v="4"/>
    <x v="4"/>
    <x v="0"/>
    <x v="2"/>
    <x v="1"/>
    <x v="0"/>
  </r>
  <r>
    <n v="9673"/>
    <x v="41"/>
    <x v="0"/>
    <x v="5"/>
    <x v="5"/>
    <x v="0"/>
    <x v="2"/>
    <x v="1"/>
    <x v="0"/>
  </r>
  <r>
    <n v="9674"/>
    <x v="41"/>
    <x v="0"/>
    <x v="6"/>
    <x v="6"/>
    <x v="0"/>
    <x v="2"/>
    <x v="1"/>
    <x v="0"/>
  </r>
  <r>
    <n v="9675"/>
    <x v="41"/>
    <x v="0"/>
    <x v="7"/>
    <x v="7"/>
    <x v="0"/>
    <x v="2"/>
    <x v="1"/>
    <x v="0"/>
  </r>
  <r>
    <n v="9676"/>
    <x v="41"/>
    <x v="0"/>
    <x v="8"/>
    <x v="8"/>
    <x v="1"/>
    <x v="2"/>
    <x v="1"/>
    <x v="0"/>
  </r>
  <r>
    <n v="9677"/>
    <x v="41"/>
    <x v="0"/>
    <x v="9"/>
    <x v="9"/>
    <x v="1"/>
    <x v="2"/>
    <x v="1"/>
    <x v="0"/>
  </r>
  <r>
    <n v="9678"/>
    <x v="41"/>
    <x v="0"/>
    <x v="10"/>
    <x v="10"/>
    <x v="1"/>
    <x v="2"/>
    <x v="1"/>
    <x v="0"/>
  </r>
  <r>
    <n v="9679"/>
    <x v="41"/>
    <x v="0"/>
    <x v="11"/>
    <x v="11"/>
    <x v="1"/>
    <x v="2"/>
    <x v="1"/>
    <x v="0"/>
  </r>
  <r>
    <n v="9680"/>
    <x v="41"/>
    <x v="0"/>
    <x v="7"/>
    <x v="7"/>
    <x v="1"/>
    <x v="2"/>
    <x v="1"/>
    <x v="0"/>
  </r>
  <r>
    <n v="9681"/>
    <x v="41"/>
    <x v="0"/>
    <x v="2"/>
    <x v="2"/>
    <x v="3"/>
    <x v="2"/>
    <x v="1"/>
    <x v="0"/>
  </r>
  <r>
    <n v="9682"/>
    <x v="41"/>
    <x v="0"/>
    <x v="3"/>
    <x v="3"/>
    <x v="3"/>
    <x v="2"/>
    <x v="1"/>
    <x v="0"/>
  </r>
  <r>
    <n v="9683"/>
    <x v="42"/>
    <x v="0"/>
    <x v="0"/>
    <x v="0"/>
    <x v="0"/>
    <x v="2"/>
    <x v="1"/>
    <x v="0"/>
  </r>
  <r>
    <n v="9684"/>
    <x v="42"/>
    <x v="0"/>
    <x v="0"/>
    <x v="1"/>
    <x v="1"/>
    <x v="2"/>
    <x v="1"/>
    <x v="0"/>
  </r>
  <r>
    <n v="9685"/>
    <x v="42"/>
    <x v="0"/>
    <x v="1"/>
    <x v="1"/>
    <x v="1"/>
    <x v="2"/>
    <x v="1"/>
    <x v="0"/>
  </r>
  <r>
    <n v="9686"/>
    <x v="42"/>
    <x v="0"/>
    <x v="2"/>
    <x v="2"/>
    <x v="2"/>
    <x v="2"/>
    <x v="1"/>
    <x v="0"/>
  </r>
  <r>
    <n v="9687"/>
    <x v="42"/>
    <x v="0"/>
    <x v="3"/>
    <x v="3"/>
    <x v="2"/>
    <x v="2"/>
    <x v="1"/>
    <x v="0"/>
  </r>
  <r>
    <n v="9688"/>
    <x v="42"/>
    <x v="0"/>
    <x v="4"/>
    <x v="4"/>
    <x v="0"/>
    <x v="2"/>
    <x v="1"/>
    <x v="0"/>
  </r>
  <r>
    <n v="9689"/>
    <x v="42"/>
    <x v="0"/>
    <x v="5"/>
    <x v="5"/>
    <x v="0"/>
    <x v="2"/>
    <x v="1"/>
    <x v="0"/>
  </r>
  <r>
    <n v="9690"/>
    <x v="42"/>
    <x v="0"/>
    <x v="6"/>
    <x v="6"/>
    <x v="0"/>
    <x v="2"/>
    <x v="1"/>
    <x v="0"/>
  </r>
  <r>
    <n v="9691"/>
    <x v="42"/>
    <x v="0"/>
    <x v="7"/>
    <x v="7"/>
    <x v="0"/>
    <x v="2"/>
    <x v="1"/>
    <x v="0"/>
  </r>
  <r>
    <n v="9692"/>
    <x v="42"/>
    <x v="0"/>
    <x v="8"/>
    <x v="8"/>
    <x v="1"/>
    <x v="2"/>
    <x v="1"/>
    <x v="0"/>
  </r>
  <r>
    <n v="9693"/>
    <x v="42"/>
    <x v="0"/>
    <x v="9"/>
    <x v="9"/>
    <x v="1"/>
    <x v="2"/>
    <x v="1"/>
    <x v="0"/>
  </r>
  <r>
    <n v="9694"/>
    <x v="42"/>
    <x v="0"/>
    <x v="10"/>
    <x v="10"/>
    <x v="1"/>
    <x v="2"/>
    <x v="1"/>
    <x v="0"/>
  </r>
  <r>
    <n v="9695"/>
    <x v="42"/>
    <x v="0"/>
    <x v="11"/>
    <x v="11"/>
    <x v="1"/>
    <x v="2"/>
    <x v="1"/>
    <x v="0"/>
  </r>
  <r>
    <n v="9696"/>
    <x v="42"/>
    <x v="0"/>
    <x v="7"/>
    <x v="7"/>
    <x v="1"/>
    <x v="2"/>
    <x v="1"/>
    <x v="0"/>
  </r>
  <r>
    <n v="9697"/>
    <x v="42"/>
    <x v="0"/>
    <x v="2"/>
    <x v="2"/>
    <x v="3"/>
    <x v="2"/>
    <x v="1"/>
    <x v="0"/>
  </r>
  <r>
    <n v="9698"/>
    <x v="42"/>
    <x v="0"/>
    <x v="3"/>
    <x v="3"/>
    <x v="3"/>
    <x v="2"/>
    <x v="1"/>
    <x v="0"/>
  </r>
  <r>
    <n v="9699"/>
    <x v="43"/>
    <x v="0"/>
    <x v="0"/>
    <x v="0"/>
    <x v="0"/>
    <x v="2"/>
    <x v="1"/>
    <x v="0"/>
  </r>
  <r>
    <n v="9700"/>
    <x v="43"/>
    <x v="0"/>
    <x v="0"/>
    <x v="1"/>
    <x v="1"/>
    <x v="2"/>
    <x v="1"/>
    <x v="0"/>
  </r>
  <r>
    <n v="9701"/>
    <x v="43"/>
    <x v="0"/>
    <x v="1"/>
    <x v="1"/>
    <x v="1"/>
    <x v="2"/>
    <x v="1"/>
    <x v="0"/>
  </r>
  <r>
    <n v="9702"/>
    <x v="43"/>
    <x v="0"/>
    <x v="2"/>
    <x v="2"/>
    <x v="2"/>
    <x v="2"/>
    <x v="1"/>
    <x v="0"/>
  </r>
  <r>
    <n v="9703"/>
    <x v="43"/>
    <x v="0"/>
    <x v="3"/>
    <x v="3"/>
    <x v="2"/>
    <x v="2"/>
    <x v="1"/>
    <x v="0"/>
  </r>
  <r>
    <n v="9704"/>
    <x v="43"/>
    <x v="0"/>
    <x v="4"/>
    <x v="4"/>
    <x v="0"/>
    <x v="2"/>
    <x v="1"/>
    <x v="0"/>
  </r>
  <r>
    <n v="9705"/>
    <x v="43"/>
    <x v="0"/>
    <x v="5"/>
    <x v="5"/>
    <x v="0"/>
    <x v="2"/>
    <x v="1"/>
    <x v="0"/>
  </r>
  <r>
    <n v="9706"/>
    <x v="43"/>
    <x v="0"/>
    <x v="6"/>
    <x v="6"/>
    <x v="0"/>
    <x v="2"/>
    <x v="1"/>
    <x v="0"/>
  </r>
  <r>
    <n v="9707"/>
    <x v="43"/>
    <x v="0"/>
    <x v="7"/>
    <x v="7"/>
    <x v="0"/>
    <x v="2"/>
    <x v="1"/>
    <x v="0"/>
  </r>
  <r>
    <n v="9708"/>
    <x v="43"/>
    <x v="0"/>
    <x v="8"/>
    <x v="8"/>
    <x v="1"/>
    <x v="2"/>
    <x v="1"/>
    <x v="0"/>
  </r>
  <r>
    <n v="9709"/>
    <x v="43"/>
    <x v="0"/>
    <x v="9"/>
    <x v="9"/>
    <x v="1"/>
    <x v="2"/>
    <x v="1"/>
    <x v="0"/>
  </r>
  <r>
    <n v="9710"/>
    <x v="43"/>
    <x v="0"/>
    <x v="10"/>
    <x v="10"/>
    <x v="1"/>
    <x v="2"/>
    <x v="1"/>
    <x v="0"/>
  </r>
  <r>
    <n v="9711"/>
    <x v="43"/>
    <x v="0"/>
    <x v="11"/>
    <x v="11"/>
    <x v="1"/>
    <x v="2"/>
    <x v="1"/>
    <x v="0"/>
  </r>
  <r>
    <n v="9712"/>
    <x v="43"/>
    <x v="0"/>
    <x v="7"/>
    <x v="7"/>
    <x v="1"/>
    <x v="2"/>
    <x v="1"/>
    <x v="0"/>
  </r>
  <r>
    <n v="9713"/>
    <x v="43"/>
    <x v="0"/>
    <x v="2"/>
    <x v="2"/>
    <x v="3"/>
    <x v="2"/>
    <x v="1"/>
    <x v="0"/>
  </r>
  <r>
    <n v="9714"/>
    <x v="43"/>
    <x v="0"/>
    <x v="3"/>
    <x v="3"/>
    <x v="3"/>
    <x v="2"/>
    <x v="1"/>
    <x v="0"/>
  </r>
  <r>
    <n v="9715"/>
    <x v="44"/>
    <x v="0"/>
    <x v="0"/>
    <x v="0"/>
    <x v="0"/>
    <x v="10"/>
    <x v="1"/>
    <x v="0"/>
  </r>
  <r>
    <n v="9716"/>
    <x v="44"/>
    <x v="0"/>
    <x v="0"/>
    <x v="1"/>
    <x v="1"/>
    <x v="10"/>
    <x v="1"/>
    <x v="0"/>
  </r>
  <r>
    <n v="9717"/>
    <x v="44"/>
    <x v="0"/>
    <x v="1"/>
    <x v="1"/>
    <x v="1"/>
    <x v="10"/>
    <x v="1"/>
    <x v="0"/>
  </r>
  <r>
    <n v="9718"/>
    <x v="44"/>
    <x v="0"/>
    <x v="2"/>
    <x v="2"/>
    <x v="2"/>
    <x v="10"/>
    <x v="1"/>
    <x v="0"/>
  </r>
  <r>
    <n v="9719"/>
    <x v="44"/>
    <x v="0"/>
    <x v="3"/>
    <x v="3"/>
    <x v="2"/>
    <x v="10"/>
    <x v="1"/>
    <x v="0"/>
  </r>
  <r>
    <n v="9720"/>
    <x v="44"/>
    <x v="0"/>
    <x v="4"/>
    <x v="4"/>
    <x v="0"/>
    <x v="10"/>
    <x v="1"/>
    <x v="0"/>
  </r>
  <r>
    <n v="9721"/>
    <x v="44"/>
    <x v="0"/>
    <x v="5"/>
    <x v="5"/>
    <x v="0"/>
    <x v="10"/>
    <x v="1"/>
    <x v="0"/>
  </r>
  <r>
    <n v="9722"/>
    <x v="44"/>
    <x v="0"/>
    <x v="6"/>
    <x v="6"/>
    <x v="0"/>
    <x v="10"/>
    <x v="1"/>
    <x v="0"/>
  </r>
  <r>
    <n v="9723"/>
    <x v="44"/>
    <x v="0"/>
    <x v="7"/>
    <x v="7"/>
    <x v="0"/>
    <x v="10"/>
    <x v="1"/>
    <x v="0"/>
  </r>
  <r>
    <n v="9724"/>
    <x v="44"/>
    <x v="0"/>
    <x v="8"/>
    <x v="8"/>
    <x v="1"/>
    <x v="10"/>
    <x v="1"/>
    <x v="0"/>
  </r>
  <r>
    <n v="9725"/>
    <x v="44"/>
    <x v="0"/>
    <x v="9"/>
    <x v="9"/>
    <x v="1"/>
    <x v="10"/>
    <x v="1"/>
    <x v="0"/>
  </r>
  <r>
    <n v="9726"/>
    <x v="44"/>
    <x v="0"/>
    <x v="10"/>
    <x v="10"/>
    <x v="1"/>
    <x v="10"/>
    <x v="1"/>
    <x v="0"/>
  </r>
  <r>
    <n v="9727"/>
    <x v="44"/>
    <x v="0"/>
    <x v="11"/>
    <x v="11"/>
    <x v="1"/>
    <x v="10"/>
    <x v="1"/>
    <x v="0"/>
  </r>
  <r>
    <n v="9728"/>
    <x v="44"/>
    <x v="0"/>
    <x v="7"/>
    <x v="7"/>
    <x v="1"/>
    <x v="10"/>
    <x v="1"/>
    <x v="0"/>
  </r>
  <r>
    <n v="9729"/>
    <x v="44"/>
    <x v="0"/>
    <x v="2"/>
    <x v="2"/>
    <x v="3"/>
    <x v="10"/>
    <x v="1"/>
    <x v="0"/>
  </r>
  <r>
    <n v="9730"/>
    <x v="44"/>
    <x v="0"/>
    <x v="3"/>
    <x v="3"/>
    <x v="3"/>
    <x v="10"/>
    <x v="1"/>
    <x v="0"/>
  </r>
  <r>
    <n v="9731"/>
    <x v="45"/>
    <x v="0"/>
    <x v="0"/>
    <x v="0"/>
    <x v="0"/>
    <x v="10"/>
    <x v="1"/>
    <x v="0"/>
  </r>
  <r>
    <n v="9732"/>
    <x v="45"/>
    <x v="0"/>
    <x v="0"/>
    <x v="1"/>
    <x v="1"/>
    <x v="10"/>
    <x v="1"/>
    <x v="0"/>
  </r>
  <r>
    <n v="9733"/>
    <x v="45"/>
    <x v="0"/>
    <x v="1"/>
    <x v="1"/>
    <x v="1"/>
    <x v="10"/>
    <x v="1"/>
    <x v="0"/>
  </r>
  <r>
    <n v="9734"/>
    <x v="45"/>
    <x v="0"/>
    <x v="2"/>
    <x v="2"/>
    <x v="2"/>
    <x v="10"/>
    <x v="1"/>
    <x v="0"/>
  </r>
  <r>
    <n v="9735"/>
    <x v="45"/>
    <x v="0"/>
    <x v="3"/>
    <x v="3"/>
    <x v="2"/>
    <x v="10"/>
    <x v="1"/>
    <x v="0"/>
  </r>
  <r>
    <n v="9736"/>
    <x v="45"/>
    <x v="0"/>
    <x v="4"/>
    <x v="4"/>
    <x v="0"/>
    <x v="10"/>
    <x v="1"/>
    <x v="0"/>
  </r>
  <r>
    <n v="9737"/>
    <x v="45"/>
    <x v="0"/>
    <x v="5"/>
    <x v="5"/>
    <x v="0"/>
    <x v="10"/>
    <x v="1"/>
    <x v="0"/>
  </r>
  <r>
    <n v="9738"/>
    <x v="45"/>
    <x v="0"/>
    <x v="6"/>
    <x v="6"/>
    <x v="0"/>
    <x v="10"/>
    <x v="1"/>
    <x v="0"/>
  </r>
  <r>
    <n v="9739"/>
    <x v="45"/>
    <x v="0"/>
    <x v="7"/>
    <x v="7"/>
    <x v="0"/>
    <x v="10"/>
    <x v="1"/>
    <x v="0"/>
  </r>
  <r>
    <n v="9740"/>
    <x v="45"/>
    <x v="0"/>
    <x v="8"/>
    <x v="8"/>
    <x v="1"/>
    <x v="10"/>
    <x v="1"/>
    <x v="0"/>
  </r>
  <r>
    <n v="9741"/>
    <x v="45"/>
    <x v="0"/>
    <x v="9"/>
    <x v="9"/>
    <x v="1"/>
    <x v="10"/>
    <x v="1"/>
    <x v="0"/>
  </r>
  <r>
    <n v="9742"/>
    <x v="45"/>
    <x v="0"/>
    <x v="10"/>
    <x v="10"/>
    <x v="1"/>
    <x v="10"/>
    <x v="1"/>
    <x v="0"/>
  </r>
  <r>
    <n v="9743"/>
    <x v="45"/>
    <x v="0"/>
    <x v="11"/>
    <x v="11"/>
    <x v="1"/>
    <x v="10"/>
    <x v="1"/>
    <x v="0"/>
  </r>
  <r>
    <n v="9744"/>
    <x v="45"/>
    <x v="0"/>
    <x v="7"/>
    <x v="7"/>
    <x v="1"/>
    <x v="10"/>
    <x v="1"/>
    <x v="0"/>
  </r>
  <r>
    <n v="9745"/>
    <x v="45"/>
    <x v="0"/>
    <x v="2"/>
    <x v="2"/>
    <x v="3"/>
    <x v="10"/>
    <x v="1"/>
    <x v="0"/>
  </r>
  <r>
    <n v="9746"/>
    <x v="45"/>
    <x v="0"/>
    <x v="3"/>
    <x v="3"/>
    <x v="3"/>
    <x v="10"/>
    <x v="1"/>
    <x v="0"/>
  </r>
  <r>
    <n v="9747"/>
    <x v="46"/>
    <x v="0"/>
    <x v="0"/>
    <x v="0"/>
    <x v="0"/>
    <x v="10"/>
    <x v="1"/>
    <x v="0"/>
  </r>
  <r>
    <n v="9748"/>
    <x v="46"/>
    <x v="0"/>
    <x v="0"/>
    <x v="1"/>
    <x v="1"/>
    <x v="10"/>
    <x v="1"/>
    <x v="0"/>
  </r>
  <r>
    <n v="9749"/>
    <x v="46"/>
    <x v="0"/>
    <x v="1"/>
    <x v="1"/>
    <x v="1"/>
    <x v="10"/>
    <x v="1"/>
    <x v="0"/>
  </r>
  <r>
    <n v="9750"/>
    <x v="46"/>
    <x v="0"/>
    <x v="2"/>
    <x v="2"/>
    <x v="2"/>
    <x v="10"/>
    <x v="1"/>
    <x v="0"/>
  </r>
  <r>
    <n v="9751"/>
    <x v="46"/>
    <x v="0"/>
    <x v="3"/>
    <x v="3"/>
    <x v="2"/>
    <x v="10"/>
    <x v="1"/>
    <x v="0"/>
  </r>
  <r>
    <n v="9752"/>
    <x v="46"/>
    <x v="0"/>
    <x v="4"/>
    <x v="4"/>
    <x v="0"/>
    <x v="10"/>
    <x v="1"/>
    <x v="0"/>
  </r>
  <r>
    <n v="9753"/>
    <x v="46"/>
    <x v="0"/>
    <x v="5"/>
    <x v="5"/>
    <x v="0"/>
    <x v="10"/>
    <x v="1"/>
    <x v="0"/>
  </r>
  <r>
    <n v="9754"/>
    <x v="46"/>
    <x v="0"/>
    <x v="6"/>
    <x v="6"/>
    <x v="0"/>
    <x v="10"/>
    <x v="1"/>
    <x v="0"/>
  </r>
  <r>
    <n v="9755"/>
    <x v="46"/>
    <x v="0"/>
    <x v="7"/>
    <x v="7"/>
    <x v="0"/>
    <x v="10"/>
    <x v="1"/>
    <x v="0"/>
  </r>
  <r>
    <n v="9756"/>
    <x v="46"/>
    <x v="0"/>
    <x v="8"/>
    <x v="8"/>
    <x v="1"/>
    <x v="10"/>
    <x v="1"/>
    <x v="0"/>
  </r>
  <r>
    <n v="9757"/>
    <x v="46"/>
    <x v="0"/>
    <x v="9"/>
    <x v="9"/>
    <x v="1"/>
    <x v="10"/>
    <x v="1"/>
    <x v="0"/>
  </r>
  <r>
    <n v="9758"/>
    <x v="46"/>
    <x v="0"/>
    <x v="10"/>
    <x v="10"/>
    <x v="1"/>
    <x v="10"/>
    <x v="1"/>
    <x v="0"/>
  </r>
  <r>
    <n v="9759"/>
    <x v="46"/>
    <x v="0"/>
    <x v="11"/>
    <x v="11"/>
    <x v="1"/>
    <x v="10"/>
    <x v="1"/>
    <x v="0"/>
  </r>
  <r>
    <n v="9760"/>
    <x v="46"/>
    <x v="0"/>
    <x v="7"/>
    <x v="7"/>
    <x v="1"/>
    <x v="10"/>
    <x v="1"/>
    <x v="0"/>
  </r>
  <r>
    <n v="9761"/>
    <x v="46"/>
    <x v="0"/>
    <x v="2"/>
    <x v="2"/>
    <x v="3"/>
    <x v="10"/>
    <x v="1"/>
    <x v="0"/>
  </r>
  <r>
    <n v="9762"/>
    <x v="46"/>
    <x v="0"/>
    <x v="3"/>
    <x v="3"/>
    <x v="3"/>
    <x v="10"/>
    <x v="1"/>
    <x v="0"/>
  </r>
  <r>
    <n v="9763"/>
    <x v="47"/>
    <x v="0"/>
    <x v="0"/>
    <x v="0"/>
    <x v="0"/>
    <x v="10"/>
    <x v="1"/>
    <x v="0"/>
  </r>
  <r>
    <n v="9764"/>
    <x v="47"/>
    <x v="0"/>
    <x v="0"/>
    <x v="1"/>
    <x v="1"/>
    <x v="10"/>
    <x v="1"/>
    <x v="0"/>
  </r>
  <r>
    <n v="9765"/>
    <x v="47"/>
    <x v="0"/>
    <x v="1"/>
    <x v="1"/>
    <x v="1"/>
    <x v="10"/>
    <x v="1"/>
    <x v="0"/>
  </r>
  <r>
    <n v="9766"/>
    <x v="47"/>
    <x v="0"/>
    <x v="2"/>
    <x v="2"/>
    <x v="2"/>
    <x v="10"/>
    <x v="1"/>
    <x v="0"/>
  </r>
  <r>
    <n v="9767"/>
    <x v="47"/>
    <x v="0"/>
    <x v="3"/>
    <x v="3"/>
    <x v="2"/>
    <x v="10"/>
    <x v="1"/>
    <x v="0"/>
  </r>
  <r>
    <n v="9768"/>
    <x v="47"/>
    <x v="0"/>
    <x v="4"/>
    <x v="4"/>
    <x v="0"/>
    <x v="10"/>
    <x v="1"/>
    <x v="0"/>
  </r>
  <r>
    <n v="9769"/>
    <x v="47"/>
    <x v="0"/>
    <x v="5"/>
    <x v="5"/>
    <x v="0"/>
    <x v="10"/>
    <x v="1"/>
    <x v="0"/>
  </r>
  <r>
    <n v="9770"/>
    <x v="47"/>
    <x v="0"/>
    <x v="6"/>
    <x v="6"/>
    <x v="0"/>
    <x v="10"/>
    <x v="1"/>
    <x v="0"/>
  </r>
  <r>
    <n v="9771"/>
    <x v="47"/>
    <x v="0"/>
    <x v="7"/>
    <x v="7"/>
    <x v="0"/>
    <x v="10"/>
    <x v="1"/>
    <x v="0"/>
  </r>
  <r>
    <n v="9772"/>
    <x v="47"/>
    <x v="0"/>
    <x v="8"/>
    <x v="8"/>
    <x v="1"/>
    <x v="10"/>
    <x v="1"/>
    <x v="0"/>
  </r>
  <r>
    <n v="9773"/>
    <x v="47"/>
    <x v="0"/>
    <x v="9"/>
    <x v="9"/>
    <x v="1"/>
    <x v="10"/>
    <x v="1"/>
    <x v="0"/>
  </r>
  <r>
    <n v="9774"/>
    <x v="47"/>
    <x v="0"/>
    <x v="10"/>
    <x v="10"/>
    <x v="1"/>
    <x v="10"/>
    <x v="1"/>
    <x v="0"/>
  </r>
  <r>
    <n v="9775"/>
    <x v="47"/>
    <x v="0"/>
    <x v="11"/>
    <x v="11"/>
    <x v="1"/>
    <x v="10"/>
    <x v="1"/>
    <x v="0"/>
  </r>
  <r>
    <n v="9776"/>
    <x v="47"/>
    <x v="0"/>
    <x v="7"/>
    <x v="7"/>
    <x v="1"/>
    <x v="10"/>
    <x v="1"/>
    <x v="0"/>
  </r>
  <r>
    <n v="9777"/>
    <x v="47"/>
    <x v="0"/>
    <x v="2"/>
    <x v="2"/>
    <x v="3"/>
    <x v="10"/>
    <x v="1"/>
    <x v="0"/>
  </r>
  <r>
    <n v="9778"/>
    <x v="47"/>
    <x v="0"/>
    <x v="3"/>
    <x v="3"/>
    <x v="3"/>
    <x v="10"/>
    <x v="1"/>
    <x v="0"/>
  </r>
  <r>
    <n v="9779"/>
    <x v="48"/>
    <x v="0"/>
    <x v="0"/>
    <x v="0"/>
    <x v="0"/>
    <x v="11"/>
    <x v="1"/>
    <x v="0"/>
  </r>
  <r>
    <n v="9780"/>
    <x v="48"/>
    <x v="0"/>
    <x v="0"/>
    <x v="1"/>
    <x v="1"/>
    <x v="11"/>
    <x v="1"/>
    <x v="0"/>
  </r>
  <r>
    <n v="9781"/>
    <x v="48"/>
    <x v="0"/>
    <x v="1"/>
    <x v="1"/>
    <x v="1"/>
    <x v="11"/>
    <x v="1"/>
    <x v="0"/>
  </r>
  <r>
    <n v="9782"/>
    <x v="48"/>
    <x v="0"/>
    <x v="2"/>
    <x v="2"/>
    <x v="2"/>
    <x v="11"/>
    <x v="1"/>
    <x v="0"/>
  </r>
  <r>
    <n v="9783"/>
    <x v="48"/>
    <x v="0"/>
    <x v="3"/>
    <x v="3"/>
    <x v="2"/>
    <x v="11"/>
    <x v="1"/>
    <x v="0"/>
  </r>
  <r>
    <n v="9784"/>
    <x v="48"/>
    <x v="0"/>
    <x v="4"/>
    <x v="4"/>
    <x v="0"/>
    <x v="11"/>
    <x v="1"/>
    <x v="0"/>
  </r>
  <r>
    <n v="9785"/>
    <x v="48"/>
    <x v="0"/>
    <x v="5"/>
    <x v="5"/>
    <x v="0"/>
    <x v="11"/>
    <x v="1"/>
    <x v="0"/>
  </r>
  <r>
    <n v="9786"/>
    <x v="48"/>
    <x v="0"/>
    <x v="6"/>
    <x v="6"/>
    <x v="0"/>
    <x v="11"/>
    <x v="1"/>
    <x v="0"/>
  </r>
  <r>
    <n v="9787"/>
    <x v="48"/>
    <x v="0"/>
    <x v="7"/>
    <x v="7"/>
    <x v="0"/>
    <x v="11"/>
    <x v="1"/>
    <x v="0"/>
  </r>
  <r>
    <n v="9788"/>
    <x v="48"/>
    <x v="0"/>
    <x v="8"/>
    <x v="8"/>
    <x v="1"/>
    <x v="11"/>
    <x v="1"/>
    <x v="0"/>
  </r>
  <r>
    <n v="9789"/>
    <x v="48"/>
    <x v="0"/>
    <x v="9"/>
    <x v="9"/>
    <x v="1"/>
    <x v="11"/>
    <x v="1"/>
    <x v="0"/>
  </r>
  <r>
    <n v="9790"/>
    <x v="48"/>
    <x v="0"/>
    <x v="10"/>
    <x v="10"/>
    <x v="1"/>
    <x v="11"/>
    <x v="1"/>
    <x v="0"/>
  </r>
  <r>
    <n v="9791"/>
    <x v="48"/>
    <x v="0"/>
    <x v="11"/>
    <x v="11"/>
    <x v="1"/>
    <x v="11"/>
    <x v="1"/>
    <x v="0"/>
  </r>
  <r>
    <n v="9792"/>
    <x v="48"/>
    <x v="0"/>
    <x v="7"/>
    <x v="7"/>
    <x v="1"/>
    <x v="11"/>
    <x v="1"/>
    <x v="0"/>
  </r>
  <r>
    <n v="9793"/>
    <x v="48"/>
    <x v="0"/>
    <x v="2"/>
    <x v="2"/>
    <x v="3"/>
    <x v="11"/>
    <x v="1"/>
    <x v="0"/>
  </r>
  <r>
    <n v="9794"/>
    <x v="48"/>
    <x v="0"/>
    <x v="3"/>
    <x v="3"/>
    <x v="3"/>
    <x v="11"/>
    <x v="1"/>
    <x v="0"/>
  </r>
  <r>
    <n v="9413"/>
    <x v="27"/>
    <x v="0"/>
    <x v="1"/>
    <x v="1"/>
    <x v="1"/>
    <x v="12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136">
      <pivotArea type="all" dataOnly="0" outline="0" fieldPosition="0"/>
    </format>
    <format dxfId="135">
      <pivotArea outline="0" collapsedLevelsAreSubtotals="1" fieldPosition="0"/>
    </format>
    <format dxfId="134">
      <pivotArea type="origin" dataOnly="0" labelOnly="1" outline="0" fieldPosition="0"/>
    </format>
    <format dxfId="133">
      <pivotArea type="topRight" dataOnly="0" labelOnly="1" outline="0" fieldPosition="0"/>
    </format>
    <format dxfId="132">
      <pivotArea field="2" type="button" dataOnly="0" labelOnly="1" outline="0" axis="axisRow" fieldPosition="0"/>
    </format>
    <format dxfId="131">
      <pivotArea dataOnly="0" labelOnly="1" fieldPosition="0">
        <references count="1">
          <reference field="2" count="0"/>
        </references>
      </pivotArea>
    </format>
    <format dxfId="130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29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28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27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26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25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24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23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22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21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20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19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18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17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16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15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type="topRight" dataOnly="0" labelOnly="1" outline="0" fieldPosition="0"/>
    </format>
    <format dxfId="110">
      <pivotArea field="2" type="button" dataOnly="0" labelOnly="1" outline="0" axis="axisRow" fieldPosition="0"/>
    </format>
    <format dxfId="109">
      <pivotArea dataOnly="0" labelOnly="1" fieldPosition="0">
        <references count="1">
          <reference field="2" count="0"/>
        </references>
      </pivotArea>
    </format>
    <format dxfId="108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07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06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05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04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03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02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01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00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99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98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97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96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95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94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93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92">
      <pivotArea type="origin" dataOnly="0" labelOnly="1" outline="0" fieldPosition="0"/>
    </format>
    <format dxfId="91">
      <pivotArea field="2" type="button" dataOnly="0" labelOnly="1" outline="0" axis="axisRow" fieldPosition="0"/>
    </format>
    <format dxfId="90">
      <pivotArea dataOnly="0" labelOnly="1" fieldPosition="0">
        <references count="1">
          <reference field="2" count="0"/>
        </references>
      </pivotArea>
    </format>
    <format dxfId="89">
      <pivotArea dataOnly="0" labelOnly="1" fieldPosition="0">
        <references count="1">
          <reference field="2" count="0" defaultSubtotal="1"/>
        </references>
      </pivotArea>
    </format>
    <format dxfId="88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87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86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85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84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83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82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79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78">
      <pivotArea type="origin" dataOnly="0" labelOnly="1" outline="0" fieldPosition="0"/>
    </format>
    <format dxfId="77">
      <pivotArea field="2" type="button" dataOnly="0" labelOnly="1" outline="0" axis="axisRow" fieldPosition="0"/>
    </format>
    <format dxfId="76">
      <pivotArea dataOnly="0" labelOnly="1" fieldPosition="0">
        <references count="1">
          <reference field="2" count="0"/>
        </references>
      </pivotArea>
    </format>
    <format dxfId="75">
      <pivotArea dataOnly="0" labelOnly="1" fieldPosition="0">
        <references count="1">
          <reference field="2" count="0" defaultSubtotal="1"/>
        </references>
      </pivotArea>
    </format>
    <format dxfId="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64">
      <pivotArea type="origin" dataOnly="0" labelOnly="1" outline="0" fieldPosition="0"/>
    </format>
    <format dxfId="63">
      <pivotArea field="2" type="button" dataOnly="0" labelOnly="1" outline="0" axis="axisRow" fieldPosition="0"/>
    </format>
    <format dxfId="62">
      <pivotArea dataOnly="0" labelOnly="1" fieldPosition="0">
        <references count="1">
          <reference field="2" count="0"/>
        </references>
      </pivotArea>
    </format>
    <format dxfId="61">
      <pivotArea dataOnly="0" labelOnly="1" fieldPosition="0">
        <references count="1">
          <reference field="2" count="0" defaultSubtotal="1"/>
        </references>
      </pivotArea>
    </format>
    <format dxfId="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4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18:AA97" firstHeaderRow="1" firstDataRow="4" firstDataCol="1"/>
  <pivotFields count="10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3"/>
        <item x="19"/>
        <item x="39"/>
        <item x="34"/>
        <item x="25"/>
        <item x="26"/>
        <item x="31"/>
        <item x="30"/>
        <item x="24"/>
        <item x="23"/>
        <item x="29"/>
        <item x="32"/>
        <item x="10"/>
        <item x="13"/>
        <item x="42"/>
        <item x="40"/>
        <item x="41"/>
        <item x="4"/>
        <item x="33"/>
        <item x="5"/>
        <item x="16"/>
        <item x="11"/>
        <item x="12"/>
        <item x="0"/>
        <item x="1"/>
        <item x="17"/>
        <item x="44"/>
        <item x="45"/>
        <item x="20"/>
        <item x="21"/>
        <item x="46"/>
        <item x="47"/>
        <item x="18"/>
        <item x="14"/>
        <item x="2"/>
        <item x="7"/>
        <item x="43"/>
        <item x="22"/>
        <item x="15"/>
        <item x="9"/>
        <item x="8"/>
        <item x="6"/>
        <item x="37"/>
        <item x="38"/>
        <item x="35"/>
        <item x="28"/>
        <item x="4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9"/>
        <item sd="0" x="2"/>
        <item sd="0" x="3"/>
        <item x="10"/>
        <item x="4"/>
        <item x="7"/>
        <item x="6"/>
        <item x="1"/>
        <item x="5"/>
        <item x="11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"/>
        <item x="0"/>
        <item n="(blank)" m="1" x="12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7"/>
        <item x="0"/>
        <item x="4"/>
        <item x="6"/>
        <item x="2"/>
        <item x="9"/>
        <item x="1"/>
        <item x="8"/>
        <item x="11"/>
        <item x="3"/>
        <item x="10"/>
        <item x="5"/>
        <item m="1" x="13"/>
        <item x="1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0"/>
        <item x="1"/>
        <item sd="0" m="1" x="7"/>
        <item x="2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">
        <item x="1"/>
        <item n="DM nhờn" m="1" x="3"/>
        <item n="DM nhờn2"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6">
    <i>
      <x/>
    </i>
    <i r="1">
      <x v="3"/>
    </i>
    <i r="2">
      <x v="11"/>
    </i>
    <i r="3">
      <x v="46"/>
    </i>
    <i r="3">
      <x v="48"/>
    </i>
    <i r="1">
      <x v="4"/>
    </i>
    <i r="2">
      <x v="7"/>
    </i>
    <i r="3">
      <x v="12"/>
    </i>
    <i r="1">
      <x v="5"/>
    </i>
    <i r="2">
      <x v="3"/>
    </i>
    <i r="3">
      <x v="8"/>
    </i>
    <i r="3">
      <x v="11"/>
    </i>
    <i r="1">
      <x v="6"/>
    </i>
    <i r="2">
      <x/>
    </i>
    <i r="3">
      <x v="7"/>
    </i>
    <i r="3">
      <x v="8"/>
    </i>
    <i r="3">
      <x v="11"/>
    </i>
    <i>
      <x v="2"/>
    </i>
    <i r="1">
      <x/>
    </i>
    <i r="2">
      <x v="1"/>
    </i>
    <i r="3">
      <x v="1"/>
    </i>
    <i r="3">
      <x v="18"/>
    </i>
    <i r="3">
      <x v="20"/>
    </i>
    <i r="3">
      <x v="24"/>
    </i>
    <i r="3">
      <x v="25"/>
    </i>
    <i r="3">
      <x v="35"/>
    </i>
    <i r="3">
      <x v="36"/>
    </i>
    <i r="3">
      <x v="40"/>
    </i>
    <i r="3">
      <x v="41"/>
    </i>
    <i r="3">
      <x v="42"/>
    </i>
    <i r="2">
      <x v="4"/>
    </i>
    <i r="3">
      <x v="21"/>
    </i>
    <i r="3">
      <x v="39"/>
    </i>
    <i r="2">
      <x v="6"/>
    </i>
    <i r="3">
      <x v="13"/>
    </i>
    <i r="3">
      <x v="14"/>
    </i>
    <i r="3">
      <x v="22"/>
    </i>
    <i r="3">
      <x v="23"/>
    </i>
    <i r="3">
      <x v="34"/>
    </i>
    <i r="2">
      <x v="9"/>
    </i>
    <i r="3">
      <x v="2"/>
    </i>
    <i r="3">
      <x v="26"/>
    </i>
    <i r="3">
      <x v="29"/>
    </i>
    <i r="3">
      <x v="30"/>
    </i>
    <i r="3">
      <x v="33"/>
    </i>
    <i r="3">
      <x v="38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9"/>
    </i>
    <i r="2">
      <x v="4"/>
    </i>
    <i r="3">
      <x/>
    </i>
    <i r="3">
      <x v="3"/>
    </i>
    <i r="3">
      <x v="15"/>
    </i>
    <i r="3">
      <x v="16"/>
    </i>
    <i r="3">
      <x v="17"/>
    </i>
    <i r="3">
      <x v="37"/>
    </i>
    <i r="3">
      <x v="43"/>
    </i>
    <i r="3">
      <x v="44"/>
    </i>
    <i r="3">
      <x v="45"/>
    </i>
    <i r="2">
      <x v="5"/>
    </i>
    <i r="3">
      <x v="4"/>
    </i>
    <i r="2">
      <x v="8"/>
    </i>
    <i r="3">
      <x v="47"/>
    </i>
    <i r="2">
      <x v="10"/>
    </i>
    <i r="3">
      <x v="27"/>
    </i>
    <i r="3">
      <x v="28"/>
    </i>
    <i r="3">
      <x v="31"/>
    </i>
    <i r="3">
      <x v="32"/>
    </i>
    <i>
      <x v="3"/>
    </i>
    <i r="1">
      <x v="7"/>
    </i>
    <i r="2">
      <x v="13"/>
    </i>
    <i r="3">
      <x v="48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25">
    <format dxfId="5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9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48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47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46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45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44">
      <pivotArea dataOnly="0" labelOnly="1" fieldPosition="0">
        <references count="1">
          <reference field="5" count="0"/>
        </references>
      </pivotArea>
    </format>
    <format dxfId="43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42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41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40">
      <pivotArea dataOnly="0" labelOnly="1" fieldPosition="0">
        <references count="1">
          <reference field="5" count="0"/>
        </references>
      </pivotArea>
    </format>
    <format dxfId="3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38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37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36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35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34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33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32">
      <pivotArea dataOnly="0" labelOnly="1" fieldPosition="0">
        <references count="1">
          <reference field="6" count="0"/>
        </references>
      </pivotArea>
    </format>
    <format dxfId="31">
      <pivotArea dataOnly="0" labelOnly="1" fieldPosition="0">
        <references count="1">
          <reference field="8" count="1">
            <x v="0"/>
          </reference>
        </references>
      </pivotArea>
    </format>
    <format dxfId="30">
      <pivotArea dataOnly="0" labelOnly="1" fieldPosition="0">
        <references count="1">
          <reference field="8" count="1">
            <x v="2"/>
          </reference>
        </references>
      </pivotArea>
    </format>
    <format dxfId="29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1">
          <reference field="7" count="0"/>
        </references>
      </pivotArea>
    </format>
    <format dxfId="27">
      <pivotArea outline="0" collapsedLevelsAreSubtotals="1" fieldPosition="0"/>
    </format>
    <format dxfId="26">
      <pivotArea outline="0" collapsedLevelsAreSubtotals="1" fieldPosition="0"/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138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137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25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N97"/>
  <sheetViews>
    <sheetView tabSelected="1" topLeftCell="D1" workbookViewId="0">
      <selection activeCell="Q26" sqref="Q26"/>
    </sheetView>
  </sheetViews>
  <sheetFormatPr defaultRowHeight="15" x14ac:dyDescent="0.25"/>
  <cols>
    <col min="1" max="1" width="26.42578125" style="20" customWidth="1"/>
    <col min="2" max="2" width="18.42578125" style="13" customWidth="1"/>
    <col min="3" max="3" width="10.28515625" customWidth="1"/>
    <col min="4" max="4" width="12.28515625" customWidth="1"/>
    <col min="7" max="7" width="30.42578125" customWidth="1"/>
    <col min="8" max="8" width="19.85546875" customWidth="1"/>
    <col min="9" max="9" width="11.85546875" customWidth="1"/>
    <col min="10" max="10" width="12.85546875" customWidth="1"/>
    <col min="11" max="11" width="14.7109375" customWidth="1"/>
    <col min="12" max="12" width="11.28515625" customWidth="1"/>
    <col min="13" max="13" width="13.4257812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21.5703125" customWidth="1"/>
    <col min="19" max="19" width="15" customWidth="1"/>
    <col min="20" max="20" width="8.42578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9.85546875" customWidth="1"/>
    <col min="26" max="26" width="10" customWidth="1"/>
    <col min="27" max="27" width="16.710937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35" x14ac:dyDescent="0.25">
      <c r="A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0"/>
      <c r="V1" s="10"/>
      <c r="W1" s="10"/>
      <c r="X1" s="10"/>
      <c r="Y1" s="10"/>
      <c r="Z1" s="10"/>
      <c r="AA1" s="10"/>
    </row>
    <row r="2" spans="1:35" x14ac:dyDescent="0.25">
      <c r="A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0"/>
      <c r="V2" s="10"/>
      <c r="W2" s="10"/>
      <c r="X2" s="10"/>
      <c r="Y2" s="10"/>
      <c r="Z2" s="10"/>
      <c r="AA2" s="10"/>
    </row>
    <row r="3" spans="1:35" x14ac:dyDescent="0.25">
      <c r="A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0"/>
      <c r="W3" s="10"/>
      <c r="X3" s="10"/>
      <c r="Y3" s="10"/>
      <c r="Z3" s="10"/>
      <c r="AA3" s="10"/>
    </row>
    <row r="5" spans="1:35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35" x14ac:dyDescent="0.25"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</row>
    <row r="7" spans="1:35" ht="15.75" x14ac:dyDescent="0.25">
      <c r="C7" s="10"/>
      <c r="D7" s="10"/>
      <c r="E7" s="10"/>
      <c r="F7" s="29" t="s">
        <v>274</v>
      </c>
      <c r="G7" s="32" t="s">
        <v>273</v>
      </c>
      <c r="H7" s="28" t="str">
        <f>IF(H19="",$F$7, IF(ISNUMBER(SEARCH("Sum", H19)), "Tổng", H19))</f>
        <v>Tồn đầu kỳ</v>
      </c>
      <c r="I7" s="28"/>
      <c r="J7" s="29" t="str">
        <f t="shared" ref="J7:AA7" si="0">IF(J19="",$F$7, IF(ISNUMBER(SEARCH("Sum", J19)), "Tổng", J19))</f>
        <v>Tổng</v>
      </c>
      <c r="K7" s="28" t="str">
        <f t="shared" si="0"/>
        <v>Nhập</v>
      </c>
      <c r="L7" s="28"/>
      <c r="M7" s="28"/>
      <c r="N7" s="28"/>
      <c r="O7" s="28"/>
      <c r="P7" s="28" t="str">
        <f t="shared" si="0"/>
        <v>Tổng</v>
      </c>
      <c r="Q7" s="28" t="str">
        <f t="shared" si="0"/>
        <v>Xuất</v>
      </c>
      <c r="R7" s="28"/>
      <c r="S7" s="28"/>
      <c r="T7" s="28"/>
      <c r="U7" s="28"/>
      <c r="V7" s="28"/>
      <c r="W7" s="28"/>
      <c r="X7" s="28" t="str">
        <f t="shared" si="0"/>
        <v>Tổng</v>
      </c>
      <c r="Y7" s="28" t="str">
        <f t="shared" si="0"/>
        <v>Tồn cuối kỳ</v>
      </c>
      <c r="Z7" s="28"/>
      <c r="AA7" s="28" t="str">
        <f t="shared" si="0"/>
        <v>Tổng</v>
      </c>
    </row>
    <row r="8" spans="1:35" ht="15.75" x14ac:dyDescent="0.25">
      <c r="C8" s="10"/>
      <c r="D8" s="10"/>
      <c r="E8" s="10"/>
      <c r="F8" s="30"/>
      <c r="G8" s="33"/>
      <c r="H8" s="28" t="str">
        <f t="shared" ref="H8:Z8" si="1">IF(H20="",$F$7, IF(ISNUMBER(SEARCH("Sum", H20)), "Tổng", H20))</f>
        <v>DT cho NV đột xuất</v>
      </c>
      <c r="I8" s="28" t="str">
        <f t="shared" si="1"/>
        <v>DT SSCD</v>
      </c>
      <c r="J8" s="30"/>
      <c r="K8" s="25" t="str">
        <f t="shared" si="1"/>
        <v>Nhập khác</v>
      </c>
      <c r="L8" s="28" t="str">
        <f t="shared" si="1"/>
        <v>CXD</v>
      </c>
      <c r="M8" s="28" t="str">
        <f t="shared" si="1"/>
        <v>QC</v>
      </c>
      <c r="N8" s="28" t="str">
        <f t="shared" si="1"/>
        <v>Mua P/cấp</v>
      </c>
      <c r="O8" s="28" t="str">
        <f t="shared" si="1"/>
        <v>Khác</v>
      </c>
      <c r="P8" s="28"/>
      <c r="Q8" s="28" t="str">
        <f t="shared" si="1"/>
        <v>Xuất khác</v>
      </c>
      <c r="R8" s="28"/>
      <c r="S8" s="28" t="str">
        <f t="shared" si="1"/>
        <v>Khác</v>
      </c>
      <c r="T8" s="28" t="str">
        <f t="shared" si="1"/>
        <v>TT Xe máy</v>
      </c>
      <c r="U8" s="28" t="str">
        <f t="shared" si="1"/>
        <v>BQ</v>
      </c>
      <c r="V8" s="28" t="str">
        <f t="shared" si="1"/>
        <v>Hao hụt</v>
      </c>
      <c r="W8" s="28" t="str">
        <f t="shared" si="1"/>
        <v>Tổn thất</v>
      </c>
      <c r="X8" s="28"/>
      <c r="Y8" s="28" t="str">
        <f t="shared" si="1"/>
        <v>DT cho NV đột xuất</v>
      </c>
      <c r="Z8" s="28" t="str">
        <f t="shared" si="1"/>
        <v>DT SSCD</v>
      </c>
      <c r="AA8" s="28"/>
    </row>
    <row r="9" spans="1:35" ht="15.75" x14ac:dyDescent="0.25">
      <c r="C9" s="10"/>
      <c r="D9" s="10"/>
      <c r="E9" s="10"/>
      <c r="F9" s="31"/>
      <c r="G9" s="34"/>
      <c r="H9" s="28"/>
      <c r="I9" s="28"/>
      <c r="J9" s="31"/>
      <c r="K9" s="25" t="str">
        <f t="shared" ref="K9:R9" si="2">IF(K21="",$F$7, IF(ISNUMBER(SEARCH("Sum", K21)), "Tổng", K21))</f>
        <v>Trong QC</v>
      </c>
      <c r="L9" s="28"/>
      <c r="M9" s="28"/>
      <c r="N9" s="28"/>
      <c r="O9" s="28"/>
      <c r="P9" s="28"/>
      <c r="Q9" s="25" t="str">
        <f t="shared" si="2"/>
        <v>Ngoài QC</v>
      </c>
      <c r="R9" s="25" t="str">
        <f t="shared" si="2"/>
        <v>Trong QC</v>
      </c>
      <c r="S9" s="28"/>
      <c r="T9" s="28"/>
      <c r="U9" s="28"/>
      <c r="V9" s="28"/>
      <c r="W9" s="28"/>
      <c r="X9" s="28"/>
      <c r="Y9" s="28"/>
      <c r="Z9" s="28"/>
      <c r="AA9" s="28"/>
    </row>
    <row r="10" spans="1:35" hidden="1" x14ac:dyDescent="0.25">
      <c r="F10" s="22"/>
      <c r="H10" s="10"/>
      <c r="I10" s="10"/>
      <c r="J10" s="10"/>
      <c r="K10" s="12"/>
      <c r="L10" s="10"/>
      <c r="M10" s="10"/>
      <c r="N10" s="10"/>
      <c r="O10" s="10"/>
      <c r="P10" s="10"/>
      <c r="Q10" s="12"/>
      <c r="R10" s="12"/>
      <c r="S10" s="10"/>
      <c r="T10" s="10"/>
      <c r="U10" s="10"/>
      <c r="V10" s="10"/>
      <c r="W10" s="10"/>
      <c r="X10" s="10"/>
      <c r="Y10" s="10"/>
      <c r="Z10" s="10"/>
      <c r="AA10" s="10"/>
    </row>
    <row r="11" spans="1:35" hidden="1" x14ac:dyDescent="0.25">
      <c r="F11" s="2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35" hidden="1" x14ac:dyDescent="0.25">
      <c r="F12" s="2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35" hidden="1" x14ac:dyDescent="0.25">
      <c r="F13" s="22"/>
      <c r="K13" s="15"/>
    </row>
    <row r="14" spans="1:35" hidden="1" x14ac:dyDescent="0.25">
      <c r="F14" s="22"/>
    </row>
    <row r="15" spans="1:35" hidden="1" x14ac:dyDescent="0.25">
      <c r="F15" s="22"/>
    </row>
    <row r="16" spans="1:35" hidden="1" x14ac:dyDescent="0.25">
      <c r="F16" s="22"/>
      <c r="AI16">
        <f>COLUMN()</f>
        <v>35</v>
      </c>
    </row>
    <row r="17" spans="1:66" hidden="1" x14ac:dyDescent="0.25">
      <c r="F17" s="22"/>
      <c r="AH17">
        <f>ROW()</f>
        <v>17</v>
      </c>
      <c r="AI17">
        <f>COLUMN(AI18)</f>
        <v>35</v>
      </c>
    </row>
    <row r="18" spans="1:66" hidden="1" x14ac:dyDescent="0.25">
      <c r="F18" s="22"/>
      <c r="G18" s="14" t="s">
        <v>273</v>
      </c>
      <c r="H18" s="14" t="s">
        <v>216</v>
      </c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H18">
        <f>ROW()</f>
        <v>18</v>
      </c>
      <c r="AI18">
        <f>AK32</f>
        <v>0</v>
      </c>
      <c r="AJ18" t="str">
        <f t="shared" ref="AJ18:AV18" si="3">IF(I19="",$F$7, IF(ISNUMBER(SEARCH("Sum", I19)), "Tổng", I19))</f>
        <v>Tồn đầu kỳ</v>
      </c>
      <c r="AK18" t="str">
        <f t="shared" si="3"/>
        <v>Tổng</v>
      </c>
      <c r="AL18" t="str">
        <f t="shared" si="3"/>
        <v>Nhập</v>
      </c>
      <c r="AM18" t="str">
        <f t="shared" si="3"/>
        <v>Nhập</v>
      </c>
      <c r="AN18" t="str">
        <f t="shared" si="3"/>
        <v>Nhập</v>
      </c>
      <c r="AO18" t="str">
        <f t="shared" si="3"/>
        <v>Nhập</v>
      </c>
      <c r="AP18" t="str">
        <f t="shared" si="3"/>
        <v>Nhập</v>
      </c>
      <c r="AQ18" t="str">
        <f t="shared" si="3"/>
        <v>Tổng</v>
      </c>
      <c r="AR18" t="str">
        <f t="shared" si="3"/>
        <v>Xuất</v>
      </c>
      <c r="AS18" t="str">
        <f t="shared" si="3"/>
        <v>Xuất</v>
      </c>
      <c r="AT18" t="str">
        <f t="shared" si="3"/>
        <v>Xuất</v>
      </c>
      <c r="AU18" t="str">
        <f t="shared" si="3"/>
        <v>Xuất</v>
      </c>
      <c r="AV18" t="str">
        <f t="shared" si="3"/>
        <v>Xuất</v>
      </c>
      <c r="AW18" t="str">
        <f>IF(V19="",$F$7, IF(ISNUMBER(SEARCH("Sum", V19)), "Tổng", V19))</f>
        <v>Xuất</v>
      </c>
      <c r="AX18" t="str">
        <f t="shared" ref="AX18" si="4">IF(W19="",$F$7, IF(ISNUMBER(SEARCH("Sum", W19)), "Tổng", W19))</f>
        <v>Xuất</v>
      </c>
      <c r="AY18" t="str">
        <f t="shared" ref="AY18" si="5">IF(X19="",$F$7, IF(ISNUMBER(SEARCH("Sum", X19)), "Tổng", X19))</f>
        <v>Tổng</v>
      </c>
      <c r="AZ18" t="str">
        <f t="shared" ref="AZ18" si="6">IF(Y19="",$F$7, IF(ISNUMBER(SEARCH("Sum", Y19)), "Tổng", Y19))</f>
        <v>Tồn cuối kỳ</v>
      </c>
      <c r="BA18" t="str">
        <f t="shared" ref="BA18" si="7">IF(Z19="",$F$7, IF(ISNUMBER(SEARCH("Sum", Z19)), "Tổng", Z19))</f>
        <v>Tồn cuối kỳ</v>
      </c>
      <c r="BB18" t="str">
        <f t="shared" ref="BB18" si="8">IF(AA19="",$F$7, IF(ISNUMBER(SEARCH("Sum", AA19)), "Tổng", AA19))</f>
        <v>Tổng</v>
      </c>
      <c r="BC18" t="str">
        <f t="shared" ref="BC18" si="9">IF(AB19="",$F$7,SUBSTITUTE(AB19,"Sum",""))</f>
        <v>TT</v>
      </c>
      <c r="BD18" t="str">
        <f t="shared" ref="BD18" si="10">IF(AC19="",$F$7,SUBSTITUTE(AC19,"Sum",""))</f>
        <v>TT</v>
      </c>
    </row>
    <row r="19" spans="1:66" s="9" customFormat="1" hidden="1" x14ac:dyDescent="0.25">
      <c r="A19" s="20"/>
      <c r="B19" s="16"/>
      <c r="F19" s="23"/>
      <c r="G19" s="18"/>
      <c r="H19" s="26" t="s">
        <v>267</v>
      </c>
      <c r="I19" s="27" t="s">
        <v>267</v>
      </c>
      <c r="J19" s="26" t="s">
        <v>269</v>
      </c>
      <c r="K19" s="26" t="s">
        <v>265</v>
      </c>
      <c r="L19" s="27" t="s">
        <v>265</v>
      </c>
      <c r="M19" s="27" t="s">
        <v>265</v>
      </c>
      <c r="N19" s="27" t="s">
        <v>265</v>
      </c>
      <c r="O19" s="27" t="s">
        <v>265</v>
      </c>
      <c r="P19" s="26" t="s">
        <v>270</v>
      </c>
      <c r="Q19" s="26" t="s">
        <v>268</v>
      </c>
      <c r="R19" s="27" t="s">
        <v>268</v>
      </c>
      <c r="S19" s="27" t="s">
        <v>268</v>
      </c>
      <c r="T19" s="27" t="s">
        <v>268</v>
      </c>
      <c r="U19" s="27" t="s">
        <v>268</v>
      </c>
      <c r="V19" s="27" t="s">
        <v>268</v>
      </c>
      <c r="W19" s="27" t="s">
        <v>268</v>
      </c>
      <c r="X19" s="26" t="s">
        <v>271</v>
      </c>
      <c r="Y19" s="26" t="s">
        <v>266</v>
      </c>
      <c r="Z19" s="27" t="s">
        <v>266</v>
      </c>
      <c r="AA19" s="26" t="s">
        <v>272</v>
      </c>
      <c r="AI19" t="str">
        <f t="shared" ref="AI19:AI20" si="11">IF(H20="",$F$7, IF(ISNUMBER(SEARCH("Sum", H20)), "Tổng", H20))</f>
        <v>DT cho NV đột xuất</v>
      </c>
      <c r="AJ19" t="str">
        <f t="shared" ref="AJ19:AJ20" si="12">IF(I20="",$F$7, IF(ISNUMBER(SEARCH("Sum", I20)), "Tổng", I20))</f>
        <v>DT SSCD</v>
      </c>
      <c r="AK19" t="str">
        <f t="shared" ref="AK19:AK20" si="13">IF(J20="",$F$7, IF(ISNUMBER(SEARCH("Sum", J20)), "Tổng", J20))</f>
        <v>TT</v>
      </c>
      <c r="AL19" t="str">
        <f t="shared" ref="AL19:AL20" si="14">IF(K20="",$F$7, IF(ISNUMBER(SEARCH("Sum", K20)), "Tổng", K20))</f>
        <v>Nhập khác</v>
      </c>
      <c r="AM19" t="str">
        <f t="shared" ref="AM19:AM20" si="15">IF(L20="",$F$7, IF(ISNUMBER(SEARCH("Sum", L20)), "Tổng", L20))</f>
        <v>CXD</v>
      </c>
      <c r="AN19" t="str">
        <f t="shared" ref="AN19:AN20" si="16">IF(M20="",$F$7, IF(ISNUMBER(SEARCH("Sum", M20)), "Tổng", M20))</f>
        <v>QC</v>
      </c>
      <c r="AO19" t="str">
        <f t="shared" ref="AO19:AO20" si="17">IF(N20="",$F$7, IF(ISNUMBER(SEARCH("Sum", N20)), "Tổng", N20))</f>
        <v>Mua P/cấp</v>
      </c>
      <c r="AP19" t="str">
        <f t="shared" ref="AP19:AP20" si="18">IF(O20="",$F$7, IF(ISNUMBER(SEARCH("Sum", O20)), "Tổng", O20))</f>
        <v>Khác</v>
      </c>
      <c r="AQ19" t="str">
        <f t="shared" ref="AQ19:AQ20" si="19">IF(P20="",$F$7, IF(ISNUMBER(SEARCH("Sum", P20)), "Tổng", P20))</f>
        <v>TT</v>
      </c>
      <c r="AR19" t="str">
        <f t="shared" ref="AR19:AR20" si="20">IF(Q20="",$F$7, IF(ISNUMBER(SEARCH("Sum", Q20)), "Tổng", Q20))</f>
        <v>Xuất khác</v>
      </c>
      <c r="AS19" t="str">
        <f t="shared" ref="AS19:AS20" si="21">IF(R20="",$F$7, IF(ISNUMBER(SEARCH("Sum", R20)), "Tổng", R20))</f>
        <v>Xuất khác</v>
      </c>
      <c r="AT19" t="str">
        <f t="shared" ref="AT19:AT20" si="22">IF(S20="",$F$7, IF(ISNUMBER(SEARCH("Sum", S20)), "Tổng", S20))</f>
        <v>Khác</v>
      </c>
      <c r="AU19" t="str">
        <f t="shared" ref="AU19:AU20" si="23">IF(T20="",$F$7, IF(ISNUMBER(SEARCH("Sum", T20)), "Tổng", T20))</f>
        <v>TT Xe máy</v>
      </c>
      <c r="AV19" t="str">
        <f t="shared" ref="AV19:AV20" si="24">IF(U20="",$F$7, IF(ISNUMBER(SEARCH("Sum", U20)), "Tổng", U20))</f>
        <v>BQ</v>
      </c>
      <c r="AW19" t="str">
        <f t="shared" ref="AW19:AW20" si="25">IF(V20="",$F$7, IF(ISNUMBER(SEARCH("Sum", V20)), "Tổng", V20))</f>
        <v>Hao hụt</v>
      </c>
      <c r="AX19" t="str">
        <f t="shared" ref="AX19:AX20" si="26">IF(W20="",$F$7, IF(ISNUMBER(SEARCH("Sum", W20)), "Tổng", W20))</f>
        <v>Tổn thất</v>
      </c>
      <c r="AY19" t="str">
        <f t="shared" ref="AY19:AY20" si="27">IF(X20="",$F$7, IF(ISNUMBER(SEARCH("Sum", X20)), "Tổng", X20))</f>
        <v>TT</v>
      </c>
      <c r="AZ19" t="str">
        <f t="shared" ref="AZ19:AZ20" si="28">IF(Y20="",$F$7, IF(ISNUMBER(SEARCH("Sum", Y20)), "Tổng", Y20))</f>
        <v>DT cho NV đột xuất</v>
      </c>
      <c r="BA19" t="str">
        <f t="shared" ref="BA19:BA20" si="29">IF(Z20="",$F$7, IF(ISNUMBER(SEARCH("Sum", Z20)), "Tổng", Z20))</f>
        <v>DT SSCD</v>
      </c>
      <c r="BB19" t="str">
        <f t="shared" ref="BB19:BB20" si="30">IF(AA20="",$F$7, IF(ISNUMBER(SEARCH("Sum", AA20)), "Tổng", AA20))</f>
        <v>TT</v>
      </c>
      <c r="BC19" t="str">
        <f t="shared" ref="BC19:BC20" si="31">IF(AB20="",$F$7,SUBSTITUTE(AB20,"Sum",""))</f>
        <v>TT</v>
      </c>
      <c r="BD19" t="str">
        <f t="shared" ref="BD19:BD20" si="32">IF(AC20="",$F$7,SUBSTITUTE(AC20,"Sum",""))</f>
        <v>TT</v>
      </c>
      <c r="BE19"/>
      <c r="BF19"/>
      <c r="BG19"/>
      <c r="BH19"/>
      <c r="BI19"/>
      <c r="BJ19"/>
      <c r="BK19"/>
      <c r="BL19"/>
      <c r="BM19"/>
      <c r="BN19"/>
    </row>
    <row r="20" spans="1:66" s="9" customFormat="1" hidden="1" x14ac:dyDescent="0.25">
      <c r="A20" s="21"/>
      <c r="B20" s="16"/>
      <c r="F20" s="23"/>
      <c r="G20" s="18"/>
      <c r="H20" s="17" t="s">
        <v>247</v>
      </c>
      <c r="I20" s="17" t="s">
        <v>248</v>
      </c>
      <c r="J20" s="27"/>
      <c r="K20" s="17" t="s">
        <v>263</v>
      </c>
      <c r="L20" s="17" t="s">
        <v>246</v>
      </c>
      <c r="M20" s="17" t="s">
        <v>250</v>
      </c>
      <c r="N20" s="17" t="s">
        <v>249</v>
      </c>
      <c r="O20" s="17" t="s">
        <v>150</v>
      </c>
      <c r="P20" s="27"/>
      <c r="Q20" s="26" t="s">
        <v>264</v>
      </c>
      <c r="R20" s="27" t="s">
        <v>264</v>
      </c>
      <c r="S20" s="17" t="s">
        <v>150</v>
      </c>
      <c r="T20" s="17" t="s">
        <v>251</v>
      </c>
      <c r="U20" s="17" t="s">
        <v>245</v>
      </c>
      <c r="V20" s="17" t="s">
        <v>160</v>
      </c>
      <c r="W20" s="17" t="s">
        <v>155</v>
      </c>
      <c r="X20" s="27"/>
      <c r="Y20" s="17" t="s">
        <v>247</v>
      </c>
      <c r="Z20" s="17" t="s">
        <v>248</v>
      </c>
      <c r="AA20" s="27"/>
      <c r="AI20" t="str">
        <f t="shared" si="11"/>
        <v>DT cho NV đột xuất</v>
      </c>
      <c r="AJ20" t="str">
        <f t="shared" si="12"/>
        <v>DT SSCD</v>
      </c>
      <c r="AK20" t="str">
        <f t="shared" si="13"/>
        <v>TT</v>
      </c>
      <c r="AL20" t="str">
        <f t="shared" si="14"/>
        <v>Trong QC</v>
      </c>
      <c r="AM20" t="str">
        <f t="shared" si="15"/>
        <v>CXD</v>
      </c>
      <c r="AN20" t="str">
        <f t="shared" si="16"/>
        <v>QC</v>
      </c>
      <c r="AO20" t="str">
        <f t="shared" si="17"/>
        <v>Mua P/cấp</v>
      </c>
      <c r="AP20" t="str">
        <f t="shared" si="18"/>
        <v>Khác</v>
      </c>
      <c r="AQ20" t="str">
        <f t="shared" si="19"/>
        <v>TT</v>
      </c>
      <c r="AR20" t="str">
        <f t="shared" si="20"/>
        <v>Ngoài QC</v>
      </c>
      <c r="AS20" t="str">
        <f t="shared" si="21"/>
        <v>Trong QC</v>
      </c>
      <c r="AT20" t="str">
        <f t="shared" si="22"/>
        <v>Khác</v>
      </c>
      <c r="AU20" t="str">
        <f t="shared" si="23"/>
        <v>TT Xe máy</v>
      </c>
      <c r="AV20" t="str">
        <f t="shared" si="24"/>
        <v>BQ</v>
      </c>
      <c r="AW20" t="str">
        <f t="shared" si="25"/>
        <v>Hao hụt</v>
      </c>
      <c r="AX20" t="str">
        <f t="shared" si="26"/>
        <v>Tổn thất</v>
      </c>
      <c r="AY20" t="str">
        <f t="shared" si="27"/>
        <v>TT</v>
      </c>
      <c r="AZ20" t="str">
        <f t="shared" si="28"/>
        <v>DT cho NV đột xuất</v>
      </c>
      <c r="BA20" t="str">
        <f t="shared" si="29"/>
        <v>DT SSCD</v>
      </c>
      <c r="BB20" t="str">
        <f t="shared" si="30"/>
        <v>TT</v>
      </c>
      <c r="BC20" t="str">
        <f t="shared" si="31"/>
        <v>TT</v>
      </c>
      <c r="BD20" t="str">
        <f t="shared" si="32"/>
        <v>TT</v>
      </c>
      <c r="BE20"/>
      <c r="BF20"/>
      <c r="BG20"/>
      <c r="BH20"/>
      <c r="BI20"/>
      <c r="BJ20"/>
      <c r="BK20"/>
      <c r="BL20"/>
      <c r="BM20"/>
      <c r="BN20"/>
    </row>
    <row r="21" spans="1:66" s="9" customFormat="1" hidden="1" x14ac:dyDescent="0.25">
      <c r="A21" s="21"/>
      <c r="B21" s="16"/>
      <c r="F21" s="23"/>
      <c r="G21" s="14" t="s">
        <v>273</v>
      </c>
      <c r="H21" s="17" t="s">
        <v>247</v>
      </c>
      <c r="I21" s="17" t="s">
        <v>248</v>
      </c>
      <c r="J21" s="27"/>
      <c r="K21" s="17" t="s">
        <v>152</v>
      </c>
      <c r="L21" s="17" t="s">
        <v>246</v>
      </c>
      <c r="M21" s="17" t="s">
        <v>250</v>
      </c>
      <c r="N21" s="17" t="s">
        <v>249</v>
      </c>
      <c r="O21" s="17" t="s">
        <v>150</v>
      </c>
      <c r="P21" s="27"/>
      <c r="Q21" s="17" t="s">
        <v>154</v>
      </c>
      <c r="R21" s="17" t="s">
        <v>152</v>
      </c>
      <c r="S21" s="17" t="s">
        <v>150</v>
      </c>
      <c r="T21" s="17" t="s">
        <v>251</v>
      </c>
      <c r="U21" s="17" t="s">
        <v>245</v>
      </c>
      <c r="V21" s="17" t="s">
        <v>160</v>
      </c>
      <c r="W21" s="17" t="s">
        <v>155</v>
      </c>
      <c r="X21" s="27"/>
      <c r="Y21" s="17" t="s">
        <v>247</v>
      </c>
      <c r="Z21" s="17" t="s">
        <v>248</v>
      </c>
      <c r="AA21" s="27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x14ac:dyDescent="0.25">
      <c r="A22" s="21"/>
      <c r="F22" s="22" t="s">
        <v>275</v>
      </c>
      <c r="G22" s="24" t="s">
        <v>262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66" hidden="1" x14ac:dyDescent="0.25">
      <c r="F23" s="22"/>
      <c r="G23" s="19" t="s">
        <v>276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66" x14ac:dyDescent="0.25">
      <c r="F24" s="22"/>
      <c r="G24" s="11" t="s">
        <v>276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</row>
    <row r="25" spans="1:66" x14ac:dyDescent="0.25">
      <c r="F25" s="22"/>
      <c r="G25" s="8" t="s">
        <v>55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</row>
    <row r="26" spans="1:66" x14ac:dyDescent="0.25">
      <c r="F26" s="22"/>
      <c r="G26" s="8" t="s">
        <v>45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/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</row>
    <row r="27" spans="1:66" hidden="1" x14ac:dyDescent="0.25">
      <c r="F27" s="22"/>
      <c r="G27" s="19" t="s">
        <v>277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66" x14ac:dyDescent="0.25">
      <c r="F28" s="22"/>
      <c r="G28" s="11" t="s">
        <v>277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</row>
    <row r="29" spans="1:66" x14ac:dyDescent="0.25">
      <c r="F29" s="22"/>
      <c r="G29" s="8" t="s">
        <v>103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</row>
    <row r="30" spans="1:66" hidden="1" x14ac:dyDescent="0.25">
      <c r="F30" s="22"/>
      <c r="G30" s="19" t="s">
        <v>278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66" x14ac:dyDescent="0.25">
      <c r="F31" s="22"/>
      <c r="G31" s="11" t="s">
        <v>278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</row>
    <row r="32" spans="1:66" x14ac:dyDescent="0.25">
      <c r="F32" s="22"/>
      <c r="G32" s="8" t="s">
        <v>116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</row>
    <row r="33" spans="6:27" x14ac:dyDescent="0.25">
      <c r="F33" s="22"/>
      <c r="G33" s="8" t="s">
        <v>113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</row>
    <row r="34" spans="6:27" hidden="1" x14ac:dyDescent="0.25">
      <c r="F34" s="22"/>
      <c r="G34" s="19" t="s">
        <v>279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6:27" x14ac:dyDescent="0.25">
      <c r="F35" s="22"/>
      <c r="G35" s="11" t="s">
        <v>279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</row>
    <row r="36" spans="6:27" x14ac:dyDescent="0.25">
      <c r="F36" s="22"/>
      <c r="G36" s="8" t="s">
        <v>106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</row>
    <row r="37" spans="6:27" x14ac:dyDescent="0.25">
      <c r="F37" s="22"/>
      <c r="G37" s="8" t="s">
        <v>116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</row>
    <row r="38" spans="6:27" x14ac:dyDescent="0.25">
      <c r="F38" s="22"/>
      <c r="G38" s="8" t="s">
        <v>113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</row>
    <row r="39" spans="6:27" x14ac:dyDescent="0.25">
      <c r="F39" s="22"/>
      <c r="G39" s="24" t="s">
        <v>280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6:27" x14ac:dyDescent="0.25">
      <c r="F40" s="22"/>
      <c r="G40" s="19" t="s">
        <v>261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6:27" x14ac:dyDescent="0.25">
      <c r="F41" s="22"/>
      <c r="G41" s="11" t="s">
        <v>253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</row>
    <row r="42" spans="6:27" x14ac:dyDescent="0.25">
      <c r="F42" s="22"/>
      <c r="G42" s="8" t="s">
        <v>122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</row>
    <row r="43" spans="6:27" x14ac:dyDescent="0.25">
      <c r="F43" s="22"/>
      <c r="G43" s="8" t="s">
        <v>123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</row>
    <row r="44" spans="6:27" x14ac:dyDescent="0.25">
      <c r="F44" s="22"/>
      <c r="G44" s="8" t="s">
        <v>61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</row>
    <row r="45" spans="6:27" x14ac:dyDescent="0.25">
      <c r="F45" s="22"/>
      <c r="G45" s="8" t="s">
        <v>117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</row>
    <row r="46" spans="6:27" x14ac:dyDescent="0.25">
      <c r="F46" s="22"/>
      <c r="G46" s="8" t="s">
        <v>120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</row>
    <row r="47" spans="6:27" x14ac:dyDescent="0.25">
      <c r="F47" s="22"/>
      <c r="G47" s="8" t="s">
        <v>121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</row>
    <row r="48" spans="6:27" x14ac:dyDescent="0.25">
      <c r="F48" s="22"/>
      <c r="G48" s="8" t="s">
        <v>125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</row>
    <row r="49" spans="6:27" x14ac:dyDescent="0.25">
      <c r="F49" s="22"/>
      <c r="G49" s="8" t="s">
        <v>127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</row>
    <row r="50" spans="6:27" x14ac:dyDescent="0.25">
      <c r="F50" s="22"/>
      <c r="G50" s="8" t="s">
        <v>126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</row>
    <row r="51" spans="6:27" x14ac:dyDescent="0.25">
      <c r="F51" s="22"/>
      <c r="G51" s="8" t="s">
        <v>124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</row>
    <row r="52" spans="6:27" x14ac:dyDescent="0.25">
      <c r="F52" s="22"/>
      <c r="G52" s="11" t="s">
        <v>252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</row>
    <row r="53" spans="6:27" x14ac:dyDescent="0.25">
      <c r="F53" s="22"/>
      <c r="G53" s="8" t="s">
        <v>136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</row>
    <row r="54" spans="6:27" x14ac:dyDescent="0.25">
      <c r="F54" s="22"/>
      <c r="G54" s="8" t="s">
        <v>134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</row>
    <row r="55" spans="6:27" x14ac:dyDescent="0.25">
      <c r="F55" s="22"/>
      <c r="G55" s="11" t="s">
        <v>257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</row>
    <row r="56" spans="6:27" x14ac:dyDescent="0.25">
      <c r="F56" s="22"/>
      <c r="G56" s="8" t="s">
        <v>128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</row>
    <row r="57" spans="6:27" x14ac:dyDescent="0.25">
      <c r="F57" s="22"/>
      <c r="G57" s="8" t="s">
        <v>132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6:27" x14ac:dyDescent="0.25">
      <c r="F58" s="22"/>
      <c r="G58" s="8" t="s">
        <v>130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</row>
    <row r="59" spans="6:27" x14ac:dyDescent="0.25">
      <c r="F59" s="22"/>
      <c r="G59" s="8" t="s">
        <v>131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</row>
    <row r="60" spans="6:27" x14ac:dyDescent="0.25">
      <c r="F60" s="22"/>
      <c r="G60" s="8" t="s">
        <v>133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</row>
    <row r="61" spans="6:27" x14ac:dyDescent="0.25">
      <c r="F61" s="22"/>
      <c r="G61" s="11" t="s">
        <v>254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</row>
    <row r="62" spans="6:27" x14ac:dyDescent="0.25">
      <c r="F62" s="22"/>
      <c r="G62" s="8" t="s">
        <v>140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</row>
    <row r="63" spans="6:27" x14ac:dyDescent="0.25">
      <c r="F63" s="22"/>
      <c r="G63" s="8" t="s">
        <v>137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</row>
    <row r="64" spans="6:27" x14ac:dyDescent="0.25">
      <c r="F64" s="22"/>
      <c r="G64" s="8" t="s">
        <v>141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</row>
    <row r="65" spans="6:27" x14ac:dyDescent="0.25">
      <c r="F65" s="22"/>
      <c r="G65" s="8" t="s">
        <v>142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</row>
    <row r="66" spans="6:27" x14ac:dyDescent="0.25">
      <c r="F66" s="22"/>
      <c r="G66" s="8" t="s">
        <v>139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</row>
    <row r="67" spans="6:27" x14ac:dyDescent="0.25">
      <c r="F67" s="22"/>
      <c r="G67" s="8" t="s">
        <v>143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</row>
    <row r="68" spans="6:27" x14ac:dyDescent="0.25">
      <c r="F68" s="22"/>
      <c r="G68" s="19" t="s">
        <v>260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6:27" x14ac:dyDescent="0.25">
      <c r="F69" s="22"/>
      <c r="G69" s="11" t="s">
        <v>256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</row>
    <row r="70" spans="6:27" x14ac:dyDescent="0.25">
      <c r="F70" s="22"/>
      <c r="G70" s="8" t="s">
        <v>77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</row>
    <row r="71" spans="6:27" x14ac:dyDescent="0.25">
      <c r="F71" s="22"/>
      <c r="G71" s="8" t="s">
        <v>78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</row>
    <row r="72" spans="6:27" x14ac:dyDescent="0.25">
      <c r="F72" s="22"/>
      <c r="G72" s="8" t="s">
        <v>62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</row>
    <row r="73" spans="6:27" x14ac:dyDescent="0.25">
      <c r="F73" s="22"/>
      <c r="G73" s="8" t="s">
        <v>73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</row>
    <row r="74" spans="6:27" x14ac:dyDescent="0.25">
      <c r="F74" s="22"/>
      <c r="G74" s="8" t="s">
        <v>79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</row>
    <row r="75" spans="6:27" x14ac:dyDescent="0.25">
      <c r="F75" s="22"/>
      <c r="G75" s="11" t="s">
        <v>252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</row>
    <row r="76" spans="6:27" x14ac:dyDescent="0.25">
      <c r="F76" s="22"/>
      <c r="G76" s="8" t="s">
        <v>84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</row>
    <row r="77" spans="6:27" x14ac:dyDescent="0.25">
      <c r="F77" s="22"/>
      <c r="G77" s="8" t="s">
        <v>87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</row>
    <row r="78" spans="6:27" x14ac:dyDescent="0.25">
      <c r="F78" s="22"/>
      <c r="G78" s="8" t="s">
        <v>90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</row>
    <row r="79" spans="6:27" x14ac:dyDescent="0.25">
      <c r="F79" s="22"/>
      <c r="G79" s="8" t="s">
        <v>88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</row>
    <row r="80" spans="6:27" x14ac:dyDescent="0.25">
      <c r="F80" s="22"/>
      <c r="G80" s="8" t="s">
        <v>89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</row>
    <row r="81" spans="6:27" x14ac:dyDescent="0.25">
      <c r="F81" s="22"/>
      <c r="G81" s="8" t="s">
        <v>91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</row>
    <row r="82" spans="6:27" x14ac:dyDescent="0.25">
      <c r="F82" s="22"/>
      <c r="G82" s="8" t="s">
        <v>85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</row>
    <row r="83" spans="6:27" x14ac:dyDescent="0.25">
      <c r="F83" s="22"/>
      <c r="G83" s="8" t="s">
        <v>86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</row>
    <row r="84" spans="6:27" x14ac:dyDescent="0.25">
      <c r="F84" s="22"/>
      <c r="G84" s="8" t="s">
        <v>82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</row>
    <row r="85" spans="6:27" x14ac:dyDescent="0.25">
      <c r="F85" s="22"/>
      <c r="G85" s="11" t="s">
        <v>255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</row>
    <row r="86" spans="6:27" x14ac:dyDescent="0.25">
      <c r="F86" s="22"/>
      <c r="G86" s="8" t="s">
        <v>80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</row>
    <row r="87" spans="6:27" x14ac:dyDescent="0.25">
      <c r="F87" s="22"/>
      <c r="G87" s="11" t="s">
        <v>259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</row>
    <row r="88" spans="6:27" x14ac:dyDescent="0.25">
      <c r="F88" s="22"/>
      <c r="G88" s="8" t="s">
        <v>97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</row>
    <row r="89" spans="6:27" x14ac:dyDescent="0.25">
      <c r="F89" s="22"/>
      <c r="G89" s="11" t="s">
        <v>258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</row>
    <row r="90" spans="6:27" x14ac:dyDescent="0.25">
      <c r="F90" s="22"/>
      <c r="G90" s="8" t="s">
        <v>92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</row>
    <row r="91" spans="6:27" x14ac:dyDescent="0.25">
      <c r="F91" s="22"/>
      <c r="G91" s="8" t="s">
        <v>94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  <c r="AA91" s="4">
        <v>0</v>
      </c>
    </row>
    <row r="92" spans="6:27" x14ac:dyDescent="0.25">
      <c r="F92" s="22"/>
      <c r="G92" s="8" t="s">
        <v>95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</row>
    <row r="93" spans="6:27" x14ac:dyDescent="0.25">
      <c r="F93" s="22"/>
      <c r="G93" s="8" t="s">
        <v>96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  <c r="AA93" s="4">
        <v>0</v>
      </c>
    </row>
    <row r="94" spans="6:27" x14ac:dyDescent="0.25">
      <c r="G94" s="37" t="s">
        <v>101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6:27" x14ac:dyDescent="0.25">
      <c r="G95" s="19" t="s">
        <v>281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</row>
    <row r="96" spans="6:27" x14ac:dyDescent="0.25">
      <c r="G96" s="11" t="s">
        <v>100</v>
      </c>
      <c r="H96" s="4"/>
      <c r="I96" s="4"/>
      <c r="J96" s="4"/>
      <c r="K96" s="4"/>
      <c r="L96" s="4"/>
      <c r="M96" s="4"/>
      <c r="N96" s="4"/>
      <c r="O96" s="4"/>
      <c r="P96" s="4"/>
      <c r="Q96" s="4">
        <v>0</v>
      </c>
      <c r="R96" s="4"/>
      <c r="S96" s="4"/>
      <c r="T96" s="4"/>
      <c r="U96" s="4"/>
      <c r="V96" s="4"/>
      <c r="W96" s="4"/>
      <c r="X96" s="4">
        <v>0</v>
      </c>
      <c r="Y96" s="4"/>
      <c r="Z96" s="4"/>
      <c r="AA96" s="4"/>
    </row>
    <row r="97" spans="7:27" x14ac:dyDescent="0.25">
      <c r="G97" s="8" t="s">
        <v>45</v>
      </c>
      <c r="H97" s="4"/>
      <c r="I97" s="4"/>
      <c r="J97" s="4"/>
      <c r="K97" s="4"/>
      <c r="L97" s="4"/>
      <c r="M97" s="4"/>
      <c r="N97" s="4"/>
      <c r="O97" s="4"/>
      <c r="P97" s="4"/>
      <c r="Q97" s="4">
        <v>0</v>
      </c>
      <c r="R97" s="4"/>
      <c r="S97" s="4"/>
      <c r="T97" s="4"/>
      <c r="U97" s="4"/>
      <c r="V97" s="4"/>
      <c r="W97" s="4"/>
      <c r="X97" s="4">
        <v>0</v>
      </c>
      <c r="Y97" s="4"/>
      <c r="Z97" s="4"/>
      <c r="AA97" s="4"/>
    </row>
  </sheetData>
  <mergeCells count="33">
    <mergeCell ref="X19:X21"/>
    <mergeCell ref="Y19:Z19"/>
    <mergeCell ref="AA19:AA21"/>
    <mergeCell ref="Q20:R20"/>
    <mergeCell ref="L8:L9"/>
    <mergeCell ref="M8:M9"/>
    <mergeCell ref="H8:H9"/>
    <mergeCell ref="I8:I9"/>
    <mergeCell ref="F7:F9"/>
    <mergeCell ref="G7:G9"/>
    <mergeCell ref="Q7:W7"/>
    <mergeCell ref="S8:S9"/>
    <mergeCell ref="T8:T9"/>
    <mergeCell ref="N8:N9"/>
    <mergeCell ref="O8:O9"/>
    <mergeCell ref="H7:I7"/>
    <mergeCell ref="J7:J9"/>
    <mergeCell ref="K7:O7"/>
    <mergeCell ref="P7:P9"/>
    <mergeCell ref="X7:X9"/>
    <mergeCell ref="Y7:Z7"/>
    <mergeCell ref="Q8:R8"/>
    <mergeCell ref="AA7:AA9"/>
    <mergeCell ref="Y8:Y9"/>
    <mergeCell ref="Z8:Z9"/>
    <mergeCell ref="U8:U9"/>
    <mergeCell ref="V8:V9"/>
    <mergeCell ref="W8:W9"/>
    <mergeCell ref="H19:I19"/>
    <mergeCell ref="J19:J21"/>
    <mergeCell ref="K19:O19"/>
    <mergeCell ref="P19:P21"/>
    <mergeCell ref="Q19:W19"/>
  </mergeCells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2" customWidth="1"/>
    <col min="2" max="2" width="12.5703125" style="13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2" t="str">
        <f>IF(Sheet1!J19="",$F$7, IF(ISNUMBER(SEARCH("Sum", Sheet1!J19)), "Tổng", Sheet1!J19))</f>
        <v>Tổng</v>
      </c>
      <c r="D1" s="12" t="str">
        <f>IF(Sheet1!K19="",$F$7, IF(ISNUMBER(SEARCH("Sum", Sheet1!K19)), "Tổng", Sheet1!K19))</f>
        <v>Nhập</v>
      </c>
      <c r="E1" s="12" t="str">
        <f>IF(Sheet1!L19="",$F$7, IF(ISNUMBER(SEARCH("Sum", Sheet1!L19)), "Tổng", Sheet1!L19))</f>
        <v>Nhập</v>
      </c>
      <c r="F1" s="12" t="str">
        <f>IF(Sheet1!M19="",$F$7, IF(ISNUMBER(SEARCH("Sum", Sheet1!M19)), "Tổng", Sheet1!M19))</f>
        <v>Nhập</v>
      </c>
      <c r="G1" s="12" t="str">
        <f>IF(Sheet1!N19="",$F$7, IF(ISNUMBER(SEARCH("Sum", Sheet1!N19)), "Tổng", Sheet1!N19))</f>
        <v>Nhập</v>
      </c>
      <c r="H1" s="12" t="str">
        <f>IF(Sheet1!O19="",$F$7, IF(ISNUMBER(SEARCH("Sum", Sheet1!O19)), "Tổng", Sheet1!O19))</f>
        <v>Nhập</v>
      </c>
      <c r="I1" s="12" t="str">
        <f>IF(Sheet1!P19="",$F$7, IF(ISNUMBER(SEARCH("Sum", Sheet1!P19)), "Tổng", Sheet1!P19))</f>
        <v>Tổng</v>
      </c>
      <c r="J1" s="12" t="str">
        <f>IF(Sheet1!Q19="",$F$7, IF(ISNUMBER(SEARCH("Sum", Sheet1!Q19)), "Tổng", Sheet1!Q19))</f>
        <v>Xuất</v>
      </c>
      <c r="K1" s="12" t="str">
        <f>IF(Sheet1!R19="",$F$7, IF(ISNUMBER(SEARCH("Sum", Sheet1!R19)), "Tổng", Sheet1!R19))</f>
        <v>Xuất</v>
      </c>
      <c r="L1" s="12" t="str">
        <f>IF(Sheet1!S19="",$F$7, IF(ISNUMBER(SEARCH("Sum", Sheet1!S19)), "Tổng", Sheet1!S19))</f>
        <v>Xuất</v>
      </c>
      <c r="M1" s="12" t="str">
        <f>IF(Sheet1!T19="",$F$7, IF(ISNUMBER(SEARCH("Sum", Sheet1!T19)), "Tổng", Sheet1!T19))</f>
        <v>Xuất</v>
      </c>
      <c r="N1" s="12" t="str">
        <f>IF(Sheet1!U19="",$F$7, IF(ISNUMBER(SEARCH("Sum", Sheet1!U19)), "Tổng", Sheet1!U19))</f>
        <v>Xuất</v>
      </c>
      <c r="O1" s="12" t="str">
        <f>IF(Sheet1!V19="",$F$7, IF(ISNUMBER(SEARCH("Sum", Sheet1!V19)), "Tổng", Sheet1!V19))</f>
        <v>Xuất</v>
      </c>
      <c r="P1" s="12" t="str">
        <f>IF(Sheet1!W19="",$F$7, IF(ISNUMBER(SEARCH("Sum", Sheet1!W19)), "Tổng", Sheet1!W19))</f>
        <v>Xuất</v>
      </c>
      <c r="Q1" s="12" t="str">
        <f>IF(Sheet1!X19="",$F$7, IF(ISNUMBER(SEARCH("Sum", Sheet1!X19)), "Tổng", Sheet1!X19))</f>
        <v>Tổng</v>
      </c>
      <c r="R1" s="12" t="str">
        <f>IF(Sheet1!Y19="",$F$7, IF(ISNUMBER(SEARCH("Sum", Sheet1!Y19)), "Tổng", Sheet1!Y19))</f>
        <v>Tồn cuối kỳ</v>
      </c>
      <c r="S1" s="12" t="str">
        <f>IF(Sheet1!Z19="",$F$7, IF(ISNUMBER(SEARCH("Sum", Sheet1!Z19)), "Tổng", Sheet1!Z19))</f>
        <v>Tồn cuối kỳ</v>
      </c>
      <c r="T1" s="12" t="str">
        <f>IF(Sheet1!AA19="",$F$7, IF(ISNUMBER(SEARCH("Sum", Sheet1!AA19)), "Tổng", Sheet1!AA19))</f>
        <v>Tổng</v>
      </c>
      <c r="U1" s="12"/>
      <c r="V1" s="12"/>
    </row>
    <row r="2" spans="1:22" x14ac:dyDescent="0.25">
      <c r="A2" s="12" t="str">
        <f>IF(Sheet1!H20="",$F$7, IF(ISNUMBER(SEARCH("Sum", Sheet1!H20)), "Tổng", Sheet1!H20))</f>
        <v>DT cho NV đột xuất</v>
      </c>
      <c r="B2" s="13" t="str">
        <f>IF(Sheet1!I20="",$F$7, IF(ISNUMBER(SEARCH("Sum", Sheet1!I20)), "Tổng", Sheet1!I20))</f>
        <v>DT SSCD</v>
      </c>
      <c r="C2" s="35">
        <f>IF(Sheet1!J20="",$F$7, IF(ISNUMBER(SEARCH("Sum", Sheet1!J20)), "Tổng", Sheet1!J20))</f>
        <v>0</v>
      </c>
      <c r="D2" s="12" t="str">
        <f>IF(Sheet1!K20="",$F$7, IF(ISNUMBER(SEARCH("Sum", Sheet1!K20)), "Tổng", Sheet1!K20))</f>
        <v>Nhập khác</v>
      </c>
      <c r="E2" s="12" t="str">
        <f>IF(Sheet1!L20="",$F$7, IF(ISNUMBER(SEARCH("Sum", Sheet1!L20)), "Tổng", Sheet1!L20))</f>
        <v>CXD</v>
      </c>
      <c r="F2" s="12" t="str">
        <f>IF(Sheet1!M20="",$F$7, IF(ISNUMBER(SEARCH("Sum", Sheet1!M20)), "Tổng", Sheet1!M20))</f>
        <v>QC</v>
      </c>
      <c r="G2" s="12" t="str">
        <f>IF(Sheet1!N20="",$F$7, IF(ISNUMBER(SEARCH("Sum", Sheet1!N20)), "Tổng", Sheet1!N20))</f>
        <v>Mua P/cấp</v>
      </c>
      <c r="H2" s="12" t="str">
        <f>IF(Sheet1!O20="",$F$7, IF(ISNUMBER(SEARCH("Sum", Sheet1!O20)), "Tổng", Sheet1!O20))</f>
        <v>Khác</v>
      </c>
      <c r="I2" s="35">
        <f>IF(Sheet1!P20="",$F$7, IF(ISNUMBER(SEARCH("Sum", Sheet1!P20)), "Tổng", Sheet1!P20))</f>
        <v>0</v>
      </c>
      <c r="J2" s="12" t="str">
        <f>IF(Sheet1!Q20="",$F$7, IF(ISNUMBER(SEARCH("Sum", Sheet1!Q20)), "Tổng", Sheet1!Q20))</f>
        <v>Xuất khác</v>
      </c>
      <c r="K2" s="12"/>
      <c r="L2" s="12" t="str">
        <f>IF(Sheet1!S20="",$F$7, IF(ISNUMBER(SEARCH("Sum", Sheet1!S20)), "Tổng", Sheet1!S20))</f>
        <v>Khác</v>
      </c>
      <c r="M2" s="12" t="str">
        <f>IF(Sheet1!T20="",$F$7, IF(ISNUMBER(SEARCH("Sum", Sheet1!T20)), "Tổng", Sheet1!T20))</f>
        <v>TT Xe máy</v>
      </c>
      <c r="N2" s="12" t="str">
        <f>IF(Sheet1!U20="",$F$7, IF(ISNUMBER(SEARCH("Sum", Sheet1!U20)), "Tổng", Sheet1!U20))</f>
        <v>BQ</v>
      </c>
      <c r="O2" s="12" t="str">
        <f>IF(Sheet1!V20="",$F$7, IF(ISNUMBER(SEARCH("Sum", Sheet1!V20)), "Tổng", Sheet1!V20))</f>
        <v>Hao hụt</v>
      </c>
      <c r="P2" s="12" t="str">
        <f>IF(Sheet1!W20="",$F$7, IF(ISNUMBER(SEARCH("Sum", Sheet1!W20)), "Tổng", Sheet1!W20))</f>
        <v>Tổn thất</v>
      </c>
      <c r="Q2" s="35">
        <f>IF(Sheet1!X20="",$F$7, IF(ISNUMBER(SEARCH("Sum", Sheet1!X20)), "Tổng", Sheet1!X20))</f>
        <v>0</v>
      </c>
      <c r="R2" s="12" t="str">
        <f>IF(Sheet1!Y20="",$F$7, IF(ISNUMBER(SEARCH("Sum", Sheet1!Y20)), "Tổng", Sheet1!Y20))</f>
        <v>DT cho NV đột xuất</v>
      </c>
      <c r="S2" s="12" t="str">
        <f>IF(Sheet1!Z20="",$F$7, IF(ISNUMBER(SEARCH("Sum", Sheet1!Z20)), "Tổng", Sheet1!Z20))</f>
        <v>DT SSCD</v>
      </c>
      <c r="T2" s="35">
        <f>IF(Sheet1!AA20="",$F$7, IF(ISNUMBER(SEARCH("Sum", Sheet1!AA20)), "Tổng", Sheet1!AA20))</f>
        <v>0</v>
      </c>
      <c r="U2" s="10"/>
    </row>
    <row r="3" spans="1:22" x14ac:dyDescent="0.25">
      <c r="A3" s="35"/>
      <c r="B3" s="36"/>
      <c r="C3" s="35"/>
      <c r="D3" s="12" t="str">
        <f>IF(Sheet1!K21="",$F$7, IF(ISNUMBER(SEARCH("Sum", Sheet1!K21)), "Tổng", Sheet1!K21))</f>
        <v>Trong QC</v>
      </c>
      <c r="E3" s="35"/>
      <c r="F3" s="35"/>
      <c r="G3" s="35"/>
      <c r="H3" s="35"/>
      <c r="I3" s="35"/>
      <c r="J3" s="12" t="str">
        <f>IF(Sheet1!Q21="",$F$7, IF(ISNUMBER(SEARCH("Sum", Sheet1!Q21)), "Tổng", Sheet1!Q21))</f>
        <v>Ngoài QC</v>
      </c>
      <c r="K3" s="12" t="str">
        <f>IF(Sheet1!R21="",$F$7, IF(ISNUMBER(SEARCH("Sum", Sheet1!R21)), "Tổng", Sheet1!R21))</f>
        <v>Trong QC</v>
      </c>
      <c r="L3" s="35"/>
      <c r="M3" s="35"/>
      <c r="N3" s="35"/>
      <c r="O3" s="35"/>
      <c r="P3" s="35"/>
      <c r="Q3" s="35"/>
      <c r="R3" s="35"/>
      <c r="S3" s="35"/>
      <c r="T3" s="35"/>
      <c r="U3" s="10"/>
    </row>
    <row r="4" spans="1:22" x14ac:dyDescent="0.25">
      <c r="A4" s="35"/>
      <c r="B4" s="36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</row>
    <row r="5" spans="1:22" x14ac:dyDescent="0.25">
      <c r="A5" s="35"/>
      <c r="B5" s="36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</row>
    <row r="6" spans="1:22" x14ac:dyDescent="0.25">
      <c r="A6" s="35"/>
      <c r="B6" s="36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</row>
    <row r="7" spans="1:22" x14ac:dyDescent="0.25">
      <c r="A7" s="35"/>
      <c r="B7" s="36"/>
      <c r="C7" s="10">
        <f>ROW()</f>
        <v>7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</row>
    <row r="8" spans="1:22" x14ac:dyDescent="0.25">
      <c r="A8" s="35"/>
      <c r="B8" s="13">
        <f>COLUMN()</f>
        <v>2</v>
      </c>
      <c r="C8" s="10" t="str">
        <f>IF(Sheet1!H19="",$F$7, IF(ISNUMBER(SEARCH("Sum", Sheet1!H19)), "Tổng", Sheet1!H19))</f>
        <v>Tồn đầu kỳ</v>
      </c>
      <c r="D8" s="10" t="str">
        <f>IF(Sheet1!I19="",$F$7, IF(ISNUMBER(SEARCH("Sum", Sheet1!I19)), "Tổng", Sheet1!I19))</f>
        <v>Tồn đầu kỳ</v>
      </c>
      <c r="E8" s="10" t="str">
        <f>IF(Sheet1!J19="",$F$7, IF(ISNUMBER(SEARCH("Sum", Sheet1!J19)), "Tổng", Sheet1!J19))</f>
        <v>Tổng</v>
      </c>
      <c r="F8" s="10" t="str">
        <f>IF(Sheet1!K19="",$F$7, IF(ISNUMBER(SEARCH("Sum", Sheet1!K19)), "Tổng", Sheet1!K19))</f>
        <v>Nhập</v>
      </c>
      <c r="G8" s="10" t="str">
        <f>IF(Sheet1!L19="",$F$7, IF(ISNUMBER(SEARCH("Sum", Sheet1!L19)), "Tổng", Sheet1!L19))</f>
        <v>Nhập</v>
      </c>
      <c r="H8" s="10" t="str">
        <f>IF(Sheet1!M19="",$F$7, IF(ISNUMBER(SEARCH("Sum", Sheet1!M19)), "Tổng", Sheet1!M19))</f>
        <v>Nhập</v>
      </c>
      <c r="I8" s="10" t="str">
        <f>IF(Sheet1!N19="",$F$7, IF(ISNUMBER(SEARCH("Sum", Sheet1!N19)), "Tổng", Sheet1!N19))</f>
        <v>Nhập</v>
      </c>
      <c r="J8" s="10" t="str">
        <f>IF(Sheet1!O19="",$F$7, IF(ISNUMBER(SEARCH("Sum", Sheet1!O19)), "Tổng", Sheet1!O19))</f>
        <v>Nhập</v>
      </c>
      <c r="K8" s="10" t="str">
        <f>IF(Sheet1!P19="",$F$7, IF(ISNUMBER(SEARCH("Sum", Sheet1!P19)), "Tổng", Sheet1!P19))</f>
        <v>Tổng</v>
      </c>
      <c r="L8" s="10" t="str">
        <f>IF(Sheet1!Q19="",$F$7, IF(ISNUMBER(SEARCH("Sum", Sheet1!Q19)), "Tổng", Sheet1!Q19))</f>
        <v>Xuất</v>
      </c>
      <c r="M8" s="10" t="str">
        <f>IF(Sheet1!R19="",$F$7, IF(ISNUMBER(SEARCH("Sum", Sheet1!R19)), "Tổng", Sheet1!R19))</f>
        <v>Xuất</v>
      </c>
      <c r="N8" s="10" t="str">
        <f>IF(Sheet1!S19="",$F$7, IF(ISNUMBER(SEARCH("Sum", Sheet1!S19)), "Tổng", Sheet1!S19))</f>
        <v>Xuất</v>
      </c>
      <c r="O8" s="10" t="str">
        <f>IF(Sheet1!T19="",$F$7, IF(ISNUMBER(SEARCH("Sum", Sheet1!T19)), "Tổng", Sheet1!T19))</f>
        <v>Xuất</v>
      </c>
      <c r="P8" s="10" t="str">
        <f>IF(Sheet1!U19="",$F$7, IF(ISNUMBER(SEARCH("Sum", Sheet1!U19)), "Tổng", Sheet1!U19))</f>
        <v>Xuất</v>
      </c>
      <c r="Q8" s="10" t="str">
        <f>IF(Sheet1!V19="",$F$7, IF(ISNUMBER(SEARCH("Sum", Sheet1!V19)), "Tổng", Sheet1!V19))</f>
        <v>Xuất</v>
      </c>
      <c r="R8" s="10" t="str">
        <f>IF(Sheet1!W19="",$F$7, IF(ISNUMBER(SEARCH("Sum", Sheet1!W19)), "Tổng", Sheet1!W19))</f>
        <v>Xuất</v>
      </c>
      <c r="S8" s="10" t="str">
        <f>IF(Sheet1!X19="",$F$7, IF(ISNUMBER(SEARCH("Sum", Sheet1!X19)), "Tổng", Sheet1!X19))</f>
        <v>Tổng</v>
      </c>
      <c r="T8" s="10" t="str">
        <f>IF(Sheet1!Y19="",$F$7, IF(ISNUMBER(SEARCH("Sum", Sheet1!Y19)), "Tổng", Sheet1!Y19))</f>
        <v>Tồn cuối kỳ</v>
      </c>
      <c r="U8" s="10" t="str">
        <f>IF(Sheet1!Z19="",$F$7, IF(ISNUMBER(SEARCH("Sum", Sheet1!Z19)), "Tổng", Sheet1!Z19))</f>
        <v>Tồn cuối kỳ</v>
      </c>
      <c r="V8" s="10" t="str">
        <f>IF(Sheet1!AA19="",$F$7, IF(ISNUMBER(SEARCH("Sum", Sheet1!AA19)), "Tổng", Sheet1!AA19))</f>
        <v>Tổng</v>
      </c>
    </row>
    <row r="9" spans="1:22" x14ac:dyDescent="0.25">
      <c r="A9" s="35"/>
      <c r="B9" s="36"/>
      <c r="C9" s="10" t="str">
        <f>IF(Sheet1!H20="",$F$7, IF(ISNUMBER(SEARCH("Sum", Sheet1!H20)), "Tổng", Sheet1!H20))</f>
        <v>DT cho NV đột xuất</v>
      </c>
      <c r="D9" s="10" t="str">
        <f>IF(Sheet1!I20="",$F$7, IF(ISNUMBER(SEARCH("Sum", Sheet1!I20)), "Tổng", Sheet1!I20))</f>
        <v>DT SSCD</v>
      </c>
      <c r="E9" s="10">
        <f>IF(Sheet1!J20="",$F$7, IF(ISNUMBER(SEARCH("Sum", Sheet1!J20)), "Tổng", Sheet1!J20))</f>
        <v>0</v>
      </c>
      <c r="F9" s="10" t="str">
        <f>IF(Sheet1!K20="",$F$7, IF(ISNUMBER(SEARCH("Sum", Sheet1!K20)), "Tổng", Sheet1!K20))</f>
        <v>Nhập khác</v>
      </c>
      <c r="G9" s="10" t="str">
        <f>IF(Sheet1!L20="",$F$7, IF(ISNUMBER(SEARCH("Sum", Sheet1!L20)), "Tổng", Sheet1!L20))</f>
        <v>CXD</v>
      </c>
      <c r="H9" s="10" t="str">
        <f>IF(Sheet1!M20="",$F$7, IF(ISNUMBER(SEARCH("Sum", Sheet1!M20)), "Tổng", Sheet1!M20))</f>
        <v>QC</v>
      </c>
      <c r="I9" s="10" t="str">
        <f>IF(Sheet1!N20="",$F$7, IF(ISNUMBER(SEARCH("Sum", Sheet1!N20)), "Tổng", Sheet1!N20))</f>
        <v>Mua P/cấp</v>
      </c>
      <c r="J9" s="10" t="str">
        <f>IF(Sheet1!O20="",$F$7, IF(ISNUMBER(SEARCH("Sum", Sheet1!O20)), "Tổng", Sheet1!O20))</f>
        <v>Khác</v>
      </c>
      <c r="K9" s="10">
        <f>IF(Sheet1!P20="",$F$7, IF(ISNUMBER(SEARCH("Sum", Sheet1!P20)), "Tổng", Sheet1!P20))</f>
        <v>0</v>
      </c>
      <c r="L9" s="10" t="str">
        <f>IF(Sheet1!Q20="",$F$7, IF(ISNUMBER(SEARCH("Sum", Sheet1!Q20)), "Tổng", Sheet1!Q20))</f>
        <v>Xuất khác</v>
      </c>
      <c r="M9" s="10" t="str">
        <f>IF(Sheet1!R20="",$F$7, IF(ISNUMBER(SEARCH("Sum", Sheet1!R20)), "Tổng", Sheet1!R20))</f>
        <v>Xuất khác</v>
      </c>
      <c r="N9" s="10" t="str">
        <f>IF(Sheet1!S20="",$F$7, IF(ISNUMBER(SEARCH("Sum", Sheet1!S20)), "Tổng", Sheet1!S20))</f>
        <v>Khác</v>
      </c>
      <c r="O9" s="10" t="str">
        <f>IF(Sheet1!T20="",$F$7, IF(ISNUMBER(SEARCH("Sum", Sheet1!T20)), "Tổng", Sheet1!T20))</f>
        <v>TT Xe máy</v>
      </c>
      <c r="P9" s="10" t="str">
        <f>IF(Sheet1!U20="",$F$7, IF(ISNUMBER(SEARCH("Sum", Sheet1!U20)), "Tổng", Sheet1!U20))</f>
        <v>BQ</v>
      </c>
      <c r="Q9" s="10" t="str">
        <f>IF(Sheet1!V20="",$F$7, IF(ISNUMBER(SEARCH("Sum", Sheet1!V20)), "Tổng", Sheet1!V20))</f>
        <v>Hao hụt</v>
      </c>
      <c r="R9" s="10" t="str">
        <f>IF(Sheet1!W20="",$F$7, IF(ISNUMBER(SEARCH("Sum", Sheet1!W20)), "Tổng", Sheet1!W20))</f>
        <v>Tổn thất</v>
      </c>
      <c r="S9" s="10">
        <f>IF(Sheet1!X20="",$F$7, IF(ISNUMBER(SEARCH("Sum", Sheet1!X20)), "Tổng", Sheet1!X20))</f>
        <v>0</v>
      </c>
      <c r="T9" s="10" t="str">
        <f>IF(Sheet1!Y20="",$F$7, IF(ISNUMBER(SEARCH("Sum", Sheet1!Y20)), "Tổng", Sheet1!Y20))</f>
        <v>DT cho NV đột xuất</v>
      </c>
      <c r="U9" s="10" t="str">
        <f>IF(Sheet1!Z20="",$F$7, IF(ISNUMBER(SEARCH("Sum", Sheet1!Z20)), "Tổng", Sheet1!Z20))</f>
        <v>DT SSCD</v>
      </c>
      <c r="V9" s="10">
        <f>IF(Sheet1!AA20="",$F$7, IF(ISNUMBER(SEARCH("Sum", Sheet1!AA20)), "Tổng", Sheet1!AA20))</f>
        <v>0</v>
      </c>
    </row>
    <row r="10" spans="1:22" x14ac:dyDescent="0.25">
      <c r="A10" s="35"/>
      <c r="B10" s="36"/>
      <c r="C10" s="10" t="str">
        <f>IF(Sheet1!H21="",$F$7, IF(ISNUMBER(SEARCH("Sum", Sheet1!H21)), "Tổng", Sheet1!H21))</f>
        <v>DT cho NV đột xuất</v>
      </c>
      <c r="D10" s="10" t="str">
        <f>IF(Sheet1!I21="",$F$7, IF(ISNUMBER(SEARCH("Sum", Sheet1!I21)), "Tổng", Sheet1!I21))</f>
        <v>DT SSCD</v>
      </c>
      <c r="E10" s="10">
        <f>IF(Sheet1!J21="",$F$7, IF(ISNUMBER(SEARCH("Sum", Sheet1!J21)), "Tổng", Sheet1!J21))</f>
        <v>0</v>
      </c>
      <c r="F10" s="10" t="str">
        <f>IF(Sheet1!K21="",$F$7, IF(ISNUMBER(SEARCH("Sum", Sheet1!K21)), "Tổng", Sheet1!K21))</f>
        <v>Trong QC</v>
      </c>
      <c r="G10" s="10" t="str">
        <f>IF(Sheet1!L21="",$F$7, IF(ISNUMBER(SEARCH("Sum", Sheet1!L21)), "Tổng", Sheet1!L21))</f>
        <v>CXD</v>
      </c>
      <c r="H10" s="10" t="str">
        <f>IF(Sheet1!M21="",$F$7, IF(ISNUMBER(SEARCH("Sum", Sheet1!M21)), "Tổng", Sheet1!M21))</f>
        <v>QC</v>
      </c>
      <c r="I10" s="10" t="str">
        <f>IF(Sheet1!N21="",$F$7, IF(ISNUMBER(SEARCH("Sum", Sheet1!N21)), "Tổng", Sheet1!N21))</f>
        <v>Mua P/cấp</v>
      </c>
      <c r="J10" s="10" t="str">
        <f>IF(Sheet1!O21="",$F$7, IF(ISNUMBER(SEARCH("Sum", Sheet1!O21)), "Tổng", Sheet1!O21))</f>
        <v>Khác</v>
      </c>
      <c r="K10" s="10">
        <f>IF(Sheet1!P21="",$F$7, IF(ISNUMBER(SEARCH("Sum", Sheet1!P21)), "Tổng", Sheet1!P21))</f>
        <v>0</v>
      </c>
      <c r="L10" s="10" t="str">
        <f>IF(Sheet1!Q21="",$F$7, IF(ISNUMBER(SEARCH("Sum", Sheet1!Q21)), "Tổng", Sheet1!Q21))</f>
        <v>Ngoài QC</v>
      </c>
      <c r="M10" s="10" t="str">
        <f>IF(Sheet1!R21="",$F$7, IF(ISNUMBER(SEARCH("Sum", Sheet1!R21)), "Tổng", Sheet1!R21))</f>
        <v>Trong QC</v>
      </c>
      <c r="N10" s="10" t="str">
        <f>IF(Sheet1!S21="",$F$7, IF(ISNUMBER(SEARCH("Sum", Sheet1!S21)), "Tổng", Sheet1!S21))</f>
        <v>Khác</v>
      </c>
      <c r="O10" s="10" t="str">
        <f>IF(Sheet1!T21="",$F$7, IF(ISNUMBER(SEARCH("Sum", Sheet1!T21)), "Tổng", Sheet1!T21))</f>
        <v>TT Xe máy</v>
      </c>
      <c r="P10" s="10" t="str">
        <f>IF(Sheet1!U21="",$F$7, IF(ISNUMBER(SEARCH("Sum", Sheet1!U21)), "Tổng", Sheet1!U21))</f>
        <v>BQ</v>
      </c>
      <c r="Q10" s="10" t="str">
        <f>IF(Sheet1!V21="",$F$7, IF(ISNUMBER(SEARCH("Sum", Sheet1!V21)), "Tổng", Sheet1!V21))</f>
        <v>Hao hụt</v>
      </c>
      <c r="R10" s="10" t="str">
        <f>IF(Sheet1!W21="",$F$7, IF(ISNUMBER(SEARCH("Sum", Sheet1!W21)), "Tổng", Sheet1!W21))</f>
        <v>Tổn thất</v>
      </c>
      <c r="S10" s="10">
        <f>IF(Sheet1!X21="",$F$7, IF(ISNUMBER(SEARCH("Sum", Sheet1!X21)), "Tổng", Sheet1!X21))</f>
        <v>0</v>
      </c>
      <c r="T10" s="10" t="str">
        <f>IF(Sheet1!Y21="",$F$7, IF(ISNUMBER(SEARCH("Sum", Sheet1!Y21)), "Tổng", Sheet1!Y21))</f>
        <v>DT cho NV đột xuất</v>
      </c>
      <c r="U10" s="10" t="str">
        <f>IF(Sheet1!Z21="",$F$7, IF(ISNUMBER(SEARCH("Sum", Sheet1!Z21)), "Tổng", Sheet1!Z21))</f>
        <v>DT SSCD</v>
      </c>
      <c r="V10" s="10">
        <f>IF(Sheet1!AA21="",$F$7, IF(ISNUMBER(SEARCH("Sum", Sheet1!AA21)), "Tổng", Sheet1!AA21))</f>
        <v>0</v>
      </c>
    </row>
    <row r="11" spans="1:22" x14ac:dyDescent="0.25">
      <c r="C11" s="10"/>
    </row>
    <row r="12" spans="1:22" x14ac:dyDescent="0.25">
      <c r="C12" s="10"/>
    </row>
    <row r="13" spans="1:22" x14ac:dyDescent="0.25">
      <c r="C13" s="10"/>
    </row>
    <row r="14" spans="1:22" x14ac:dyDescent="0.25">
      <c r="C14" s="10"/>
    </row>
    <row r="15" spans="1:22" x14ac:dyDescent="0.25">
      <c r="C15" s="10"/>
    </row>
    <row r="16" spans="1:22" x14ac:dyDescent="0.25">
      <c r="C16" s="10"/>
    </row>
    <row r="17" spans="3:3" x14ac:dyDescent="0.25">
      <c r="C17" s="10"/>
    </row>
    <row r="18" spans="3:3" x14ac:dyDescent="0.25">
      <c r="C18" s="10"/>
    </row>
    <row r="19" spans="3:3" x14ac:dyDescent="0.25">
      <c r="C19" s="10"/>
    </row>
    <row r="20" spans="3:3" x14ac:dyDescent="0.25">
      <c r="C20" s="10"/>
    </row>
    <row r="21" spans="3:3" x14ac:dyDescent="0.25">
      <c r="C21" s="10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O3:O7"/>
    <mergeCell ref="N3:N7"/>
    <mergeCell ref="L3:L7"/>
    <mergeCell ref="M3:M7"/>
    <mergeCell ref="J4:J7"/>
    <mergeCell ref="K4:K7"/>
    <mergeCell ref="T2:T7"/>
    <mergeCell ref="S3:S7"/>
    <mergeCell ref="R3:R7"/>
    <mergeCell ref="Q2:Q7"/>
    <mergeCell ref="P3: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dcterms:created xsi:type="dcterms:W3CDTF">2024-10-09T04:37:03Z</dcterms:created>
  <dcterms:modified xsi:type="dcterms:W3CDTF">2024-10-17T04:35:31Z</dcterms:modified>
</cp:coreProperties>
</file>